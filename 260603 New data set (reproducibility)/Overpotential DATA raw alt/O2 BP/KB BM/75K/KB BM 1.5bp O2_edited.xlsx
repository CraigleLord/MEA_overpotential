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ential DATA raw alt\O2 BP\KB BM\75K\"/>
    </mc:Choice>
  </mc:AlternateContent>
  <xr:revisionPtr revIDLastSave="0" documentId="13_ncr:1_{E7D993BC-6893-41C0-A5BA-B71366018253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O232" i="2" l="1"/>
  <c r="O231" i="2"/>
  <c r="O230" i="2"/>
  <c r="O229" i="2"/>
  <c r="O228" i="2"/>
  <c r="O227" i="2"/>
  <c r="O226" i="2"/>
  <c r="O225" i="2"/>
  <c r="O224" i="2"/>
  <c r="O223" i="2"/>
  <c r="K223" i="2"/>
  <c r="I223" i="2"/>
  <c r="B223" i="2"/>
  <c r="E223" i="2" s="1"/>
  <c r="O222" i="2"/>
  <c r="I222" i="2"/>
  <c r="K222" i="2" s="1"/>
  <c r="E222" i="2"/>
  <c r="B222" i="2"/>
  <c r="O221" i="2"/>
  <c r="K221" i="2"/>
  <c r="I221" i="2"/>
  <c r="B221" i="2"/>
  <c r="E221" i="2" s="1"/>
  <c r="O220" i="2"/>
  <c r="I220" i="2"/>
  <c r="K220" i="2" s="1"/>
  <c r="E220" i="2"/>
  <c r="B220" i="2"/>
  <c r="O219" i="2"/>
  <c r="K219" i="2"/>
  <c r="I219" i="2"/>
  <c r="B219" i="2"/>
  <c r="E219" i="2" s="1"/>
  <c r="O218" i="2"/>
  <c r="I218" i="2"/>
  <c r="K218" i="2" s="1"/>
  <c r="E218" i="2"/>
  <c r="B218" i="2"/>
  <c r="O217" i="2"/>
  <c r="K217" i="2"/>
  <c r="I217" i="2"/>
  <c r="B217" i="2"/>
  <c r="E217" i="2" s="1"/>
  <c r="O216" i="2"/>
  <c r="I216" i="2"/>
  <c r="K216" i="2" s="1"/>
  <c r="E216" i="2"/>
  <c r="B216" i="2"/>
  <c r="O215" i="2"/>
  <c r="K215" i="2"/>
  <c r="I215" i="2"/>
  <c r="B215" i="2"/>
  <c r="E215" i="2" s="1"/>
  <c r="O214" i="2"/>
  <c r="I214" i="2"/>
  <c r="K214" i="2" s="1"/>
  <c r="E214" i="2"/>
  <c r="B214" i="2"/>
  <c r="O213" i="2"/>
  <c r="K213" i="2"/>
  <c r="I213" i="2"/>
  <c r="B213" i="2"/>
  <c r="E213" i="2" s="1"/>
  <c r="O212" i="2"/>
  <c r="I212" i="2"/>
  <c r="K212" i="2" s="1"/>
  <c r="E212" i="2"/>
  <c r="B212" i="2"/>
  <c r="O211" i="2"/>
  <c r="K211" i="2"/>
  <c r="I211" i="2"/>
  <c r="B211" i="2"/>
  <c r="E211" i="2" s="1"/>
  <c r="O210" i="2"/>
  <c r="I210" i="2"/>
  <c r="K210" i="2" s="1"/>
  <c r="E210" i="2"/>
  <c r="B210" i="2"/>
  <c r="O209" i="2"/>
  <c r="K209" i="2"/>
  <c r="I209" i="2"/>
  <c r="B209" i="2"/>
  <c r="E209" i="2" s="1"/>
  <c r="O208" i="2"/>
  <c r="I208" i="2"/>
  <c r="K208" i="2" s="1"/>
  <c r="E208" i="2"/>
  <c r="B208" i="2"/>
  <c r="O207" i="2"/>
  <c r="K207" i="2"/>
  <c r="I207" i="2"/>
  <c r="B207" i="2"/>
  <c r="E207" i="2" s="1"/>
  <c r="O206" i="2"/>
  <c r="I206" i="2"/>
  <c r="K206" i="2" s="1"/>
  <c r="E206" i="2"/>
  <c r="B206" i="2"/>
  <c r="O205" i="2"/>
  <c r="K205" i="2"/>
  <c r="I205" i="2"/>
  <c r="B205" i="2"/>
  <c r="E205" i="2" s="1"/>
  <c r="O204" i="2"/>
  <c r="I204" i="2"/>
  <c r="K204" i="2" s="1"/>
  <c r="E204" i="2"/>
  <c r="B204" i="2"/>
  <c r="O203" i="2"/>
  <c r="K203" i="2"/>
  <c r="I203" i="2"/>
  <c r="B203" i="2"/>
  <c r="E203" i="2" s="1"/>
  <c r="O202" i="2"/>
  <c r="I202" i="2"/>
  <c r="K202" i="2" s="1"/>
  <c r="E202" i="2"/>
  <c r="B202" i="2"/>
  <c r="O201" i="2"/>
  <c r="K201" i="2"/>
  <c r="I201" i="2"/>
  <c r="B201" i="2"/>
  <c r="E201" i="2" s="1"/>
  <c r="O200" i="2"/>
  <c r="I200" i="2"/>
  <c r="K200" i="2" s="1"/>
  <c r="E200" i="2"/>
  <c r="B200" i="2"/>
  <c r="O199" i="2"/>
  <c r="K199" i="2"/>
  <c r="I199" i="2"/>
  <c r="B199" i="2"/>
  <c r="E199" i="2" s="1"/>
  <c r="O198" i="2"/>
  <c r="I198" i="2"/>
  <c r="K198" i="2" s="1"/>
  <c r="E198" i="2"/>
  <c r="B198" i="2"/>
  <c r="O197" i="2"/>
  <c r="K197" i="2"/>
  <c r="I197" i="2"/>
  <c r="B197" i="2"/>
  <c r="E197" i="2" s="1"/>
  <c r="O196" i="2"/>
  <c r="I196" i="2"/>
  <c r="K196" i="2" s="1"/>
  <c r="E196" i="2"/>
  <c r="B196" i="2"/>
  <c r="O195" i="2"/>
  <c r="K195" i="2"/>
  <c r="I195" i="2"/>
  <c r="F195" i="2"/>
  <c r="B195" i="2"/>
  <c r="E195" i="2" s="1"/>
  <c r="O194" i="2"/>
  <c r="K194" i="2"/>
  <c r="I194" i="2"/>
  <c r="F194" i="2"/>
  <c r="B194" i="2"/>
  <c r="E194" i="2" s="1"/>
  <c r="O193" i="2"/>
  <c r="I193" i="2"/>
  <c r="F193" i="2"/>
  <c r="E193" i="2"/>
  <c r="B193" i="2"/>
  <c r="O192" i="2"/>
  <c r="I192" i="2"/>
  <c r="F192" i="2"/>
  <c r="K192" i="2" s="1"/>
  <c r="E192" i="2"/>
  <c r="B192" i="2"/>
  <c r="O191" i="2"/>
  <c r="K191" i="2"/>
  <c r="I191" i="2"/>
  <c r="F191" i="2"/>
  <c r="E191" i="2"/>
  <c r="B191" i="2"/>
  <c r="O190" i="2"/>
  <c r="I190" i="2"/>
  <c r="K190" i="2" s="1"/>
  <c r="F190" i="2"/>
  <c r="B190" i="2"/>
  <c r="E190" i="2" s="1"/>
  <c r="O189" i="2"/>
  <c r="I189" i="2"/>
  <c r="K189" i="2" s="1"/>
  <c r="F189" i="2"/>
  <c r="E189" i="2"/>
  <c r="B189" i="2"/>
  <c r="O188" i="2"/>
  <c r="I188" i="2"/>
  <c r="F188" i="2"/>
  <c r="K188" i="2" s="1"/>
  <c r="E188" i="2"/>
  <c r="B188" i="2"/>
  <c r="O187" i="2"/>
  <c r="K187" i="2"/>
  <c r="I187" i="2"/>
  <c r="F187" i="2"/>
  <c r="B187" i="2"/>
  <c r="E187" i="2" s="1"/>
  <c r="O186" i="2"/>
  <c r="K186" i="2"/>
  <c r="I186" i="2"/>
  <c r="F186" i="2"/>
  <c r="B186" i="2"/>
  <c r="E186" i="2" s="1"/>
  <c r="O185" i="2"/>
  <c r="I185" i="2"/>
  <c r="F185" i="2"/>
  <c r="E185" i="2"/>
  <c r="B185" i="2"/>
  <c r="O184" i="2"/>
  <c r="I184" i="2"/>
  <c r="F184" i="2"/>
  <c r="K184" i="2" s="1"/>
  <c r="E184" i="2"/>
  <c r="B184" i="2"/>
  <c r="O183" i="2"/>
  <c r="K183" i="2"/>
  <c r="I183" i="2"/>
  <c r="F183" i="2"/>
  <c r="E183" i="2"/>
  <c r="B183" i="2"/>
  <c r="O182" i="2"/>
  <c r="I182" i="2"/>
  <c r="K182" i="2" s="1"/>
  <c r="F182" i="2"/>
  <c r="B182" i="2"/>
  <c r="E182" i="2" s="1"/>
  <c r="O181" i="2"/>
  <c r="I181" i="2"/>
  <c r="K181" i="2" s="1"/>
  <c r="F181" i="2"/>
  <c r="E181" i="2"/>
  <c r="B181" i="2"/>
  <c r="O180" i="2"/>
  <c r="I180" i="2"/>
  <c r="F180" i="2"/>
  <c r="K180" i="2" s="1"/>
  <c r="E180" i="2"/>
  <c r="B180" i="2"/>
  <c r="O179" i="2"/>
  <c r="K179" i="2"/>
  <c r="I179" i="2"/>
  <c r="F179" i="2"/>
  <c r="B179" i="2"/>
  <c r="E179" i="2" s="1"/>
  <c r="O178" i="2"/>
  <c r="K178" i="2"/>
  <c r="I178" i="2"/>
  <c r="F178" i="2"/>
  <c r="B178" i="2"/>
  <c r="E178" i="2" s="1"/>
  <c r="O177" i="2"/>
  <c r="I177" i="2"/>
  <c r="F177" i="2"/>
  <c r="E177" i="2"/>
  <c r="B177" i="2"/>
  <c r="O176" i="2"/>
  <c r="I176" i="2"/>
  <c r="F176" i="2"/>
  <c r="K176" i="2" s="1"/>
  <c r="E176" i="2"/>
  <c r="B176" i="2"/>
  <c r="O175" i="2"/>
  <c r="K175" i="2"/>
  <c r="I175" i="2"/>
  <c r="F175" i="2"/>
  <c r="E175" i="2"/>
  <c r="B175" i="2"/>
  <c r="O174" i="2"/>
  <c r="I174" i="2"/>
  <c r="K174" i="2" s="1"/>
  <c r="F174" i="2"/>
  <c r="B174" i="2"/>
  <c r="E174" i="2" s="1"/>
  <c r="O173" i="2"/>
  <c r="I173" i="2"/>
  <c r="K173" i="2" s="1"/>
  <c r="F173" i="2"/>
  <c r="E173" i="2"/>
  <c r="B173" i="2"/>
  <c r="O172" i="2"/>
  <c r="I172" i="2"/>
  <c r="F172" i="2"/>
  <c r="K172" i="2" s="1"/>
  <c r="E172" i="2"/>
  <c r="B172" i="2"/>
  <c r="O171" i="2"/>
  <c r="K171" i="2"/>
  <c r="I171" i="2"/>
  <c r="F171" i="2"/>
  <c r="B171" i="2"/>
  <c r="E171" i="2" s="1"/>
  <c r="O170" i="2"/>
  <c r="K170" i="2"/>
  <c r="I170" i="2"/>
  <c r="F170" i="2"/>
  <c r="B170" i="2"/>
  <c r="E170" i="2" s="1"/>
  <c r="O169" i="2"/>
  <c r="I169" i="2"/>
  <c r="F169" i="2"/>
  <c r="E169" i="2"/>
  <c r="B169" i="2"/>
  <c r="O168" i="2"/>
  <c r="I168" i="2"/>
  <c r="F168" i="2"/>
  <c r="E168" i="2"/>
  <c r="B168" i="2"/>
  <c r="O167" i="2"/>
  <c r="K167" i="2"/>
  <c r="I167" i="2"/>
  <c r="F167" i="2"/>
  <c r="E167" i="2"/>
  <c r="B167" i="2"/>
  <c r="O166" i="2"/>
  <c r="I166" i="2"/>
  <c r="K166" i="2" s="1"/>
  <c r="F166" i="2"/>
  <c r="B166" i="2"/>
  <c r="E166" i="2" s="1"/>
  <c r="O165" i="2"/>
  <c r="I165" i="2"/>
  <c r="K165" i="2" s="1"/>
  <c r="F165" i="2"/>
  <c r="E165" i="2"/>
  <c r="B165" i="2"/>
  <c r="O164" i="2"/>
  <c r="I164" i="2"/>
  <c r="F164" i="2"/>
  <c r="K164" i="2" s="1"/>
  <c r="E164" i="2"/>
  <c r="B164" i="2"/>
  <c r="O163" i="2"/>
  <c r="K163" i="2"/>
  <c r="I163" i="2"/>
  <c r="F163" i="2"/>
  <c r="B163" i="2"/>
  <c r="E163" i="2" s="1"/>
  <c r="O162" i="2"/>
  <c r="K162" i="2"/>
  <c r="I162" i="2"/>
  <c r="F162" i="2"/>
  <c r="B162" i="2"/>
  <c r="E162" i="2" s="1"/>
  <c r="O161" i="2"/>
  <c r="I161" i="2"/>
  <c r="F161" i="2"/>
  <c r="E161" i="2"/>
  <c r="B161" i="2"/>
  <c r="O160" i="2"/>
  <c r="I160" i="2"/>
  <c r="F160" i="2"/>
  <c r="E160" i="2"/>
  <c r="B160" i="2"/>
  <c r="O159" i="2"/>
  <c r="K159" i="2"/>
  <c r="I159" i="2"/>
  <c r="F159" i="2"/>
  <c r="E159" i="2"/>
  <c r="B159" i="2"/>
  <c r="O158" i="2"/>
  <c r="I158" i="2"/>
  <c r="K158" i="2" s="1"/>
  <c r="F158" i="2"/>
  <c r="B158" i="2"/>
  <c r="E158" i="2" s="1"/>
  <c r="O157" i="2"/>
  <c r="I157" i="2"/>
  <c r="K157" i="2" s="1"/>
  <c r="F157" i="2"/>
  <c r="B157" i="2"/>
  <c r="E157" i="2" s="1"/>
  <c r="O156" i="2"/>
  <c r="I156" i="2"/>
  <c r="F156" i="2"/>
  <c r="E156" i="2"/>
  <c r="B156" i="2"/>
  <c r="O155" i="2"/>
  <c r="K155" i="2"/>
  <c r="I155" i="2"/>
  <c r="F155" i="2"/>
  <c r="E155" i="2"/>
  <c r="B155" i="2"/>
  <c r="O154" i="2"/>
  <c r="I154" i="2"/>
  <c r="K154" i="2" s="1"/>
  <c r="F154" i="2"/>
  <c r="B154" i="2"/>
  <c r="E154" i="2" s="1"/>
  <c r="O153" i="2"/>
  <c r="I153" i="2"/>
  <c r="K153" i="2" s="1"/>
  <c r="F153" i="2"/>
  <c r="B153" i="2"/>
  <c r="E153" i="2" s="1"/>
  <c r="O152" i="2"/>
  <c r="I152" i="2"/>
  <c r="F152" i="2"/>
  <c r="E152" i="2"/>
  <c r="B152" i="2"/>
  <c r="O151" i="2"/>
  <c r="K151" i="2"/>
  <c r="I151" i="2"/>
  <c r="F151" i="2"/>
  <c r="E151" i="2"/>
  <c r="B151" i="2"/>
  <c r="O150" i="2"/>
  <c r="I150" i="2"/>
  <c r="K150" i="2" s="1"/>
  <c r="F150" i="2"/>
  <c r="B150" i="2"/>
  <c r="E150" i="2" s="1"/>
  <c r="O149" i="2"/>
  <c r="I149" i="2"/>
  <c r="K149" i="2" s="1"/>
  <c r="F149" i="2"/>
  <c r="E149" i="2"/>
  <c r="B149" i="2"/>
  <c r="O148" i="2"/>
  <c r="I148" i="2"/>
  <c r="K148" i="2" s="1"/>
  <c r="F148" i="2"/>
  <c r="E148" i="2"/>
  <c r="B148" i="2"/>
  <c r="O147" i="2"/>
  <c r="K147" i="2"/>
  <c r="I147" i="2"/>
  <c r="F147" i="2"/>
  <c r="B147" i="2"/>
  <c r="E147" i="2" s="1"/>
  <c r="O146" i="2"/>
  <c r="K146" i="2"/>
  <c r="I146" i="2"/>
  <c r="F146" i="2"/>
  <c r="B146" i="2"/>
  <c r="E146" i="2" s="1"/>
  <c r="O145" i="2"/>
  <c r="I145" i="2"/>
  <c r="F145" i="2"/>
  <c r="E145" i="2"/>
  <c r="B145" i="2"/>
  <c r="O144" i="2"/>
  <c r="I144" i="2"/>
  <c r="F144" i="2"/>
  <c r="E144" i="2"/>
  <c r="B144" i="2"/>
  <c r="O143" i="2"/>
  <c r="K143" i="2"/>
  <c r="I143" i="2"/>
  <c r="F143" i="2"/>
  <c r="E143" i="2"/>
  <c r="B143" i="2"/>
  <c r="O142" i="2"/>
  <c r="I142" i="2"/>
  <c r="K142" i="2" s="1"/>
  <c r="F142" i="2"/>
  <c r="B142" i="2"/>
  <c r="E142" i="2" s="1"/>
  <c r="O141" i="2"/>
  <c r="I141" i="2"/>
  <c r="K141" i="2" s="1"/>
  <c r="F141" i="2"/>
  <c r="B141" i="2"/>
  <c r="E141" i="2" s="1"/>
  <c r="O140" i="2"/>
  <c r="I140" i="2"/>
  <c r="F140" i="2"/>
  <c r="E140" i="2"/>
  <c r="B140" i="2"/>
  <c r="O139" i="2"/>
  <c r="K139" i="2"/>
  <c r="I139" i="2"/>
  <c r="F139" i="2"/>
  <c r="E139" i="2"/>
  <c r="B139" i="2"/>
  <c r="O138" i="2"/>
  <c r="I138" i="2"/>
  <c r="K138" i="2" s="1"/>
  <c r="F138" i="2"/>
  <c r="B138" i="2"/>
  <c r="E138" i="2" s="1"/>
  <c r="O137" i="2"/>
  <c r="I137" i="2"/>
  <c r="K137" i="2" s="1"/>
  <c r="F137" i="2"/>
  <c r="E137" i="2"/>
  <c r="B137" i="2"/>
  <c r="O136" i="2"/>
  <c r="I136" i="2"/>
  <c r="K136" i="2" s="1"/>
  <c r="F136" i="2"/>
  <c r="E136" i="2"/>
  <c r="B136" i="2"/>
  <c r="O135" i="2"/>
  <c r="K135" i="2"/>
  <c r="I135" i="2"/>
  <c r="F135" i="2"/>
  <c r="B135" i="2"/>
  <c r="E135" i="2" s="1"/>
  <c r="O134" i="2"/>
  <c r="K134" i="2"/>
  <c r="I134" i="2"/>
  <c r="F134" i="2"/>
  <c r="B134" i="2"/>
  <c r="E134" i="2" s="1"/>
  <c r="O133" i="2"/>
  <c r="I133" i="2"/>
  <c r="F133" i="2"/>
  <c r="B133" i="2"/>
  <c r="E133" i="2" s="1"/>
  <c r="O132" i="2"/>
  <c r="I132" i="2"/>
  <c r="K132" i="2" s="1"/>
  <c r="F132" i="2"/>
  <c r="E132" i="2"/>
  <c r="B132" i="2"/>
  <c r="O131" i="2"/>
  <c r="K131" i="2"/>
  <c r="I131" i="2"/>
  <c r="F131" i="2"/>
  <c r="B131" i="2"/>
  <c r="E131" i="2" s="1"/>
  <c r="O130" i="2"/>
  <c r="K130" i="2"/>
  <c r="I130" i="2"/>
  <c r="F130" i="2"/>
  <c r="B130" i="2"/>
  <c r="E130" i="2" s="1"/>
  <c r="O129" i="2"/>
  <c r="I129" i="2"/>
  <c r="F129" i="2"/>
  <c r="B129" i="2"/>
  <c r="E129" i="2" s="1"/>
  <c r="O128" i="2"/>
  <c r="I128" i="2"/>
  <c r="K128" i="2" s="1"/>
  <c r="F128" i="2"/>
  <c r="E128" i="2"/>
  <c r="B128" i="2"/>
  <c r="O127" i="2"/>
  <c r="K127" i="2"/>
  <c r="I127" i="2"/>
  <c r="F127" i="2"/>
  <c r="B127" i="2"/>
  <c r="E127" i="2" s="1"/>
  <c r="O126" i="2"/>
  <c r="K126" i="2"/>
  <c r="I126" i="2"/>
  <c r="F126" i="2"/>
  <c r="B126" i="2"/>
  <c r="E126" i="2" s="1"/>
  <c r="O125" i="2"/>
  <c r="I125" i="2"/>
  <c r="F125" i="2"/>
  <c r="B125" i="2"/>
  <c r="E125" i="2" s="1"/>
  <c r="O124" i="2"/>
  <c r="I124" i="2"/>
  <c r="K124" i="2" s="1"/>
  <c r="F124" i="2"/>
  <c r="E124" i="2"/>
  <c r="B124" i="2"/>
  <c r="O123" i="2"/>
  <c r="K123" i="2"/>
  <c r="I123" i="2"/>
  <c r="F123" i="2"/>
  <c r="B123" i="2"/>
  <c r="E123" i="2" s="1"/>
  <c r="O122" i="2"/>
  <c r="K122" i="2"/>
  <c r="I122" i="2"/>
  <c r="F122" i="2"/>
  <c r="B122" i="2"/>
  <c r="E122" i="2" s="1"/>
  <c r="O121" i="2"/>
  <c r="I121" i="2"/>
  <c r="K121" i="2" s="1"/>
  <c r="F121" i="2"/>
  <c r="E121" i="2"/>
  <c r="B121" i="2"/>
  <c r="O120" i="2"/>
  <c r="K120" i="2"/>
  <c r="I120" i="2"/>
  <c r="F120" i="2"/>
  <c r="B120" i="2"/>
  <c r="E120" i="2" s="1"/>
  <c r="O119" i="2"/>
  <c r="I119" i="2"/>
  <c r="K119" i="2" s="1"/>
  <c r="F119" i="2"/>
  <c r="E119" i="2"/>
  <c r="B119" i="2"/>
  <c r="O118" i="2"/>
  <c r="I118" i="2"/>
  <c r="F118" i="2"/>
  <c r="K118" i="2" s="1"/>
  <c r="B118" i="2"/>
  <c r="E118" i="2" s="1"/>
  <c r="O117" i="2"/>
  <c r="I117" i="2"/>
  <c r="K117" i="2" s="1"/>
  <c r="F117" i="2"/>
  <c r="E117" i="2"/>
  <c r="B117" i="2"/>
  <c r="O116" i="2"/>
  <c r="K116" i="2"/>
  <c r="I116" i="2"/>
  <c r="F116" i="2"/>
  <c r="B116" i="2"/>
  <c r="E116" i="2" s="1"/>
  <c r="O115" i="2"/>
  <c r="I115" i="2"/>
  <c r="K115" i="2" s="1"/>
  <c r="F115" i="2"/>
  <c r="E115" i="2"/>
  <c r="B115" i="2"/>
  <c r="O114" i="2"/>
  <c r="I114" i="2"/>
  <c r="F114" i="2"/>
  <c r="K114" i="2" s="1"/>
  <c r="B114" i="2"/>
  <c r="E114" i="2" s="1"/>
  <c r="O113" i="2"/>
  <c r="I113" i="2"/>
  <c r="K113" i="2" s="1"/>
  <c r="F113" i="2"/>
  <c r="E113" i="2"/>
  <c r="B113" i="2"/>
  <c r="O112" i="2"/>
  <c r="K112" i="2"/>
  <c r="I112" i="2"/>
  <c r="F112" i="2"/>
  <c r="B112" i="2"/>
  <c r="E112" i="2" s="1"/>
  <c r="O111" i="2"/>
  <c r="I111" i="2"/>
  <c r="K111" i="2" s="1"/>
  <c r="F111" i="2"/>
  <c r="E111" i="2"/>
  <c r="B111" i="2"/>
  <c r="O110" i="2"/>
  <c r="I110" i="2"/>
  <c r="F110" i="2"/>
  <c r="K110" i="2" s="1"/>
  <c r="B110" i="2"/>
  <c r="E110" i="2" s="1"/>
  <c r="O109" i="2"/>
  <c r="I109" i="2"/>
  <c r="K109" i="2" s="1"/>
  <c r="F109" i="2"/>
  <c r="E109" i="2"/>
  <c r="B109" i="2"/>
  <c r="O108" i="2"/>
  <c r="K108" i="2"/>
  <c r="I108" i="2"/>
  <c r="F108" i="2"/>
  <c r="B108" i="2"/>
  <c r="E108" i="2" s="1"/>
  <c r="O107" i="2"/>
  <c r="I107" i="2"/>
  <c r="K107" i="2" s="1"/>
  <c r="F107" i="2"/>
  <c r="E107" i="2"/>
  <c r="B107" i="2"/>
  <c r="O106" i="2"/>
  <c r="I106" i="2"/>
  <c r="F106" i="2"/>
  <c r="K106" i="2" s="1"/>
  <c r="B106" i="2"/>
  <c r="E106" i="2" s="1"/>
  <c r="O105" i="2"/>
  <c r="I105" i="2"/>
  <c r="K105" i="2" s="1"/>
  <c r="F105" i="2"/>
  <c r="E105" i="2"/>
  <c r="B105" i="2"/>
  <c r="O104" i="2"/>
  <c r="K104" i="2"/>
  <c r="I104" i="2"/>
  <c r="F104" i="2"/>
  <c r="B104" i="2"/>
  <c r="E104" i="2" s="1"/>
  <c r="O103" i="2"/>
  <c r="I103" i="2"/>
  <c r="K103" i="2" s="1"/>
  <c r="F103" i="2"/>
  <c r="E103" i="2"/>
  <c r="B103" i="2"/>
  <c r="O102" i="2"/>
  <c r="I102" i="2"/>
  <c r="F102" i="2"/>
  <c r="K102" i="2" s="1"/>
  <c r="B102" i="2"/>
  <c r="E102" i="2" s="1"/>
  <c r="O101" i="2"/>
  <c r="I101" i="2"/>
  <c r="K101" i="2" s="1"/>
  <c r="F101" i="2"/>
  <c r="E101" i="2"/>
  <c r="B101" i="2"/>
  <c r="O100" i="2"/>
  <c r="K100" i="2"/>
  <c r="I100" i="2"/>
  <c r="F100" i="2"/>
  <c r="B100" i="2"/>
  <c r="E100" i="2" s="1"/>
  <c r="O99" i="2"/>
  <c r="I99" i="2"/>
  <c r="K99" i="2" s="1"/>
  <c r="F99" i="2"/>
  <c r="E99" i="2"/>
  <c r="B99" i="2"/>
  <c r="O98" i="2"/>
  <c r="I98" i="2"/>
  <c r="F98" i="2"/>
  <c r="K98" i="2" s="1"/>
  <c r="B98" i="2"/>
  <c r="E98" i="2" s="1"/>
  <c r="O97" i="2"/>
  <c r="I97" i="2"/>
  <c r="K97" i="2" s="1"/>
  <c r="F97" i="2"/>
  <c r="E97" i="2"/>
  <c r="B97" i="2"/>
  <c r="O96" i="2"/>
  <c r="K96" i="2"/>
  <c r="I96" i="2"/>
  <c r="F96" i="2"/>
  <c r="B96" i="2"/>
  <c r="E96" i="2" s="1"/>
  <c r="O95" i="2"/>
  <c r="I95" i="2"/>
  <c r="K95" i="2" s="1"/>
  <c r="F95" i="2"/>
  <c r="E95" i="2"/>
  <c r="B95" i="2"/>
  <c r="O94" i="2"/>
  <c r="I94" i="2"/>
  <c r="F94" i="2"/>
  <c r="K94" i="2" s="1"/>
  <c r="B94" i="2"/>
  <c r="E94" i="2" s="1"/>
  <c r="O93" i="2"/>
  <c r="I93" i="2"/>
  <c r="K93" i="2" s="1"/>
  <c r="F93" i="2"/>
  <c r="E93" i="2"/>
  <c r="B93" i="2"/>
  <c r="O92" i="2"/>
  <c r="K92" i="2"/>
  <c r="I92" i="2"/>
  <c r="F92" i="2"/>
  <c r="B92" i="2"/>
  <c r="E92" i="2" s="1"/>
  <c r="O91" i="2"/>
  <c r="I91" i="2"/>
  <c r="K91" i="2" s="1"/>
  <c r="F91" i="2"/>
  <c r="E91" i="2"/>
  <c r="B91" i="2"/>
  <c r="O90" i="2"/>
  <c r="I90" i="2"/>
  <c r="F90" i="2"/>
  <c r="K90" i="2" s="1"/>
  <c r="B90" i="2"/>
  <c r="E90" i="2" s="1"/>
  <c r="O89" i="2"/>
  <c r="I89" i="2"/>
  <c r="K89" i="2" s="1"/>
  <c r="F89" i="2"/>
  <c r="E89" i="2"/>
  <c r="B89" i="2"/>
  <c r="O88" i="2"/>
  <c r="K88" i="2"/>
  <c r="I88" i="2"/>
  <c r="F88" i="2"/>
  <c r="B88" i="2"/>
  <c r="E88" i="2" s="1"/>
  <c r="O87" i="2"/>
  <c r="I87" i="2"/>
  <c r="K87" i="2" s="1"/>
  <c r="F87" i="2"/>
  <c r="E87" i="2"/>
  <c r="B87" i="2"/>
  <c r="O86" i="2"/>
  <c r="I86" i="2"/>
  <c r="F86" i="2"/>
  <c r="K86" i="2" s="1"/>
  <c r="B86" i="2"/>
  <c r="E86" i="2" s="1"/>
  <c r="O85" i="2"/>
  <c r="I85" i="2"/>
  <c r="K85" i="2" s="1"/>
  <c r="F85" i="2"/>
  <c r="E85" i="2"/>
  <c r="B85" i="2"/>
  <c r="O84" i="2"/>
  <c r="K84" i="2"/>
  <c r="I84" i="2"/>
  <c r="F84" i="2"/>
  <c r="B84" i="2"/>
  <c r="E84" i="2" s="1"/>
  <c r="O83" i="2"/>
  <c r="I83" i="2"/>
  <c r="K83" i="2" s="1"/>
  <c r="F83" i="2"/>
  <c r="E83" i="2"/>
  <c r="B83" i="2"/>
  <c r="O82" i="2"/>
  <c r="I82" i="2"/>
  <c r="F82" i="2"/>
  <c r="K82" i="2" s="1"/>
  <c r="B82" i="2"/>
  <c r="E82" i="2" s="1"/>
  <c r="O81" i="2"/>
  <c r="I81" i="2"/>
  <c r="K81" i="2" s="1"/>
  <c r="F81" i="2"/>
  <c r="E81" i="2"/>
  <c r="B81" i="2"/>
  <c r="O80" i="2"/>
  <c r="K80" i="2"/>
  <c r="I80" i="2"/>
  <c r="F80" i="2"/>
  <c r="B80" i="2"/>
  <c r="E80" i="2" s="1"/>
  <c r="O79" i="2"/>
  <c r="I79" i="2"/>
  <c r="K79" i="2" s="1"/>
  <c r="F79" i="2"/>
  <c r="E79" i="2"/>
  <c r="B79" i="2"/>
  <c r="O78" i="2"/>
  <c r="I78" i="2"/>
  <c r="F78" i="2"/>
  <c r="K78" i="2" s="1"/>
  <c r="B78" i="2"/>
  <c r="E78" i="2" s="1"/>
  <c r="O77" i="2"/>
  <c r="I77" i="2"/>
  <c r="K77" i="2" s="1"/>
  <c r="F77" i="2"/>
  <c r="E77" i="2"/>
  <c r="B77" i="2"/>
  <c r="O76" i="2"/>
  <c r="K76" i="2"/>
  <c r="I76" i="2"/>
  <c r="F76" i="2"/>
  <c r="B76" i="2"/>
  <c r="E76" i="2" s="1"/>
  <c r="O75" i="2"/>
  <c r="I75" i="2"/>
  <c r="K75" i="2" s="1"/>
  <c r="F75" i="2"/>
  <c r="E75" i="2"/>
  <c r="B75" i="2"/>
  <c r="O74" i="2"/>
  <c r="I74" i="2"/>
  <c r="F74" i="2"/>
  <c r="K74" i="2" s="1"/>
  <c r="B74" i="2"/>
  <c r="E74" i="2" s="1"/>
  <c r="O73" i="2"/>
  <c r="I73" i="2"/>
  <c r="K73" i="2" s="1"/>
  <c r="F73" i="2"/>
  <c r="E73" i="2"/>
  <c r="B73" i="2"/>
  <c r="O72" i="2"/>
  <c r="K72" i="2"/>
  <c r="I72" i="2"/>
  <c r="F72" i="2"/>
  <c r="B72" i="2"/>
  <c r="E72" i="2" s="1"/>
  <c r="O71" i="2"/>
  <c r="I71" i="2"/>
  <c r="K71" i="2" s="1"/>
  <c r="F71" i="2"/>
  <c r="E71" i="2"/>
  <c r="B71" i="2"/>
  <c r="O70" i="2"/>
  <c r="I70" i="2"/>
  <c r="F70" i="2"/>
  <c r="K70" i="2" s="1"/>
  <c r="B70" i="2"/>
  <c r="E70" i="2" s="1"/>
  <c r="O69" i="2"/>
  <c r="I69" i="2"/>
  <c r="K69" i="2" s="1"/>
  <c r="F69" i="2"/>
  <c r="E69" i="2"/>
  <c r="B69" i="2"/>
  <c r="O68" i="2"/>
  <c r="K68" i="2"/>
  <c r="I68" i="2"/>
  <c r="F68" i="2"/>
  <c r="B68" i="2"/>
  <c r="E68" i="2" s="1"/>
  <c r="O67" i="2"/>
  <c r="I67" i="2"/>
  <c r="K67" i="2" s="1"/>
  <c r="F67" i="2"/>
  <c r="E67" i="2"/>
  <c r="B67" i="2"/>
  <c r="O66" i="2"/>
  <c r="I66" i="2"/>
  <c r="F66" i="2"/>
  <c r="K66" i="2" s="1"/>
  <c r="B66" i="2"/>
  <c r="E66" i="2" s="1"/>
  <c r="O65" i="2"/>
  <c r="I65" i="2"/>
  <c r="K65" i="2" s="1"/>
  <c r="F65" i="2"/>
  <c r="E65" i="2"/>
  <c r="B65" i="2"/>
  <c r="O64" i="2"/>
  <c r="K64" i="2"/>
  <c r="I64" i="2"/>
  <c r="F64" i="2"/>
  <c r="B64" i="2"/>
  <c r="E64" i="2" s="1"/>
  <c r="O63" i="2"/>
  <c r="I63" i="2"/>
  <c r="K63" i="2" s="1"/>
  <c r="F63" i="2"/>
  <c r="E63" i="2"/>
  <c r="B63" i="2"/>
  <c r="O62" i="2"/>
  <c r="K62" i="2"/>
  <c r="I62" i="2"/>
  <c r="F62" i="2"/>
  <c r="B62" i="2"/>
  <c r="E62" i="2" s="1"/>
  <c r="O61" i="2"/>
  <c r="I61" i="2"/>
  <c r="K61" i="2" s="1"/>
  <c r="F61" i="2"/>
  <c r="E61" i="2"/>
  <c r="B61" i="2"/>
  <c r="O60" i="2"/>
  <c r="K60" i="2"/>
  <c r="I60" i="2"/>
  <c r="F60" i="2"/>
  <c r="B60" i="2"/>
  <c r="E60" i="2" s="1"/>
  <c r="O59" i="2"/>
  <c r="I59" i="2"/>
  <c r="K59" i="2" s="1"/>
  <c r="F59" i="2"/>
  <c r="E59" i="2"/>
  <c r="B59" i="2"/>
  <c r="O58" i="2"/>
  <c r="I58" i="2"/>
  <c r="F58" i="2"/>
  <c r="K58" i="2" s="1"/>
  <c r="B58" i="2"/>
  <c r="E58" i="2" s="1"/>
  <c r="O57" i="2"/>
  <c r="I57" i="2"/>
  <c r="K57" i="2" s="1"/>
  <c r="F57" i="2"/>
  <c r="E57" i="2"/>
  <c r="B57" i="2"/>
  <c r="O56" i="2"/>
  <c r="I56" i="2"/>
  <c r="F56" i="2"/>
  <c r="K56" i="2" s="1"/>
  <c r="B56" i="2"/>
  <c r="E56" i="2" s="1"/>
  <c r="O55" i="2"/>
  <c r="I55" i="2"/>
  <c r="K55" i="2" s="1"/>
  <c r="F55" i="2"/>
  <c r="B55" i="2"/>
  <c r="E55" i="2" s="1"/>
  <c r="O54" i="2"/>
  <c r="I54" i="2"/>
  <c r="K54" i="2" s="1"/>
  <c r="F54" i="2"/>
  <c r="E54" i="2"/>
  <c r="B54" i="2"/>
  <c r="O53" i="2"/>
  <c r="K53" i="2"/>
  <c r="I53" i="2"/>
  <c r="F53" i="2"/>
  <c r="B53" i="2"/>
  <c r="E53" i="2" s="1"/>
  <c r="O52" i="2"/>
  <c r="I52" i="2"/>
  <c r="K52" i="2" s="1"/>
  <c r="F52" i="2"/>
  <c r="E52" i="2"/>
  <c r="B52" i="2"/>
  <c r="O51" i="2"/>
  <c r="I51" i="2"/>
  <c r="F51" i="2"/>
  <c r="K51" i="2" s="1"/>
  <c r="B51" i="2"/>
  <c r="E51" i="2" s="1"/>
  <c r="O50" i="2"/>
  <c r="I50" i="2"/>
  <c r="K50" i="2" s="1"/>
  <c r="F50" i="2"/>
  <c r="E50" i="2"/>
  <c r="B50" i="2"/>
  <c r="O49" i="2"/>
  <c r="K49" i="2"/>
  <c r="I49" i="2"/>
  <c r="F49" i="2"/>
  <c r="B49" i="2"/>
  <c r="E49" i="2" s="1"/>
  <c r="O48" i="2"/>
  <c r="I48" i="2"/>
  <c r="K48" i="2" s="1"/>
  <c r="F48" i="2"/>
  <c r="E48" i="2"/>
  <c r="B48" i="2"/>
  <c r="O47" i="2"/>
  <c r="I47" i="2"/>
  <c r="F47" i="2"/>
  <c r="K47" i="2" s="1"/>
  <c r="B47" i="2"/>
  <c r="E47" i="2" s="1"/>
  <c r="O46" i="2"/>
  <c r="I46" i="2"/>
  <c r="K46" i="2" s="1"/>
  <c r="F46" i="2"/>
  <c r="E46" i="2"/>
  <c r="B46" i="2"/>
  <c r="O45" i="2"/>
  <c r="K45" i="2"/>
  <c r="I45" i="2"/>
  <c r="F45" i="2"/>
  <c r="B45" i="2"/>
  <c r="E45" i="2" s="1"/>
  <c r="O44" i="2"/>
  <c r="I44" i="2"/>
  <c r="K44" i="2" s="1"/>
  <c r="F44" i="2"/>
  <c r="E44" i="2"/>
  <c r="B44" i="2"/>
  <c r="O43" i="2"/>
  <c r="I43" i="2"/>
  <c r="F43" i="2"/>
  <c r="K43" i="2" s="1"/>
  <c r="B43" i="2"/>
  <c r="E43" i="2" s="1"/>
  <c r="O42" i="2"/>
  <c r="I42" i="2"/>
  <c r="K42" i="2" s="1"/>
  <c r="F42" i="2"/>
  <c r="E42" i="2"/>
  <c r="B42" i="2"/>
  <c r="O41" i="2"/>
  <c r="K41" i="2"/>
  <c r="I41" i="2"/>
  <c r="F41" i="2"/>
  <c r="B41" i="2"/>
  <c r="E41" i="2" s="1"/>
  <c r="O40" i="2"/>
  <c r="I40" i="2"/>
  <c r="K40" i="2" s="1"/>
  <c r="F40" i="2"/>
  <c r="E40" i="2"/>
  <c r="B40" i="2"/>
  <c r="O39" i="2"/>
  <c r="I39" i="2"/>
  <c r="F39" i="2"/>
  <c r="K39" i="2" s="1"/>
  <c r="B39" i="2"/>
  <c r="E39" i="2" s="1"/>
  <c r="O38" i="2"/>
  <c r="I38" i="2"/>
  <c r="K38" i="2" s="1"/>
  <c r="F38" i="2"/>
  <c r="E38" i="2"/>
  <c r="B38" i="2"/>
  <c r="O37" i="2"/>
  <c r="K37" i="2"/>
  <c r="I37" i="2"/>
  <c r="F37" i="2"/>
  <c r="B37" i="2"/>
  <c r="E37" i="2" s="1"/>
  <c r="O36" i="2"/>
  <c r="I36" i="2"/>
  <c r="K36" i="2" s="1"/>
  <c r="F36" i="2"/>
  <c r="E36" i="2"/>
  <c r="B36" i="2"/>
  <c r="O35" i="2"/>
  <c r="I35" i="2"/>
  <c r="F35" i="2"/>
  <c r="K35" i="2" s="1"/>
  <c r="B35" i="2"/>
  <c r="E35" i="2" s="1"/>
  <c r="O34" i="2"/>
  <c r="I34" i="2"/>
  <c r="K34" i="2" s="1"/>
  <c r="F34" i="2"/>
  <c r="E34" i="2"/>
  <c r="B34" i="2"/>
  <c r="O33" i="2"/>
  <c r="K33" i="2"/>
  <c r="I33" i="2"/>
  <c r="F33" i="2"/>
  <c r="B33" i="2"/>
  <c r="E33" i="2" s="1"/>
  <c r="O32" i="2"/>
  <c r="I32" i="2"/>
  <c r="K32" i="2" s="1"/>
  <c r="F32" i="2"/>
  <c r="E32" i="2"/>
  <c r="B32" i="2"/>
  <c r="O31" i="2"/>
  <c r="I31" i="2"/>
  <c r="F31" i="2"/>
  <c r="K31" i="2" s="1"/>
  <c r="B31" i="2"/>
  <c r="E31" i="2" s="1"/>
  <c r="O30" i="2"/>
  <c r="I30" i="2"/>
  <c r="K30" i="2" s="1"/>
  <c r="F30" i="2"/>
  <c r="E30" i="2"/>
  <c r="B30" i="2"/>
  <c r="O29" i="2"/>
  <c r="K29" i="2"/>
  <c r="I29" i="2"/>
  <c r="F29" i="2"/>
  <c r="B29" i="2"/>
  <c r="E29" i="2" s="1"/>
  <c r="O28" i="2"/>
  <c r="I28" i="2"/>
  <c r="K28" i="2" s="1"/>
  <c r="F28" i="2"/>
  <c r="E28" i="2"/>
  <c r="B28" i="2"/>
  <c r="O27" i="2"/>
  <c r="I27" i="2"/>
  <c r="F27" i="2"/>
  <c r="K27" i="2" s="1"/>
  <c r="B27" i="2"/>
  <c r="E27" i="2" s="1"/>
  <c r="O26" i="2"/>
  <c r="I26" i="2"/>
  <c r="K26" i="2" s="1"/>
  <c r="F26" i="2"/>
  <c r="E26" i="2"/>
  <c r="B26" i="2"/>
  <c r="O25" i="2"/>
  <c r="K25" i="2"/>
  <c r="I25" i="2"/>
  <c r="F25" i="2"/>
  <c r="B25" i="2"/>
  <c r="E25" i="2" s="1"/>
  <c r="O24" i="2"/>
  <c r="I24" i="2"/>
  <c r="K24" i="2" s="1"/>
  <c r="F24" i="2"/>
  <c r="E24" i="2"/>
  <c r="B24" i="2"/>
  <c r="O23" i="2"/>
  <c r="I23" i="2"/>
  <c r="F23" i="2"/>
  <c r="K23" i="2" s="1"/>
  <c r="B23" i="2"/>
  <c r="E23" i="2" s="1"/>
  <c r="O22" i="2"/>
  <c r="I22" i="2"/>
  <c r="K22" i="2" s="1"/>
  <c r="F22" i="2"/>
  <c r="E22" i="2"/>
  <c r="B22" i="2"/>
  <c r="O21" i="2"/>
  <c r="I21" i="2"/>
  <c r="F21" i="2"/>
  <c r="K21" i="2" s="1"/>
  <c r="B21" i="2"/>
  <c r="E21" i="2" s="1"/>
  <c r="O20" i="2"/>
  <c r="I20" i="2"/>
  <c r="K20" i="2" s="1"/>
  <c r="F20" i="2"/>
  <c r="E20" i="2"/>
  <c r="B20" i="2"/>
  <c r="O19" i="2"/>
  <c r="K19" i="2"/>
  <c r="I19" i="2"/>
  <c r="F19" i="2"/>
  <c r="B19" i="2"/>
  <c r="E19" i="2" s="1"/>
  <c r="O18" i="2"/>
  <c r="I18" i="2"/>
  <c r="K18" i="2" s="1"/>
  <c r="F18" i="2"/>
  <c r="E18" i="2"/>
  <c r="B18" i="2"/>
  <c r="O17" i="2"/>
  <c r="K17" i="2"/>
  <c r="I17" i="2"/>
  <c r="F17" i="2"/>
  <c r="B17" i="2"/>
  <c r="E17" i="2" s="1"/>
  <c r="O16" i="2"/>
  <c r="I16" i="2"/>
  <c r="K16" i="2" s="1"/>
  <c r="F16" i="2"/>
  <c r="E16" i="2"/>
  <c r="B16" i="2"/>
  <c r="O15" i="2"/>
  <c r="I15" i="2"/>
  <c r="F15" i="2"/>
  <c r="K15" i="2" s="1"/>
  <c r="B15" i="2"/>
  <c r="E15" i="2" s="1"/>
  <c r="O14" i="2"/>
  <c r="I14" i="2"/>
  <c r="K14" i="2" s="1"/>
  <c r="F14" i="2"/>
  <c r="E14" i="2"/>
  <c r="B14" i="2"/>
  <c r="O13" i="2"/>
  <c r="I13" i="2"/>
  <c r="F13" i="2"/>
  <c r="K13" i="2" s="1"/>
  <c r="B13" i="2"/>
  <c r="E13" i="2" s="1"/>
  <c r="O12" i="2"/>
  <c r="I12" i="2"/>
  <c r="K12" i="2" s="1"/>
  <c r="F12" i="2"/>
  <c r="E12" i="2"/>
  <c r="B12" i="2"/>
  <c r="O11" i="2"/>
  <c r="K11" i="2"/>
  <c r="I11" i="2"/>
  <c r="F11" i="2"/>
  <c r="B11" i="2"/>
  <c r="E11" i="2" s="1"/>
  <c r="O10" i="2"/>
  <c r="I10" i="2"/>
  <c r="K10" i="2" s="1"/>
  <c r="F10" i="2"/>
  <c r="E10" i="2"/>
  <c r="B10" i="2"/>
  <c r="O9" i="2"/>
  <c r="K9" i="2"/>
  <c r="I9" i="2"/>
  <c r="F9" i="2"/>
  <c r="B9" i="2"/>
  <c r="E9" i="2" s="1"/>
  <c r="O8" i="2"/>
  <c r="I8" i="2"/>
  <c r="K8" i="2" s="1"/>
  <c r="F8" i="2"/>
  <c r="E8" i="2"/>
  <c r="B8" i="2"/>
  <c r="O7" i="2"/>
  <c r="I7" i="2"/>
  <c r="F7" i="2"/>
  <c r="K7" i="2" s="1"/>
  <c r="B7" i="2"/>
  <c r="E7" i="2" s="1"/>
  <c r="O6" i="2"/>
  <c r="I6" i="2"/>
  <c r="K6" i="2" s="1"/>
  <c r="F6" i="2"/>
  <c r="E6" i="2"/>
  <c r="B6" i="2"/>
  <c r="O5" i="2"/>
  <c r="I5" i="2"/>
  <c r="F5" i="2"/>
  <c r="K5" i="2" s="1"/>
  <c r="B5" i="2"/>
  <c r="E5" i="2" s="1"/>
  <c r="O4" i="2"/>
  <c r="I4" i="2"/>
  <c r="K4" i="2" s="1"/>
  <c r="F4" i="2"/>
  <c r="E4" i="2"/>
  <c r="B4" i="2"/>
  <c r="O3" i="2"/>
  <c r="K3" i="2"/>
  <c r="I3" i="2"/>
  <c r="F3" i="2"/>
  <c r="B3" i="2"/>
  <c r="E3" i="2" s="1"/>
  <c r="O2" i="2"/>
  <c r="I2" i="2"/>
  <c r="K2" i="2" s="1"/>
  <c r="F2" i="2"/>
  <c r="E2" i="2"/>
  <c r="B2" i="2"/>
  <c r="O303" i="1"/>
  <c r="N303" i="1"/>
  <c r="J303" i="1"/>
  <c r="M303" i="1" s="1"/>
  <c r="G303" i="1"/>
  <c r="F303" i="1"/>
  <c r="C303" i="1"/>
  <c r="H303" i="1" s="1"/>
  <c r="O302" i="1"/>
  <c r="N302" i="1"/>
  <c r="M302" i="1"/>
  <c r="J302" i="1"/>
  <c r="G302" i="1"/>
  <c r="F302" i="1"/>
  <c r="C302" i="1"/>
  <c r="H302" i="1" s="1"/>
  <c r="O301" i="1"/>
  <c r="N301" i="1"/>
  <c r="J301" i="1"/>
  <c r="M301" i="1" s="1"/>
  <c r="G301" i="1"/>
  <c r="F301" i="1"/>
  <c r="C301" i="1"/>
  <c r="H301" i="1" s="1"/>
  <c r="O300" i="1"/>
  <c r="N300" i="1"/>
  <c r="J300" i="1"/>
  <c r="M300" i="1" s="1"/>
  <c r="G300" i="1"/>
  <c r="F300" i="1"/>
  <c r="C300" i="1"/>
  <c r="H300" i="1" s="1"/>
  <c r="O299" i="1"/>
  <c r="N299" i="1"/>
  <c r="J299" i="1"/>
  <c r="M299" i="1" s="1"/>
  <c r="G299" i="1"/>
  <c r="F299" i="1"/>
  <c r="C299" i="1"/>
  <c r="H299" i="1" s="1"/>
  <c r="O298" i="1"/>
  <c r="N298" i="1"/>
  <c r="M298" i="1"/>
  <c r="J298" i="1"/>
  <c r="H298" i="1"/>
  <c r="G298" i="1"/>
  <c r="F298" i="1"/>
  <c r="C298" i="1"/>
  <c r="O297" i="1"/>
  <c r="N297" i="1"/>
  <c r="J297" i="1"/>
  <c r="M297" i="1" s="1"/>
  <c r="G297" i="1"/>
  <c r="F297" i="1"/>
  <c r="C297" i="1"/>
  <c r="H297" i="1" s="1"/>
  <c r="O296" i="1"/>
  <c r="N296" i="1"/>
  <c r="J296" i="1"/>
  <c r="M296" i="1" s="1"/>
  <c r="H296" i="1"/>
  <c r="G296" i="1"/>
  <c r="F296" i="1"/>
  <c r="C296" i="1"/>
  <c r="O295" i="1"/>
  <c r="N295" i="1"/>
  <c r="J295" i="1"/>
  <c r="M295" i="1" s="1"/>
  <c r="G295" i="1"/>
  <c r="F295" i="1"/>
  <c r="C295" i="1"/>
  <c r="H295" i="1" s="1"/>
  <c r="O294" i="1"/>
  <c r="N294" i="1"/>
  <c r="J294" i="1"/>
  <c r="M294" i="1" s="1"/>
  <c r="H294" i="1"/>
  <c r="G294" i="1"/>
  <c r="F294" i="1"/>
  <c r="C294" i="1"/>
  <c r="O293" i="1"/>
  <c r="N293" i="1"/>
  <c r="H293" i="1"/>
  <c r="G293" i="1"/>
  <c r="F293" i="1"/>
  <c r="J293" i="1" s="1"/>
  <c r="M293" i="1" s="1"/>
  <c r="C293" i="1"/>
  <c r="O292" i="1"/>
  <c r="N292" i="1"/>
  <c r="J292" i="1"/>
  <c r="M292" i="1" s="1"/>
  <c r="H292" i="1"/>
  <c r="G292" i="1"/>
  <c r="F292" i="1"/>
  <c r="C292" i="1"/>
  <c r="O291" i="1"/>
  <c r="N291" i="1"/>
  <c r="H291" i="1"/>
  <c r="G291" i="1"/>
  <c r="F291" i="1"/>
  <c r="J291" i="1" s="1"/>
  <c r="M291" i="1" s="1"/>
  <c r="C291" i="1"/>
  <c r="O290" i="1"/>
  <c r="N290" i="1"/>
  <c r="J290" i="1"/>
  <c r="M290" i="1" s="1"/>
  <c r="H290" i="1"/>
  <c r="G290" i="1"/>
  <c r="F290" i="1"/>
  <c r="C290" i="1"/>
  <c r="O289" i="1"/>
  <c r="N289" i="1"/>
  <c r="H289" i="1"/>
  <c r="G289" i="1"/>
  <c r="F289" i="1"/>
  <c r="J289" i="1" s="1"/>
  <c r="M289" i="1" s="1"/>
  <c r="C289" i="1"/>
  <c r="O288" i="1"/>
  <c r="N288" i="1"/>
  <c r="J288" i="1"/>
  <c r="M288" i="1" s="1"/>
  <c r="H288" i="1"/>
  <c r="G288" i="1"/>
  <c r="F288" i="1"/>
  <c r="C288" i="1"/>
  <c r="O287" i="1"/>
  <c r="N287" i="1"/>
  <c r="H287" i="1"/>
  <c r="G287" i="1"/>
  <c r="F287" i="1"/>
  <c r="J287" i="1" s="1"/>
  <c r="M287" i="1" s="1"/>
  <c r="C287" i="1"/>
  <c r="O286" i="1"/>
  <c r="N286" i="1"/>
  <c r="J286" i="1"/>
  <c r="M286" i="1" s="1"/>
  <c r="H286" i="1"/>
  <c r="G286" i="1"/>
  <c r="F286" i="1"/>
  <c r="C286" i="1"/>
  <c r="O285" i="1"/>
  <c r="N285" i="1"/>
  <c r="H285" i="1"/>
  <c r="G285" i="1"/>
  <c r="F285" i="1"/>
  <c r="J285" i="1" s="1"/>
  <c r="M285" i="1" s="1"/>
  <c r="C285" i="1"/>
  <c r="O284" i="1"/>
  <c r="N284" i="1"/>
  <c r="J284" i="1"/>
  <c r="M284" i="1" s="1"/>
  <c r="H284" i="1"/>
  <c r="G284" i="1"/>
  <c r="F284" i="1"/>
  <c r="C284" i="1"/>
  <c r="O283" i="1"/>
  <c r="N283" i="1"/>
  <c r="H283" i="1"/>
  <c r="G283" i="1"/>
  <c r="F283" i="1"/>
  <c r="J283" i="1" s="1"/>
  <c r="M283" i="1" s="1"/>
  <c r="C283" i="1"/>
  <c r="O282" i="1"/>
  <c r="N282" i="1"/>
  <c r="J282" i="1"/>
  <c r="M282" i="1" s="1"/>
  <c r="H282" i="1"/>
  <c r="G282" i="1"/>
  <c r="F282" i="1"/>
  <c r="C282" i="1"/>
  <c r="O281" i="1"/>
  <c r="N281" i="1"/>
  <c r="H281" i="1"/>
  <c r="G281" i="1"/>
  <c r="F281" i="1"/>
  <c r="J281" i="1" s="1"/>
  <c r="M281" i="1" s="1"/>
  <c r="C281" i="1"/>
  <c r="O280" i="1"/>
  <c r="N280" i="1"/>
  <c r="J280" i="1"/>
  <c r="M280" i="1" s="1"/>
  <c r="H280" i="1"/>
  <c r="G280" i="1"/>
  <c r="F280" i="1"/>
  <c r="C280" i="1"/>
  <c r="O279" i="1"/>
  <c r="N279" i="1"/>
  <c r="H279" i="1"/>
  <c r="G279" i="1"/>
  <c r="F279" i="1"/>
  <c r="J279" i="1" s="1"/>
  <c r="M279" i="1" s="1"/>
  <c r="C279" i="1"/>
  <c r="O278" i="1"/>
  <c r="N278" i="1"/>
  <c r="J278" i="1"/>
  <c r="M278" i="1" s="1"/>
  <c r="H278" i="1"/>
  <c r="G278" i="1"/>
  <c r="F278" i="1"/>
  <c r="C278" i="1"/>
  <c r="O277" i="1"/>
  <c r="N277" i="1"/>
  <c r="H277" i="1"/>
  <c r="G277" i="1"/>
  <c r="F277" i="1"/>
  <c r="J277" i="1" s="1"/>
  <c r="M277" i="1" s="1"/>
  <c r="C277" i="1"/>
  <c r="O276" i="1"/>
  <c r="N276" i="1"/>
  <c r="J276" i="1"/>
  <c r="M276" i="1" s="1"/>
  <c r="H276" i="1"/>
  <c r="G276" i="1"/>
  <c r="F276" i="1"/>
  <c r="C276" i="1"/>
  <c r="O275" i="1"/>
  <c r="N275" i="1"/>
  <c r="H275" i="1"/>
  <c r="G275" i="1"/>
  <c r="F275" i="1"/>
  <c r="J275" i="1" s="1"/>
  <c r="M275" i="1" s="1"/>
  <c r="C275" i="1"/>
  <c r="O274" i="1"/>
  <c r="N274" i="1"/>
  <c r="J274" i="1"/>
  <c r="M274" i="1" s="1"/>
  <c r="H274" i="1"/>
  <c r="G274" i="1"/>
  <c r="F274" i="1"/>
  <c r="C274" i="1"/>
  <c r="O273" i="1"/>
  <c r="N273" i="1"/>
  <c r="H273" i="1"/>
  <c r="G273" i="1"/>
  <c r="F273" i="1"/>
  <c r="J273" i="1" s="1"/>
  <c r="M273" i="1" s="1"/>
  <c r="C273" i="1"/>
  <c r="O272" i="1"/>
  <c r="N272" i="1"/>
  <c r="J272" i="1"/>
  <c r="M272" i="1" s="1"/>
  <c r="H272" i="1"/>
  <c r="G272" i="1"/>
  <c r="F272" i="1"/>
  <c r="C272" i="1"/>
  <c r="O271" i="1"/>
  <c r="N271" i="1"/>
  <c r="H271" i="1"/>
  <c r="G271" i="1"/>
  <c r="F271" i="1"/>
  <c r="J271" i="1" s="1"/>
  <c r="M271" i="1" s="1"/>
  <c r="C271" i="1"/>
  <c r="O270" i="1"/>
  <c r="N270" i="1"/>
  <c r="J270" i="1"/>
  <c r="M270" i="1" s="1"/>
  <c r="H270" i="1"/>
  <c r="G270" i="1"/>
  <c r="F270" i="1"/>
  <c r="C270" i="1"/>
  <c r="O269" i="1"/>
  <c r="N269" i="1"/>
  <c r="H269" i="1"/>
  <c r="G269" i="1"/>
  <c r="F269" i="1"/>
  <c r="J269" i="1" s="1"/>
  <c r="M269" i="1" s="1"/>
  <c r="C269" i="1"/>
  <c r="O268" i="1"/>
  <c r="N268" i="1"/>
  <c r="J268" i="1"/>
  <c r="M268" i="1" s="1"/>
  <c r="H268" i="1"/>
  <c r="G268" i="1"/>
  <c r="F268" i="1"/>
  <c r="C268" i="1"/>
  <c r="O267" i="1"/>
  <c r="N267" i="1"/>
  <c r="H267" i="1"/>
  <c r="G267" i="1"/>
  <c r="F267" i="1"/>
  <c r="J267" i="1" s="1"/>
  <c r="M267" i="1" s="1"/>
  <c r="C267" i="1"/>
  <c r="O266" i="1"/>
  <c r="N266" i="1"/>
  <c r="J266" i="1"/>
  <c r="M266" i="1" s="1"/>
  <c r="H266" i="1"/>
  <c r="G266" i="1"/>
  <c r="F266" i="1"/>
  <c r="C266" i="1"/>
  <c r="O265" i="1"/>
  <c r="N265" i="1"/>
  <c r="H265" i="1"/>
  <c r="G265" i="1"/>
  <c r="F265" i="1"/>
  <c r="J265" i="1" s="1"/>
  <c r="M265" i="1" s="1"/>
  <c r="C265" i="1"/>
  <c r="O264" i="1"/>
  <c r="N264" i="1"/>
  <c r="J264" i="1"/>
  <c r="M264" i="1" s="1"/>
  <c r="G264" i="1"/>
  <c r="F264" i="1"/>
  <c r="C264" i="1"/>
  <c r="H264" i="1" s="1"/>
  <c r="O263" i="1"/>
  <c r="N263" i="1"/>
  <c r="H263" i="1"/>
  <c r="G263" i="1"/>
  <c r="F263" i="1"/>
  <c r="J263" i="1" s="1"/>
  <c r="M263" i="1" s="1"/>
  <c r="C263" i="1"/>
  <c r="O262" i="1"/>
  <c r="N262" i="1"/>
  <c r="J262" i="1"/>
  <c r="M262" i="1" s="1"/>
  <c r="G262" i="1"/>
  <c r="F262" i="1"/>
  <c r="C262" i="1"/>
  <c r="H262" i="1" s="1"/>
  <c r="O261" i="1"/>
  <c r="N261" i="1"/>
  <c r="H261" i="1"/>
  <c r="G261" i="1"/>
  <c r="F261" i="1"/>
  <c r="J261" i="1" s="1"/>
  <c r="M261" i="1" s="1"/>
  <c r="C261" i="1"/>
  <c r="O260" i="1"/>
  <c r="N260" i="1"/>
  <c r="J260" i="1"/>
  <c r="M260" i="1" s="1"/>
  <c r="G260" i="1"/>
  <c r="F260" i="1"/>
  <c r="C260" i="1"/>
  <c r="H260" i="1" s="1"/>
  <c r="O259" i="1"/>
  <c r="N259" i="1"/>
  <c r="H259" i="1"/>
  <c r="G259" i="1"/>
  <c r="F259" i="1"/>
  <c r="J259" i="1" s="1"/>
  <c r="M259" i="1" s="1"/>
  <c r="C259" i="1"/>
  <c r="O258" i="1"/>
  <c r="N258" i="1"/>
  <c r="J258" i="1"/>
  <c r="M258" i="1" s="1"/>
  <c r="G258" i="1"/>
  <c r="F258" i="1"/>
  <c r="C258" i="1"/>
  <c r="H258" i="1" s="1"/>
  <c r="O257" i="1"/>
  <c r="N257" i="1"/>
  <c r="H257" i="1"/>
  <c r="G257" i="1"/>
  <c r="F257" i="1"/>
  <c r="J257" i="1" s="1"/>
  <c r="M257" i="1" s="1"/>
  <c r="C257" i="1"/>
  <c r="O256" i="1"/>
  <c r="N256" i="1"/>
  <c r="J256" i="1"/>
  <c r="M256" i="1" s="1"/>
  <c r="G256" i="1"/>
  <c r="F256" i="1"/>
  <c r="C256" i="1"/>
  <c r="H256" i="1" s="1"/>
  <c r="O255" i="1"/>
  <c r="N255" i="1"/>
  <c r="H255" i="1"/>
  <c r="G255" i="1"/>
  <c r="F255" i="1"/>
  <c r="J255" i="1" s="1"/>
  <c r="M255" i="1" s="1"/>
  <c r="C255" i="1"/>
  <c r="O254" i="1"/>
  <c r="N254" i="1"/>
  <c r="J254" i="1"/>
  <c r="M254" i="1" s="1"/>
  <c r="G254" i="1"/>
  <c r="F254" i="1"/>
  <c r="C254" i="1"/>
  <c r="H254" i="1" s="1"/>
  <c r="O253" i="1"/>
  <c r="N253" i="1"/>
  <c r="H253" i="1"/>
  <c r="G253" i="1"/>
  <c r="F253" i="1"/>
  <c r="J253" i="1" s="1"/>
  <c r="M253" i="1" s="1"/>
  <c r="C253" i="1"/>
  <c r="O252" i="1"/>
  <c r="N252" i="1"/>
  <c r="J252" i="1"/>
  <c r="M252" i="1" s="1"/>
  <c r="G252" i="1"/>
  <c r="F252" i="1"/>
  <c r="C252" i="1"/>
  <c r="H252" i="1" s="1"/>
  <c r="O251" i="1"/>
  <c r="N251" i="1"/>
  <c r="H251" i="1"/>
  <c r="G251" i="1"/>
  <c r="F251" i="1"/>
  <c r="J251" i="1" s="1"/>
  <c r="M251" i="1" s="1"/>
  <c r="C251" i="1"/>
  <c r="O250" i="1"/>
  <c r="N250" i="1"/>
  <c r="J250" i="1"/>
  <c r="M250" i="1" s="1"/>
  <c r="G250" i="1"/>
  <c r="F250" i="1"/>
  <c r="C250" i="1"/>
  <c r="H250" i="1" s="1"/>
  <c r="O249" i="1"/>
  <c r="N249" i="1"/>
  <c r="H249" i="1"/>
  <c r="G249" i="1"/>
  <c r="F249" i="1"/>
  <c r="J249" i="1" s="1"/>
  <c r="M249" i="1" s="1"/>
  <c r="C249" i="1"/>
  <c r="O248" i="1"/>
  <c r="N248" i="1"/>
  <c r="J248" i="1"/>
  <c r="M248" i="1" s="1"/>
  <c r="G248" i="1"/>
  <c r="F248" i="1"/>
  <c r="C248" i="1"/>
  <c r="H248" i="1" s="1"/>
  <c r="O247" i="1"/>
  <c r="N247" i="1"/>
  <c r="H247" i="1"/>
  <c r="G247" i="1"/>
  <c r="F247" i="1"/>
  <c r="J247" i="1" s="1"/>
  <c r="M247" i="1" s="1"/>
  <c r="C247" i="1"/>
  <c r="O246" i="1"/>
  <c r="N246" i="1"/>
  <c r="J246" i="1"/>
  <c r="M246" i="1" s="1"/>
  <c r="G246" i="1"/>
  <c r="F246" i="1"/>
  <c r="C246" i="1"/>
  <c r="H246" i="1" s="1"/>
  <c r="O245" i="1"/>
  <c r="N245" i="1"/>
  <c r="H245" i="1"/>
  <c r="G245" i="1"/>
  <c r="F245" i="1"/>
  <c r="J245" i="1" s="1"/>
  <c r="M245" i="1" s="1"/>
  <c r="C245" i="1"/>
  <c r="O244" i="1"/>
  <c r="N244" i="1"/>
  <c r="J244" i="1"/>
  <c r="M244" i="1" s="1"/>
  <c r="G244" i="1"/>
  <c r="F244" i="1"/>
  <c r="C244" i="1"/>
  <c r="H244" i="1" s="1"/>
  <c r="O243" i="1"/>
  <c r="N243" i="1"/>
  <c r="H243" i="1"/>
  <c r="G243" i="1"/>
  <c r="F243" i="1"/>
  <c r="J243" i="1" s="1"/>
  <c r="M243" i="1" s="1"/>
  <c r="C243" i="1"/>
  <c r="O242" i="1"/>
  <c r="N242" i="1"/>
  <c r="J242" i="1"/>
  <c r="M242" i="1" s="1"/>
  <c r="G242" i="1"/>
  <c r="F242" i="1"/>
  <c r="C242" i="1"/>
  <c r="H242" i="1" s="1"/>
  <c r="O241" i="1"/>
  <c r="N241" i="1"/>
  <c r="H241" i="1"/>
  <c r="G241" i="1"/>
  <c r="F241" i="1"/>
  <c r="J241" i="1" s="1"/>
  <c r="M241" i="1" s="1"/>
  <c r="C241" i="1"/>
  <c r="O240" i="1"/>
  <c r="N240" i="1"/>
  <c r="J240" i="1"/>
  <c r="M240" i="1" s="1"/>
  <c r="G240" i="1"/>
  <c r="F240" i="1"/>
  <c r="C240" i="1"/>
  <c r="H240" i="1" s="1"/>
  <c r="O239" i="1"/>
  <c r="N239" i="1"/>
  <c r="H239" i="1"/>
  <c r="G239" i="1"/>
  <c r="F239" i="1"/>
  <c r="J239" i="1" s="1"/>
  <c r="M239" i="1" s="1"/>
  <c r="C239" i="1"/>
  <c r="O238" i="1"/>
  <c r="N238" i="1"/>
  <c r="J238" i="1"/>
  <c r="M238" i="1" s="1"/>
  <c r="G238" i="1"/>
  <c r="F238" i="1"/>
  <c r="C238" i="1"/>
  <c r="H238" i="1" s="1"/>
  <c r="O237" i="1"/>
  <c r="N237" i="1"/>
  <c r="H237" i="1"/>
  <c r="G237" i="1"/>
  <c r="F237" i="1"/>
  <c r="J237" i="1" s="1"/>
  <c r="M237" i="1" s="1"/>
  <c r="C237" i="1"/>
  <c r="O236" i="1"/>
  <c r="N236" i="1"/>
  <c r="J236" i="1"/>
  <c r="M236" i="1" s="1"/>
  <c r="G236" i="1"/>
  <c r="F236" i="1"/>
  <c r="C236" i="1"/>
  <c r="H236" i="1" s="1"/>
  <c r="O235" i="1"/>
  <c r="N235" i="1"/>
  <c r="H235" i="1"/>
  <c r="G235" i="1"/>
  <c r="F235" i="1"/>
  <c r="J235" i="1" s="1"/>
  <c r="M235" i="1" s="1"/>
  <c r="C235" i="1"/>
  <c r="O234" i="1"/>
  <c r="N234" i="1"/>
  <c r="J234" i="1"/>
  <c r="M234" i="1" s="1"/>
  <c r="G234" i="1"/>
  <c r="F234" i="1"/>
  <c r="C234" i="1"/>
  <c r="H234" i="1" s="1"/>
  <c r="O233" i="1"/>
  <c r="N233" i="1"/>
  <c r="H233" i="1"/>
  <c r="G233" i="1"/>
  <c r="F233" i="1"/>
  <c r="J233" i="1" s="1"/>
  <c r="M233" i="1" s="1"/>
  <c r="C233" i="1"/>
  <c r="O232" i="1"/>
  <c r="N232" i="1"/>
  <c r="J232" i="1"/>
  <c r="M232" i="1" s="1"/>
  <c r="G232" i="1"/>
  <c r="F232" i="1"/>
  <c r="C232" i="1"/>
  <c r="H232" i="1" s="1"/>
  <c r="O231" i="1"/>
  <c r="N231" i="1"/>
  <c r="H231" i="1"/>
  <c r="G231" i="1"/>
  <c r="F231" i="1"/>
  <c r="J231" i="1" s="1"/>
  <c r="M231" i="1" s="1"/>
  <c r="C231" i="1"/>
  <c r="O230" i="1"/>
  <c r="N230" i="1"/>
  <c r="J230" i="1"/>
  <c r="M230" i="1" s="1"/>
  <c r="G230" i="1"/>
  <c r="F230" i="1"/>
  <c r="C230" i="1"/>
  <c r="H230" i="1" s="1"/>
  <c r="O229" i="1"/>
  <c r="N229" i="1"/>
  <c r="H229" i="1"/>
  <c r="G229" i="1"/>
  <c r="F229" i="1"/>
  <c r="J229" i="1" s="1"/>
  <c r="M229" i="1" s="1"/>
  <c r="C229" i="1"/>
  <c r="O228" i="1"/>
  <c r="N228" i="1"/>
  <c r="J228" i="1"/>
  <c r="M228" i="1" s="1"/>
  <c r="G228" i="1"/>
  <c r="F228" i="1"/>
  <c r="C228" i="1"/>
  <c r="H228" i="1" s="1"/>
  <c r="O227" i="1"/>
  <c r="N227" i="1"/>
  <c r="H227" i="1"/>
  <c r="G227" i="1"/>
  <c r="F227" i="1"/>
  <c r="J227" i="1" s="1"/>
  <c r="M227" i="1" s="1"/>
  <c r="C227" i="1"/>
  <c r="O226" i="1"/>
  <c r="N226" i="1"/>
  <c r="J226" i="1"/>
  <c r="M226" i="1" s="1"/>
  <c r="G226" i="1"/>
  <c r="F226" i="1"/>
  <c r="C226" i="1"/>
  <c r="H226" i="1" s="1"/>
  <c r="O225" i="1"/>
  <c r="N225" i="1"/>
  <c r="M225" i="1"/>
  <c r="J225" i="1"/>
  <c r="H225" i="1"/>
  <c r="G225" i="1"/>
  <c r="F225" i="1"/>
  <c r="C225" i="1"/>
  <c r="O224" i="1"/>
  <c r="N224" i="1"/>
  <c r="G224" i="1"/>
  <c r="F224" i="1"/>
  <c r="J224" i="1" s="1"/>
  <c r="M224" i="1" s="1"/>
  <c r="C224" i="1"/>
  <c r="H224" i="1" s="1"/>
  <c r="O223" i="1"/>
  <c r="N223" i="1"/>
  <c r="M223" i="1"/>
  <c r="J223" i="1"/>
  <c r="H223" i="1"/>
  <c r="G223" i="1"/>
  <c r="F223" i="1"/>
  <c r="C223" i="1"/>
  <c r="O222" i="1"/>
  <c r="N222" i="1"/>
  <c r="G222" i="1"/>
  <c r="F222" i="1"/>
  <c r="J222" i="1" s="1"/>
  <c r="M222" i="1" s="1"/>
  <c r="C222" i="1"/>
  <c r="H222" i="1" s="1"/>
  <c r="O221" i="1"/>
  <c r="N221" i="1"/>
  <c r="M221" i="1"/>
  <c r="J221" i="1"/>
  <c r="H221" i="1"/>
  <c r="G221" i="1"/>
  <c r="F221" i="1"/>
  <c r="C221" i="1"/>
  <c r="O220" i="1"/>
  <c r="N220" i="1"/>
  <c r="G220" i="1"/>
  <c r="F220" i="1"/>
  <c r="J220" i="1" s="1"/>
  <c r="M220" i="1" s="1"/>
  <c r="C220" i="1"/>
  <c r="H220" i="1" s="1"/>
  <c r="O219" i="1"/>
  <c r="N219" i="1"/>
  <c r="M219" i="1"/>
  <c r="J219" i="1"/>
  <c r="H219" i="1"/>
  <c r="G219" i="1"/>
  <c r="F219" i="1"/>
  <c r="C219" i="1"/>
  <c r="O218" i="1"/>
  <c r="N218" i="1"/>
  <c r="G218" i="1"/>
  <c r="F218" i="1"/>
  <c r="J218" i="1" s="1"/>
  <c r="M218" i="1" s="1"/>
  <c r="C218" i="1"/>
  <c r="H218" i="1" s="1"/>
  <c r="O217" i="1"/>
  <c r="N217" i="1"/>
  <c r="M217" i="1"/>
  <c r="J217" i="1"/>
  <c r="H217" i="1"/>
  <c r="G217" i="1"/>
  <c r="F217" i="1"/>
  <c r="C217" i="1"/>
  <c r="O216" i="1"/>
  <c r="N216" i="1"/>
  <c r="G216" i="1"/>
  <c r="F216" i="1"/>
  <c r="J216" i="1" s="1"/>
  <c r="M216" i="1" s="1"/>
  <c r="C216" i="1"/>
  <c r="H216" i="1" s="1"/>
  <c r="O215" i="1"/>
  <c r="N215" i="1"/>
  <c r="M215" i="1"/>
  <c r="J215" i="1"/>
  <c r="H215" i="1"/>
  <c r="G215" i="1"/>
  <c r="F215" i="1"/>
  <c r="C215" i="1"/>
  <c r="O214" i="1"/>
  <c r="N214" i="1"/>
  <c r="G214" i="1"/>
  <c r="F214" i="1"/>
  <c r="J214" i="1" s="1"/>
  <c r="M214" i="1" s="1"/>
  <c r="C214" i="1"/>
  <c r="H214" i="1" s="1"/>
  <c r="O213" i="1"/>
  <c r="N213" i="1"/>
  <c r="J213" i="1"/>
  <c r="M213" i="1" s="1"/>
  <c r="H213" i="1"/>
  <c r="G213" i="1"/>
  <c r="F213" i="1"/>
  <c r="C213" i="1"/>
  <c r="O212" i="1"/>
  <c r="N212" i="1"/>
  <c r="G212" i="1"/>
  <c r="F212" i="1"/>
  <c r="J212" i="1" s="1"/>
  <c r="M212" i="1" s="1"/>
  <c r="C212" i="1"/>
  <c r="H212" i="1" s="1"/>
  <c r="O211" i="1"/>
  <c r="N211" i="1"/>
  <c r="M211" i="1"/>
  <c r="J211" i="1"/>
  <c r="H211" i="1"/>
  <c r="G211" i="1"/>
  <c r="F211" i="1"/>
  <c r="C211" i="1"/>
  <c r="O210" i="1"/>
  <c r="N210" i="1"/>
  <c r="G210" i="1"/>
  <c r="F210" i="1"/>
  <c r="J210" i="1" s="1"/>
  <c r="M210" i="1" s="1"/>
  <c r="C210" i="1"/>
  <c r="H210" i="1" s="1"/>
  <c r="O209" i="1"/>
  <c r="N209" i="1"/>
  <c r="M209" i="1"/>
  <c r="J209" i="1"/>
  <c r="H209" i="1"/>
  <c r="G209" i="1"/>
  <c r="F209" i="1"/>
  <c r="C209" i="1"/>
  <c r="O208" i="1"/>
  <c r="N208" i="1"/>
  <c r="G208" i="1"/>
  <c r="F208" i="1"/>
  <c r="J208" i="1" s="1"/>
  <c r="M208" i="1" s="1"/>
  <c r="C208" i="1"/>
  <c r="H208" i="1" s="1"/>
  <c r="O207" i="1"/>
  <c r="N207" i="1"/>
  <c r="M207" i="1"/>
  <c r="J207" i="1"/>
  <c r="H207" i="1"/>
  <c r="G207" i="1"/>
  <c r="F207" i="1"/>
  <c r="C207" i="1"/>
  <c r="O206" i="1"/>
  <c r="N206" i="1"/>
  <c r="G206" i="1"/>
  <c r="F206" i="1"/>
  <c r="J206" i="1" s="1"/>
  <c r="M206" i="1" s="1"/>
  <c r="C206" i="1"/>
  <c r="H206" i="1" s="1"/>
  <c r="O205" i="1"/>
  <c r="N205" i="1"/>
  <c r="J205" i="1"/>
  <c r="M205" i="1" s="1"/>
  <c r="H205" i="1"/>
  <c r="G205" i="1"/>
  <c r="F205" i="1"/>
  <c r="C205" i="1"/>
  <c r="O204" i="1"/>
  <c r="N204" i="1"/>
  <c r="G204" i="1"/>
  <c r="F204" i="1"/>
  <c r="J204" i="1" s="1"/>
  <c r="M204" i="1" s="1"/>
  <c r="C204" i="1"/>
  <c r="H204" i="1" s="1"/>
  <c r="O203" i="1"/>
  <c r="N203" i="1"/>
  <c r="J203" i="1"/>
  <c r="M203" i="1" s="1"/>
  <c r="H203" i="1"/>
  <c r="G203" i="1"/>
  <c r="F203" i="1"/>
  <c r="C203" i="1"/>
  <c r="O202" i="1"/>
  <c r="N202" i="1"/>
  <c r="G202" i="1"/>
  <c r="F202" i="1"/>
  <c r="J202" i="1" s="1"/>
  <c r="M202" i="1" s="1"/>
  <c r="C202" i="1"/>
  <c r="H202" i="1" s="1"/>
  <c r="O201" i="1"/>
  <c r="N201" i="1"/>
  <c r="J201" i="1"/>
  <c r="M201" i="1" s="1"/>
  <c r="H201" i="1"/>
  <c r="G201" i="1"/>
  <c r="F201" i="1"/>
  <c r="C201" i="1"/>
  <c r="O200" i="1"/>
  <c r="N200" i="1"/>
  <c r="G200" i="1"/>
  <c r="F200" i="1"/>
  <c r="J200" i="1" s="1"/>
  <c r="M200" i="1" s="1"/>
  <c r="C200" i="1"/>
  <c r="H200" i="1" s="1"/>
  <c r="O199" i="1"/>
  <c r="N199" i="1"/>
  <c r="J199" i="1"/>
  <c r="M199" i="1" s="1"/>
  <c r="H199" i="1"/>
  <c r="G199" i="1"/>
  <c r="F199" i="1"/>
  <c r="C199" i="1"/>
  <c r="O198" i="1"/>
  <c r="N198" i="1"/>
  <c r="G198" i="1"/>
  <c r="F198" i="1"/>
  <c r="J198" i="1" s="1"/>
  <c r="M198" i="1" s="1"/>
  <c r="C198" i="1"/>
  <c r="H198" i="1" s="1"/>
  <c r="O197" i="1"/>
  <c r="N197" i="1"/>
  <c r="J197" i="1"/>
  <c r="M197" i="1" s="1"/>
  <c r="H197" i="1"/>
  <c r="G197" i="1"/>
  <c r="F197" i="1"/>
  <c r="C197" i="1"/>
  <c r="O196" i="1"/>
  <c r="N196" i="1"/>
  <c r="G196" i="1"/>
  <c r="F196" i="1"/>
  <c r="J196" i="1" s="1"/>
  <c r="M196" i="1" s="1"/>
  <c r="C196" i="1"/>
  <c r="H196" i="1" s="1"/>
  <c r="O195" i="1"/>
  <c r="N195" i="1"/>
  <c r="J195" i="1"/>
  <c r="M195" i="1" s="1"/>
  <c r="G195" i="1"/>
  <c r="F195" i="1"/>
  <c r="C195" i="1"/>
  <c r="H195" i="1" s="1"/>
  <c r="O194" i="1"/>
  <c r="N194" i="1"/>
  <c r="M194" i="1"/>
  <c r="G194" i="1"/>
  <c r="F194" i="1"/>
  <c r="J194" i="1" s="1"/>
  <c r="C194" i="1"/>
  <c r="H194" i="1" s="1"/>
  <c r="O193" i="1"/>
  <c r="N193" i="1"/>
  <c r="J193" i="1"/>
  <c r="M193" i="1" s="1"/>
  <c r="G193" i="1"/>
  <c r="F193" i="1"/>
  <c r="C193" i="1"/>
  <c r="H193" i="1" s="1"/>
  <c r="O192" i="1"/>
  <c r="N192" i="1"/>
  <c r="G192" i="1"/>
  <c r="F192" i="1"/>
  <c r="J192" i="1" s="1"/>
  <c r="M192" i="1" s="1"/>
  <c r="C192" i="1"/>
  <c r="H192" i="1" s="1"/>
  <c r="O191" i="1"/>
  <c r="N191" i="1"/>
  <c r="M191" i="1"/>
  <c r="J191" i="1"/>
  <c r="H191" i="1"/>
  <c r="G191" i="1"/>
  <c r="F191" i="1"/>
  <c r="C191" i="1"/>
  <c r="O190" i="1"/>
  <c r="N190" i="1"/>
  <c r="J190" i="1"/>
  <c r="M190" i="1" s="1"/>
  <c r="G190" i="1"/>
  <c r="F190" i="1"/>
  <c r="C190" i="1"/>
  <c r="H190" i="1" s="1"/>
  <c r="O189" i="1"/>
  <c r="N189" i="1"/>
  <c r="J189" i="1"/>
  <c r="M189" i="1" s="1"/>
  <c r="H189" i="1"/>
  <c r="G189" i="1"/>
  <c r="F189" i="1"/>
  <c r="C189" i="1"/>
  <c r="O188" i="1"/>
  <c r="N188" i="1"/>
  <c r="J188" i="1"/>
  <c r="M188" i="1" s="1"/>
  <c r="G188" i="1"/>
  <c r="F188" i="1"/>
  <c r="C188" i="1"/>
  <c r="H188" i="1" s="1"/>
  <c r="O187" i="1"/>
  <c r="N187" i="1"/>
  <c r="J187" i="1"/>
  <c r="M187" i="1" s="1"/>
  <c r="G187" i="1"/>
  <c r="F187" i="1"/>
  <c r="C187" i="1"/>
  <c r="H187" i="1" s="1"/>
  <c r="O186" i="1"/>
  <c r="N186" i="1"/>
  <c r="G186" i="1"/>
  <c r="F186" i="1"/>
  <c r="J186" i="1" s="1"/>
  <c r="M186" i="1" s="1"/>
  <c r="C186" i="1"/>
  <c r="H186" i="1" s="1"/>
  <c r="O185" i="1"/>
  <c r="N185" i="1"/>
  <c r="M185" i="1"/>
  <c r="J185" i="1"/>
  <c r="G185" i="1"/>
  <c r="F185" i="1"/>
  <c r="C185" i="1"/>
  <c r="H185" i="1" s="1"/>
  <c r="O184" i="1"/>
  <c r="N184" i="1"/>
  <c r="M184" i="1"/>
  <c r="G184" i="1"/>
  <c r="F184" i="1"/>
  <c r="J184" i="1" s="1"/>
  <c r="C184" i="1"/>
  <c r="H184" i="1" s="1"/>
  <c r="O183" i="1"/>
  <c r="N183" i="1"/>
  <c r="M183" i="1"/>
  <c r="J183" i="1"/>
  <c r="H183" i="1"/>
  <c r="G183" i="1"/>
  <c r="F183" i="1"/>
  <c r="C183" i="1"/>
  <c r="O182" i="1"/>
  <c r="N182" i="1"/>
  <c r="J182" i="1"/>
  <c r="M182" i="1" s="1"/>
  <c r="G182" i="1"/>
  <c r="F182" i="1"/>
  <c r="C182" i="1"/>
  <c r="H182" i="1" s="1"/>
  <c r="O181" i="1"/>
  <c r="N181" i="1"/>
  <c r="J181" i="1"/>
  <c r="M181" i="1" s="1"/>
  <c r="H181" i="1"/>
  <c r="G181" i="1"/>
  <c r="F181" i="1"/>
  <c r="C181" i="1"/>
  <c r="O180" i="1"/>
  <c r="N180" i="1"/>
  <c r="J180" i="1"/>
  <c r="M180" i="1" s="1"/>
  <c r="G180" i="1"/>
  <c r="F180" i="1"/>
  <c r="C180" i="1"/>
  <c r="H180" i="1" s="1"/>
  <c r="O179" i="1"/>
  <c r="N179" i="1"/>
  <c r="J179" i="1"/>
  <c r="M179" i="1" s="1"/>
  <c r="H179" i="1"/>
  <c r="G179" i="1"/>
  <c r="F179" i="1"/>
  <c r="C179" i="1"/>
  <c r="O178" i="1"/>
  <c r="N178" i="1"/>
  <c r="G178" i="1"/>
  <c r="F178" i="1"/>
  <c r="J178" i="1" s="1"/>
  <c r="M178" i="1" s="1"/>
  <c r="C178" i="1"/>
  <c r="H178" i="1" s="1"/>
  <c r="O177" i="1"/>
  <c r="N177" i="1"/>
  <c r="M177" i="1"/>
  <c r="J177" i="1"/>
  <c r="H177" i="1"/>
  <c r="G177" i="1"/>
  <c r="F177" i="1"/>
  <c r="C177" i="1"/>
  <c r="O176" i="1"/>
  <c r="N176" i="1"/>
  <c r="J176" i="1"/>
  <c r="M176" i="1" s="1"/>
  <c r="G176" i="1"/>
  <c r="F176" i="1"/>
  <c r="C176" i="1"/>
  <c r="H176" i="1" s="1"/>
  <c r="O175" i="1"/>
  <c r="N175" i="1"/>
  <c r="M175" i="1"/>
  <c r="J175" i="1"/>
  <c r="H175" i="1"/>
  <c r="G175" i="1"/>
  <c r="F175" i="1"/>
  <c r="C175" i="1"/>
  <c r="O174" i="1"/>
  <c r="N174" i="1"/>
  <c r="J174" i="1"/>
  <c r="M174" i="1" s="1"/>
  <c r="G174" i="1"/>
  <c r="F174" i="1"/>
  <c r="C174" i="1"/>
  <c r="H174" i="1" s="1"/>
  <c r="O173" i="1"/>
  <c r="N173" i="1"/>
  <c r="M173" i="1"/>
  <c r="J173" i="1"/>
  <c r="H173" i="1"/>
  <c r="G173" i="1"/>
  <c r="F173" i="1"/>
  <c r="C173" i="1"/>
  <c r="O172" i="1"/>
  <c r="N172" i="1"/>
  <c r="J172" i="1"/>
  <c r="M172" i="1" s="1"/>
  <c r="G172" i="1"/>
  <c r="F172" i="1"/>
  <c r="C172" i="1"/>
  <c r="H172" i="1" s="1"/>
  <c r="O171" i="1"/>
  <c r="N171" i="1"/>
  <c r="M171" i="1"/>
  <c r="J171" i="1"/>
  <c r="H171" i="1"/>
  <c r="G171" i="1"/>
  <c r="F171" i="1"/>
  <c r="C171" i="1"/>
  <c r="O170" i="1"/>
  <c r="N170" i="1"/>
  <c r="J170" i="1"/>
  <c r="M170" i="1" s="1"/>
  <c r="G170" i="1"/>
  <c r="F170" i="1"/>
  <c r="C170" i="1"/>
  <c r="H170" i="1" s="1"/>
  <c r="O169" i="1"/>
  <c r="N169" i="1"/>
  <c r="M169" i="1"/>
  <c r="J169" i="1"/>
  <c r="H169" i="1"/>
  <c r="G169" i="1"/>
  <c r="F169" i="1"/>
  <c r="C169" i="1"/>
  <c r="O168" i="1"/>
  <c r="N168" i="1"/>
  <c r="J168" i="1"/>
  <c r="M168" i="1" s="1"/>
  <c r="G168" i="1"/>
  <c r="F168" i="1"/>
  <c r="C168" i="1"/>
  <c r="H168" i="1" s="1"/>
  <c r="O167" i="1"/>
  <c r="N167" i="1"/>
  <c r="M167" i="1"/>
  <c r="J167" i="1"/>
  <c r="H167" i="1"/>
  <c r="G167" i="1"/>
  <c r="F167" i="1"/>
  <c r="C167" i="1"/>
  <c r="O166" i="1"/>
  <c r="N166" i="1"/>
  <c r="J166" i="1"/>
  <c r="M166" i="1" s="1"/>
  <c r="G166" i="1"/>
  <c r="F166" i="1"/>
  <c r="C166" i="1"/>
  <c r="H166" i="1" s="1"/>
  <c r="O165" i="1"/>
  <c r="N165" i="1"/>
  <c r="M165" i="1"/>
  <c r="J165" i="1"/>
  <c r="H165" i="1"/>
  <c r="G165" i="1"/>
  <c r="F165" i="1"/>
  <c r="C165" i="1"/>
  <c r="O164" i="1"/>
  <c r="N164" i="1"/>
  <c r="J164" i="1"/>
  <c r="M164" i="1" s="1"/>
  <c r="G164" i="1"/>
  <c r="F164" i="1"/>
  <c r="C164" i="1"/>
  <c r="H164" i="1" s="1"/>
  <c r="O163" i="1"/>
  <c r="N163" i="1"/>
  <c r="M163" i="1"/>
  <c r="J163" i="1"/>
  <c r="H163" i="1"/>
  <c r="G163" i="1"/>
  <c r="F163" i="1"/>
  <c r="C163" i="1"/>
  <c r="O162" i="1"/>
  <c r="N162" i="1"/>
  <c r="J162" i="1"/>
  <c r="M162" i="1" s="1"/>
  <c r="G162" i="1"/>
  <c r="F162" i="1"/>
  <c r="C162" i="1"/>
  <c r="H162" i="1" s="1"/>
  <c r="O161" i="1"/>
  <c r="N161" i="1"/>
  <c r="M161" i="1"/>
  <c r="J161" i="1"/>
  <c r="H161" i="1"/>
  <c r="G161" i="1"/>
  <c r="F161" i="1"/>
  <c r="C161" i="1"/>
  <c r="O160" i="1"/>
  <c r="N160" i="1"/>
  <c r="J160" i="1"/>
  <c r="M160" i="1" s="1"/>
  <c r="G160" i="1"/>
  <c r="F160" i="1"/>
  <c r="C160" i="1"/>
  <c r="H160" i="1" s="1"/>
  <c r="O159" i="1"/>
  <c r="N159" i="1"/>
  <c r="M159" i="1"/>
  <c r="J159" i="1"/>
  <c r="H159" i="1"/>
  <c r="G159" i="1"/>
  <c r="F159" i="1"/>
  <c r="C159" i="1"/>
  <c r="O158" i="1"/>
  <c r="N158" i="1"/>
  <c r="J158" i="1"/>
  <c r="M158" i="1" s="1"/>
  <c r="G158" i="1"/>
  <c r="F158" i="1"/>
  <c r="C158" i="1"/>
  <c r="H158" i="1" s="1"/>
  <c r="O157" i="1"/>
  <c r="N157" i="1"/>
  <c r="M157" i="1"/>
  <c r="J157" i="1"/>
  <c r="H157" i="1"/>
  <c r="G157" i="1"/>
  <c r="F157" i="1"/>
  <c r="C157" i="1"/>
  <c r="O156" i="1"/>
  <c r="N156" i="1"/>
  <c r="J156" i="1"/>
  <c r="M156" i="1" s="1"/>
  <c r="G156" i="1"/>
  <c r="F156" i="1"/>
  <c r="C156" i="1"/>
  <c r="H156" i="1" s="1"/>
  <c r="O155" i="1"/>
  <c r="N155" i="1"/>
  <c r="M155" i="1"/>
  <c r="J155" i="1"/>
  <c r="H155" i="1"/>
  <c r="G155" i="1"/>
  <c r="F155" i="1"/>
  <c r="C155" i="1"/>
  <c r="O154" i="1"/>
  <c r="N154" i="1"/>
  <c r="J154" i="1"/>
  <c r="M154" i="1" s="1"/>
  <c r="G154" i="1"/>
  <c r="F154" i="1"/>
  <c r="C154" i="1"/>
  <c r="H154" i="1" s="1"/>
  <c r="O153" i="1"/>
  <c r="N153" i="1"/>
  <c r="M153" i="1"/>
  <c r="J153" i="1"/>
  <c r="H153" i="1"/>
  <c r="G153" i="1"/>
  <c r="F153" i="1"/>
  <c r="C153" i="1"/>
  <c r="O152" i="1"/>
  <c r="N152" i="1"/>
  <c r="J152" i="1"/>
  <c r="M152" i="1" s="1"/>
  <c r="G152" i="1"/>
  <c r="F152" i="1"/>
  <c r="C152" i="1"/>
  <c r="H152" i="1" s="1"/>
  <c r="O151" i="1"/>
  <c r="N151" i="1"/>
  <c r="M151" i="1"/>
  <c r="J151" i="1"/>
  <c r="H151" i="1"/>
  <c r="G151" i="1"/>
  <c r="F151" i="1"/>
  <c r="C151" i="1"/>
  <c r="O150" i="1"/>
  <c r="N150" i="1"/>
  <c r="J150" i="1"/>
  <c r="M150" i="1" s="1"/>
  <c r="G150" i="1"/>
  <c r="F150" i="1"/>
  <c r="C150" i="1"/>
  <c r="H150" i="1" s="1"/>
  <c r="O149" i="1"/>
  <c r="N149" i="1"/>
  <c r="M149" i="1"/>
  <c r="J149" i="1"/>
  <c r="H149" i="1"/>
  <c r="G149" i="1"/>
  <c r="F149" i="1"/>
  <c r="C149" i="1"/>
  <c r="O148" i="1"/>
  <c r="N148" i="1"/>
  <c r="J148" i="1"/>
  <c r="M148" i="1" s="1"/>
  <c r="G148" i="1"/>
  <c r="F148" i="1"/>
  <c r="C148" i="1"/>
  <c r="H148" i="1" s="1"/>
  <c r="O147" i="1"/>
  <c r="N147" i="1"/>
  <c r="M147" i="1"/>
  <c r="J147" i="1"/>
  <c r="H147" i="1"/>
  <c r="G147" i="1"/>
  <c r="F147" i="1"/>
  <c r="C147" i="1"/>
  <c r="O146" i="1"/>
  <c r="N146" i="1"/>
  <c r="J146" i="1"/>
  <c r="M146" i="1" s="1"/>
  <c r="G146" i="1"/>
  <c r="F146" i="1"/>
  <c r="C146" i="1"/>
  <c r="H146" i="1" s="1"/>
  <c r="O145" i="1"/>
  <c r="N145" i="1"/>
  <c r="M145" i="1"/>
  <c r="J145" i="1"/>
  <c r="H145" i="1"/>
  <c r="G145" i="1"/>
  <c r="F145" i="1"/>
  <c r="C145" i="1"/>
  <c r="O144" i="1"/>
  <c r="N144" i="1"/>
  <c r="J144" i="1"/>
  <c r="M144" i="1" s="1"/>
  <c r="G144" i="1"/>
  <c r="F144" i="1"/>
  <c r="C144" i="1"/>
  <c r="H144" i="1" s="1"/>
  <c r="O143" i="1"/>
  <c r="N143" i="1"/>
  <c r="M143" i="1"/>
  <c r="J143" i="1"/>
  <c r="H143" i="1"/>
  <c r="G143" i="1"/>
  <c r="F143" i="1"/>
  <c r="C143" i="1"/>
  <c r="O142" i="1"/>
  <c r="N142" i="1"/>
  <c r="J142" i="1"/>
  <c r="M142" i="1" s="1"/>
  <c r="G142" i="1"/>
  <c r="F142" i="1"/>
  <c r="C142" i="1"/>
  <c r="H142" i="1" s="1"/>
  <c r="O141" i="1"/>
  <c r="N141" i="1"/>
  <c r="M141" i="1"/>
  <c r="J141" i="1"/>
  <c r="H141" i="1"/>
  <c r="G141" i="1"/>
  <c r="F141" i="1"/>
  <c r="C141" i="1"/>
  <c r="O140" i="1"/>
  <c r="N140" i="1"/>
  <c r="J140" i="1"/>
  <c r="M140" i="1" s="1"/>
  <c r="G140" i="1"/>
  <c r="F140" i="1"/>
  <c r="C140" i="1"/>
  <c r="H140" i="1" s="1"/>
  <c r="W139" i="1"/>
  <c r="O139" i="1"/>
  <c r="N139" i="1"/>
  <c r="J139" i="1"/>
  <c r="M139" i="1" s="1"/>
  <c r="H139" i="1"/>
  <c r="G139" i="1"/>
  <c r="F139" i="1"/>
  <c r="C139" i="1"/>
  <c r="W138" i="1"/>
  <c r="O138" i="1"/>
  <c r="N138" i="1"/>
  <c r="M138" i="1"/>
  <c r="J138" i="1"/>
  <c r="H138" i="1"/>
  <c r="G138" i="1"/>
  <c r="F138" i="1"/>
  <c r="C138" i="1"/>
  <c r="W137" i="1"/>
  <c r="O137" i="1"/>
  <c r="N137" i="1"/>
  <c r="H137" i="1"/>
  <c r="G137" i="1"/>
  <c r="K137" i="1" s="1"/>
  <c r="F137" i="1"/>
  <c r="J137" i="1" s="1"/>
  <c r="M137" i="1" s="1"/>
  <c r="C137" i="1"/>
  <c r="W136" i="1"/>
  <c r="O136" i="1"/>
  <c r="N136" i="1"/>
  <c r="J136" i="1"/>
  <c r="M136" i="1" s="1"/>
  <c r="G136" i="1"/>
  <c r="F136" i="1"/>
  <c r="C136" i="1"/>
  <c r="H136" i="1" s="1"/>
  <c r="W135" i="1"/>
  <c r="O135" i="1"/>
  <c r="N135" i="1"/>
  <c r="J135" i="1"/>
  <c r="M135" i="1" s="1"/>
  <c r="H135" i="1"/>
  <c r="G135" i="1"/>
  <c r="F135" i="1"/>
  <c r="C135" i="1"/>
  <c r="W134" i="1"/>
  <c r="O134" i="1"/>
  <c r="N134" i="1"/>
  <c r="M134" i="1"/>
  <c r="J134" i="1"/>
  <c r="H134" i="1"/>
  <c r="G134" i="1"/>
  <c r="F134" i="1"/>
  <c r="C134" i="1"/>
  <c r="W133" i="1"/>
  <c r="O133" i="1"/>
  <c r="N133" i="1"/>
  <c r="H133" i="1"/>
  <c r="G133" i="1"/>
  <c r="K133" i="1" s="1"/>
  <c r="F133" i="1"/>
  <c r="J133" i="1" s="1"/>
  <c r="M133" i="1" s="1"/>
  <c r="C133" i="1"/>
  <c r="W132" i="1"/>
  <c r="O132" i="1"/>
  <c r="N132" i="1"/>
  <c r="J132" i="1"/>
  <c r="M132" i="1" s="1"/>
  <c r="G132" i="1"/>
  <c r="F132" i="1"/>
  <c r="C132" i="1"/>
  <c r="H132" i="1" s="1"/>
  <c r="W131" i="1"/>
  <c r="O131" i="1"/>
  <c r="N131" i="1"/>
  <c r="J131" i="1"/>
  <c r="M131" i="1" s="1"/>
  <c r="H131" i="1"/>
  <c r="G131" i="1"/>
  <c r="F131" i="1"/>
  <c r="C131" i="1"/>
  <c r="W130" i="1"/>
  <c r="O130" i="1"/>
  <c r="N130" i="1"/>
  <c r="M130" i="1"/>
  <c r="J130" i="1"/>
  <c r="H130" i="1"/>
  <c r="G130" i="1"/>
  <c r="F130" i="1"/>
  <c r="C130" i="1"/>
  <c r="W129" i="1"/>
  <c r="O129" i="1"/>
  <c r="N129" i="1"/>
  <c r="H129" i="1"/>
  <c r="G129" i="1"/>
  <c r="K129" i="1" s="1"/>
  <c r="F129" i="1"/>
  <c r="J129" i="1" s="1"/>
  <c r="M129" i="1" s="1"/>
  <c r="C129" i="1"/>
  <c r="W128" i="1"/>
  <c r="O128" i="1"/>
  <c r="N128" i="1"/>
  <c r="J128" i="1"/>
  <c r="M128" i="1" s="1"/>
  <c r="G128" i="1"/>
  <c r="F128" i="1"/>
  <c r="C128" i="1"/>
  <c r="H128" i="1" s="1"/>
  <c r="W127" i="1"/>
  <c r="O127" i="1"/>
  <c r="N127" i="1"/>
  <c r="J127" i="1"/>
  <c r="M127" i="1" s="1"/>
  <c r="H127" i="1"/>
  <c r="G127" i="1"/>
  <c r="F127" i="1"/>
  <c r="C127" i="1"/>
  <c r="W126" i="1"/>
  <c r="O126" i="1"/>
  <c r="N126" i="1"/>
  <c r="M126" i="1"/>
  <c r="J126" i="1"/>
  <c r="H126" i="1"/>
  <c r="G126" i="1"/>
  <c r="F126" i="1"/>
  <c r="C126" i="1"/>
  <c r="W125" i="1"/>
  <c r="O125" i="1"/>
  <c r="N125" i="1"/>
  <c r="H125" i="1"/>
  <c r="G125" i="1"/>
  <c r="K125" i="1" s="1"/>
  <c r="F125" i="1"/>
  <c r="J125" i="1" s="1"/>
  <c r="M125" i="1" s="1"/>
  <c r="C125" i="1"/>
  <c r="W124" i="1"/>
  <c r="O124" i="1"/>
  <c r="N124" i="1"/>
  <c r="J124" i="1"/>
  <c r="M124" i="1" s="1"/>
  <c r="G124" i="1"/>
  <c r="F124" i="1"/>
  <c r="C124" i="1"/>
  <c r="H124" i="1" s="1"/>
  <c r="W123" i="1"/>
  <c r="O123" i="1"/>
  <c r="N123" i="1"/>
  <c r="J123" i="1"/>
  <c r="M123" i="1" s="1"/>
  <c r="H123" i="1"/>
  <c r="G123" i="1"/>
  <c r="F123" i="1"/>
  <c r="C123" i="1"/>
  <c r="W122" i="1"/>
  <c r="O122" i="1"/>
  <c r="N122" i="1"/>
  <c r="M122" i="1"/>
  <c r="J122" i="1"/>
  <c r="H122" i="1"/>
  <c r="G122" i="1"/>
  <c r="F122" i="1"/>
  <c r="C122" i="1"/>
  <c r="W121" i="1"/>
  <c r="O121" i="1"/>
  <c r="N121" i="1"/>
  <c r="H121" i="1"/>
  <c r="G121" i="1"/>
  <c r="K121" i="1" s="1"/>
  <c r="F121" i="1"/>
  <c r="J121" i="1" s="1"/>
  <c r="M121" i="1" s="1"/>
  <c r="C121" i="1"/>
  <c r="W120" i="1"/>
  <c r="O120" i="1"/>
  <c r="N120" i="1"/>
  <c r="J120" i="1"/>
  <c r="M120" i="1" s="1"/>
  <c r="G120" i="1"/>
  <c r="F120" i="1"/>
  <c r="C120" i="1"/>
  <c r="H120" i="1" s="1"/>
  <c r="W119" i="1"/>
  <c r="O119" i="1"/>
  <c r="N119" i="1"/>
  <c r="J119" i="1"/>
  <c r="M119" i="1" s="1"/>
  <c r="H119" i="1"/>
  <c r="G119" i="1"/>
  <c r="F119" i="1"/>
  <c r="C119" i="1"/>
  <c r="W118" i="1"/>
  <c r="O118" i="1"/>
  <c r="N118" i="1"/>
  <c r="M118" i="1"/>
  <c r="J118" i="1"/>
  <c r="H118" i="1"/>
  <c r="G118" i="1"/>
  <c r="F118" i="1"/>
  <c r="C118" i="1"/>
  <c r="W117" i="1"/>
  <c r="O117" i="1"/>
  <c r="N117" i="1"/>
  <c r="H117" i="1"/>
  <c r="G117" i="1"/>
  <c r="K117" i="1" s="1"/>
  <c r="F117" i="1"/>
  <c r="J117" i="1" s="1"/>
  <c r="M117" i="1" s="1"/>
  <c r="C117" i="1"/>
  <c r="W116" i="1"/>
  <c r="O116" i="1"/>
  <c r="N116" i="1"/>
  <c r="J116" i="1"/>
  <c r="M116" i="1" s="1"/>
  <c r="G116" i="1"/>
  <c r="F116" i="1"/>
  <c r="C116" i="1"/>
  <c r="H116" i="1" s="1"/>
  <c r="W115" i="1"/>
  <c r="O115" i="1"/>
  <c r="N115" i="1"/>
  <c r="J115" i="1"/>
  <c r="M115" i="1" s="1"/>
  <c r="H115" i="1"/>
  <c r="G115" i="1"/>
  <c r="F115" i="1"/>
  <c r="C115" i="1"/>
  <c r="W114" i="1"/>
  <c r="O114" i="1"/>
  <c r="N114" i="1"/>
  <c r="M114" i="1"/>
  <c r="J114" i="1"/>
  <c r="H114" i="1"/>
  <c r="G114" i="1"/>
  <c r="F114" i="1"/>
  <c r="C114" i="1"/>
  <c r="W113" i="1"/>
  <c r="O113" i="1"/>
  <c r="N113" i="1"/>
  <c r="H113" i="1"/>
  <c r="G113" i="1"/>
  <c r="K113" i="1" s="1"/>
  <c r="F113" i="1"/>
  <c r="J113" i="1" s="1"/>
  <c r="M113" i="1" s="1"/>
  <c r="C113" i="1"/>
  <c r="W112" i="1"/>
  <c r="O112" i="1"/>
  <c r="N112" i="1"/>
  <c r="J112" i="1"/>
  <c r="M112" i="1" s="1"/>
  <c r="G112" i="1"/>
  <c r="F112" i="1"/>
  <c r="C112" i="1"/>
  <c r="H112" i="1" s="1"/>
  <c r="W111" i="1"/>
  <c r="O111" i="1"/>
  <c r="N111" i="1"/>
  <c r="J111" i="1"/>
  <c r="M111" i="1" s="1"/>
  <c r="H111" i="1"/>
  <c r="G111" i="1"/>
  <c r="F111" i="1"/>
  <c r="C111" i="1"/>
  <c r="W110" i="1"/>
  <c r="O110" i="1"/>
  <c r="N110" i="1"/>
  <c r="M110" i="1"/>
  <c r="J110" i="1"/>
  <c r="H110" i="1"/>
  <c r="G110" i="1"/>
  <c r="F110" i="1"/>
  <c r="C110" i="1"/>
  <c r="W109" i="1"/>
  <c r="O109" i="1"/>
  <c r="N109" i="1"/>
  <c r="H109" i="1"/>
  <c r="G109" i="1"/>
  <c r="K109" i="1" s="1"/>
  <c r="F109" i="1"/>
  <c r="J109" i="1" s="1"/>
  <c r="M109" i="1" s="1"/>
  <c r="C109" i="1"/>
  <c r="W108" i="1"/>
  <c r="O108" i="1"/>
  <c r="N108" i="1"/>
  <c r="J108" i="1"/>
  <c r="M108" i="1" s="1"/>
  <c r="G108" i="1"/>
  <c r="F108" i="1"/>
  <c r="C108" i="1"/>
  <c r="H108" i="1" s="1"/>
  <c r="W107" i="1"/>
  <c r="O107" i="1"/>
  <c r="N107" i="1"/>
  <c r="J107" i="1"/>
  <c r="M107" i="1" s="1"/>
  <c r="H107" i="1"/>
  <c r="G107" i="1"/>
  <c r="F107" i="1"/>
  <c r="C107" i="1"/>
  <c r="W106" i="1"/>
  <c r="O106" i="1"/>
  <c r="N106" i="1"/>
  <c r="M106" i="1"/>
  <c r="J106" i="1"/>
  <c r="H106" i="1"/>
  <c r="G106" i="1"/>
  <c r="F106" i="1"/>
  <c r="C106" i="1"/>
  <c r="W105" i="1"/>
  <c r="O105" i="1"/>
  <c r="N105" i="1"/>
  <c r="H105" i="1"/>
  <c r="G105" i="1"/>
  <c r="K105" i="1" s="1"/>
  <c r="P105" i="1" s="1"/>
  <c r="F105" i="1"/>
  <c r="J105" i="1" s="1"/>
  <c r="M105" i="1" s="1"/>
  <c r="C105" i="1"/>
  <c r="W104" i="1"/>
  <c r="O104" i="1"/>
  <c r="N104" i="1"/>
  <c r="J104" i="1"/>
  <c r="M104" i="1" s="1"/>
  <c r="G104" i="1"/>
  <c r="F104" i="1"/>
  <c r="C104" i="1"/>
  <c r="H104" i="1" s="1"/>
  <c r="W103" i="1"/>
  <c r="O103" i="1"/>
  <c r="N103" i="1"/>
  <c r="J103" i="1"/>
  <c r="M103" i="1" s="1"/>
  <c r="H103" i="1"/>
  <c r="G103" i="1"/>
  <c r="F103" i="1"/>
  <c r="C103" i="1"/>
  <c r="W102" i="1"/>
  <c r="O102" i="1"/>
  <c r="N102" i="1"/>
  <c r="M102" i="1"/>
  <c r="J102" i="1"/>
  <c r="H102" i="1"/>
  <c r="G102" i="1"/>
  <c r="F102" i="1"/>
  <c r="C102" i="1"/>
  <c r="W101" i="1"/>
  <c r="O101" i="1"/>
  <c r="N101" i="1"/>
  <c r="H101" i="1"/>
  <c r="G101" i="1"/>
  <c r="K101" i="1" s="1"/>
  <c r="F101" i="1"/>
  <c r="J101" i="1" s="1"/>
  <c r="M101" i="1" s="1"/>
  <c r="C101" i="1"/>
  <c r="W100" i="1"/>
  <c r="O100" i="1"/>
  <c r="N100" i="1"/>
  <c r="J100" i="1"/>
  <c r="M100" i="1" s="1"/>
  <c r="G100" i="1"/>
  <c r="F100" i="1"/>
  <c r="C100" i="1"/>
  <c r="H100" i="1" s="1"/>
  <c r="W99" i="1"/>
  <c r="O99" i="1"/>
  <c r="N99" i="1"/>
  <c r="J99" i="1"/>
  <c r="M99" i="1" s="1"/>
  <c r="H99" i="1"/>
  <c r="G99" i="1"/>
  <c r="F99" i="1"/>
  <c r="C99" i="1"/>
  <c r="W98" i="1"/>
  <c r="O98" i="1"/>
  <c r="N98" i="1"/>
  <c r="M98" i="1"/>
  <c r="J98" i="1"/>
  <c r="H98" i="1"/>
  <c r="G98" i="1"/>
  <c r="F98" i="1"/>
  <c r="C98" i="1"/>
  <c r="W97" i="1"/>
  <c r="O97" i="1"/>
  <c r="N97" i="1"/>
  <c r="H97" i="1"/>
  <c r="G97" i="1"/>
  <c r="K97" i="1" s="1"/>
  <c r="F97" i="1"/>
  <c r="J97" i="1" s="1"/>
  <c r="M97" i="1" s="1"/>
  <c r="C97" i="1"/>
  <c r="W96" i="1"/>
  <c r="O96" i="1"/>
  <c r="N96" i="1"/>
  <c r="J96" i="1"/>
  <c r="M96" i="1" s="1"/>
  <c r="G96" i="1"/>
  <c r="F96" i="1"/>
  <c r="C96" i="1"/>
  <c r="H96" i="1" s="1"/>
  <c r="W95" i="1"/>
  <c r="O95" i="1"/>
  <c r="N95" i="1"/>
  <c r="H95" i="1"/>
  <c r="G95" i="1"/>
  <c r="F95" i="1"/>
  <c r="J95" i="1" s="1"/>
  <c r="M95" i="1" s="1"/>
  <c r="C95" i="1"/>
  <c r="W94" i="1"/>
  <c r="O94" i="1"/>
  <c r="N94" i="1"/>
  <c r="J94" i="1"/>
  <c r="M94" i="1" s="1"/>
  <c r="H94" i="1"/>
  <c r="G94" i="1"/>
  <c r="F94" i="1"/>
  <c r="C94" i="1"/>
  <c r="W93" i="1"/>
  <c r="O93" i="1"/>
  <c r="N93" i="1"/>
  <c r="H93" i="1"/>
  <c r="G93" i="1"/>
  <c r="F93" i="1"/>
  <c r="J93" i="1" s="1"/>
  <c r="M93" i="1" s="1"/>
  <c r="C93" i="1"/>
  <c r="W92" i="1"/>
  <c r="O92" i="1"/>
  <c r="N92" i="1"/>
  <c r="J92" i="1"/>
  <c r="M92" i="1" s="1"/>
  <c r="G92" i="1"/>
  <c r="K92" i="1" s="1"/>
  <c r="P92" i="1" s="1"/>
  <c r="F92" i="1"/>
  <c r="C92" i="1"/>
  <c r="H92" i="1" s="1"/>
  <c r="W91" i="1"/>
  <c r="O91" i="1"/>
  <c r="N91" i="1"/>
  <c r="J91" i="1"/>
  <c r="M91" i="1" s="1"/>
  <c r="G91" i="1"/>
  <c r="F91" i="1"/>
  <c r="C91" i="1"/>
  <c r="H91" i="1" s="1"/>
  <c r="W90" i="1"/>
  <c r="O90" i="1"/>
  <c r="N90" i="1"/>
  <c r="M90" i="1"/>
  <c r="J90" i="1"/>
  <c r="H90" i="1"/>
  <c r="G90" i="1"/>
  <c r="F90" i="1"/>
  <c r="C90" i="1"/>
  <c r="W89" i="1"/>
  <c r="O89" i="1"/>
  <c r="N89" i="1"/>
  <c r="H89" i="1"/>
  <c r="G89" i="1"/>
  <c r="F89" i="1"/>
  <c r="J89" i="1" s="1"/>
  <c r="M89" i="1" s="1"/>
  <c r="C89" i="1"/>
  <c r="W88" i="1"/>
  <c r="O88" i="1"/>
  <c r="N88" i="1"/>
  <c r="G88" i="1"/>
  <c r="K88" i="1" s="1"/>
  <c r="F88" i="1"/>
  <c r="J88" i="1" s="1"/>
  <c r="M88" i="1" s="1"/>
  <c r="C88" i="1"/>
  <c r="H88" i="1" s="1"/>
  <c r="W87" i="1"/>
  <c r="O87" i="1"/>
  <c r="N87" i="1"/>
  <c r="J87" i="1"/>
  <c r="M87" i="1" s="1"/>
  <c r="H87" i="1"/>
  <c r="G87" i="1"/>
  <c r="F87" i="1"/>
  <c r="C87" i="1"/>
  <c r="W86" i="1"/>
  <c r="O86" i="1"/>
  <c r="N86" i="1"/>
  <c r="J86" i="1"/>
  <c r="M86" i="1" s="1"/>
  <c r="G86" i="1"/>
  <c r="F86" i="1"/>
  <c r="C86" i="1"/>
  <c r="H86" i="1" s="1"/>
  <c r="W85" i="1"/>
  <c r="O85" i="1"/>
  <c r="N85" i="1"/>
  <c r="H85" i="1"/>
  <c r="G85" i="1"/>
  <c r="K85" i="1" s="1"/>
  <c r="F85" i="1"/>
  <c r="J85" i="1" s="1"/>
  <c r="M85" i="1" s="1"/>
  <c r="C85" i="1"/>
  <c r="W84" i="1"/>
  <c r="O84" i="1"/>
  <c r="N84" i="1"/>
  <c r="G84" i="1"/>
  <c r="F84" i="1"/>
  <c r="J84" i="1" s="1"/>
  <c r="M84" i="1" s="1"/>
  <c r="C84" i="1"/>
  <c r="H84" i="1" s="1"/>
  <c r="W83" i="1"/>
  <c r="O83" i="1"/>
  <c r="N83" i="1"/>
  <c r="J83" i="1"/>
  <c r="M83" i="1" s="1"/>
  <c r="H83" i="1"/>
  <c r="G83" i="1"/>
  <c r="F83" i="1"/>
  <c r="C83" i="1"/>
  <c r="W82" i="1"/>
  <c r="O82" i="1"/>
  <c r="N82" i="1"/>
  <c r="J82" i="1"/>
  <c r="M82" i="1" s="1"/>
  <c r="H82" i="1"/>
  <c r="G82" i="1"/>
  <c r="F82" i="1"/>
  <c r="C82" i="1"/>
  <c r="W81" i="1"/>
  <c r="O81" i="1"/>
  <c r="N81" i="1"/>
  <c r="H81" i="1"/>
  <c r="G81" i="1"/>
  <c r="K81" i="1" s="1"/>
  <c r="F81" i="1"/>
  <c r="J81" i="1" s="1"/>
  <c r="M81" i="1" s="1"/>
  <c r="C81" i="1"/>
  <c r="W80" i="1"/>
  <c r="O80" i="1"/>
  <c r="N80" i="1"/>
  <c r="J80" i="1"/>
  <c r="M80" i="1" s="1"/>
  <c r="G80" i="1"/>
  <c r="F80" i="1"/>
  <c r="C80" i="1"/>
  <c r="H80" i="1" s="1"/>
  <c r="W79" i="1"/>
  <c r="O79" i="1"/>
  <c r="N79" i="1"/>
  <c r="H79" i="1"/>
  <c r="G79" i="1"/>
  <c r="F79" i="1"/>
  <c r="J79" i="1" s="1"/>
  <c r="M79" i="1" s="1"/>
  <c r="C79" i="1"/>
  <c r="W78" i="1"/>
  <c r="O78" i="1"/>
  <c r="N78" i="1"/>
  <c r="J78" i="1"/>
  <c r="M78" i="1" s="1"/>
  <c r="H78" i="1"/>
  <c r="G78" i="1"/>
  <c r="F78" i="1"/>
  <c r="C78" i="1"/>
  <c r="W77" i="1"/>
  <c r="O77" i="1"/>
  <c r="N77" i="1"/>
  <c r="H77" i="1"/>
  <c r="G77" i="1"/>
  <c r="F77" i="1"/>
  <c r="J77" i="1" s="1"/>
  <c r="M77" i="1" s="1"/>
  <c r="C77" i="1"/>
  <c r="W76" i="1"/>
  <c r="O76" i="1"/>
  <c r="N76" i="1"/>
  <c r="J76" i="1"/>
  <c r="M76" i="1" s="1"/>
  <c r="G76" i="1"/>
  <c r="K76" i="1" s="1"/>
  <c r="P76" i="1" s="1"/>
  <c r="F76" i="1"/>
  <c r="C76" i="1"/>
  <c r="H76" i="1" s="1"/>
  <c r="W75" i="1"/>
  <c r="O75" i="1"/>
  <c r="N75" i="1"/>
  <c r="J75" i="1"/>
  <c r="M75" i="1" s="1"/>
  <c r="G75" i="1"/>
  <c r="F75" i="1"/>
  <c r="C75" i="1"/>
  <c r="H75" i="1" s="1"/>
  <c r="W74" i="1"/>
  <c r="O74" i="1"/>
  <c r="N74" i="1"/>
  <c r="M74" i="1"/>
  <c r="J74" i="1"/>
  <c r="H74" i="1"/>
  <c r="G74" i="1"/>
  <c r="F74" i="1"/>
  <c r="C74" i="1"/>
  <c r="W73" i="1"/>
  <c r="O73" i="1"/>
  <c r="N73" i="1"/>
  <c r="H73" i="1"/>
  <c r="G73" i="1"/>
  <c r="F73" i="1"/>
  <c r="J73" i="1" s="1"/>
  <c r="M73" i="1" s="1"/>
  <c r="C73" i="1"/>
  <c r="W72" i="1"/>
  <c r="O72" i="1"/>
  <c r="N72" i="1"/>
  <c r="G72" i="1"/>
  <c r="K72" i="1" s="1"/>
  <c r="F72" i="1"/>
  <c r="J72" i="1" s="1"/>
  <c r="M72" i="1" s="1"/>
  <c r="C72" i="1"/>
  <c r="H72" i="1" s="1"/>
  <c r="W71" i="1"/>
  <c r="O71" i="1"/>
  <c r="N71" i="1"/>
  <c r="J71" i="1"/>
  <c r="M71" i="1" s="1"/>
  <c r="H71" i="1"/>
  <c r="G71" i="1"/>
  <c r="F71" i="1"/>
  <c r="C71" i="1"/>
  <c r="W70" i="1"/>
  <c r="O70" i="1"/>
  <c r="N70" i="1"/>
  <c r="H70" i="1"/>
  <c r="G70" i="1"/>
  <c r="F70" i="1"/>
  <c r="J70" i="1" s="1"/>
  <c r="M70" i="1" s="1"/>
  <c r="C70" i="1"/>
  <c r="W69" i="1"/>
  <c r="O69" i="1"/>
  <c r="N69" i="1"/>
  <c r="J69" i="1"/>
  <c r="M69" i="1" s="1"/>
  <c r="G69" i="1"/>
  <c r="F69" i="1"/>
  <c r="C69" i="1"/>
  <c r="H69" i="1" s="1"/>
  <c r="W68" i="1"/>
  <c r="O68" i="1"/>
  <c r="N68" i="1"/>
  <c r="J68" i="1"/>
  <c r="M68" i="1" s="1"/>
  <c r="H68" i="1"/>
  <c r="G68" i="1"/>
  <c r="F68" i="1"/>
  <c r="C68" i="1"/>
  <c r="W67" i="1"/>
  <c r="O67" i="1"/>
  <c r="N67" i="1"/>
  <c r="M67" i="1"/>
  <c r="J67" i="1"/>
  <c r="H67" i="1"/>
  <c r="G67" i="1"/>
  <c r="K67" i="1" s="1"/>
  <c r="F67" i="1"/>
  <c r="C67" i="1"/>
  <c r="W66" i="1"/>
  <c r="O66" i="1"/>
  <c r="N66" i="1"/>
  <c r="H66" i="1"/>
  <c r="G66" i="1"/>
  <c r="F66" i="1"/>
  <c r="J66" i="1" s="1"/>
  <c r="M66" i="1" s="1"/>
  <c r="C66" i="1"/>
  <c r="W65" i="1"/>
  <c r="O65" i="1"/>
  <c r="N65" i="1"/>
  <c r="J65" i="1"/>
  <c r="M65" i="1" s="1"/>
  <c r="G65" i="1"/>
  <c r="F65" i="1"/>
  <c r="C65" i="1"/>
  <c r="H65" i="1" s="1"/>
  <c r="W64" i="1"/>
  <c r="O64" i="1"/>
  <c r="N64" i="1"/>
  <c r="J64" i="1"/>
  <c r="M64" i="1" s="1"/>
  <c r="H64" i="1"/>
  <c r="G64" i="1"/>
  <c r="F64" i="1"/>
  <c r="C64" i="1"/>
  <c r="W63" i="1"/>
  <c r="O63" i="1"/>
  <c r="N63" i="1"/>
  <c r="M63" i="1"/>
  <c r="J63" i="1"/>
  <c r="H63" i="1"/>
  <c r="G63" i="1"/>
  <c r="K63" i="1" s="1"/>
  <c r="F63" i="1"/>
  <c r="C63" i="1"/>
  <c r="W62" i="1"/>
  <c r="O62" i="1"/>
  <c r="N62" i="1"/>
  <c r="H62" i="1"/>
  <c r="G62" i="1"/>
  <c r="F62" i="1"/>
  <c r="J62" i="1" s="1"/>
  <c r="M62" i="1" s="1"/>
  <c r="C62" i="1"/>
  <c r="W61" i="1"/>
  <c r="O61" i="1"/>
  <c r="N61" i="1"/>
  <c r="J61" i="1"/>
  <c r="M61" i="1" s="1"/>
  <c r="G61" i="1"/>
  <c r="F61" i="1"/>
  <c r="C61" i="1"/>
  <c r="H61" i="1" s="1"/>
  <c r="W60" i="1"/>
  <c r="O60" i="1"/>
  <c r="N60" i="1"/>
  <c r="J60" i="1"/>
  <c r="M60" i="1" s="1"/>
  <c r="H60" i="1"/>
  <c r="G60" i="1"/>
  <c r="F60" i="1"/>
  <c r="C60" i="1"/>
  <c r="W59" i="1"/>
  <c r="O59" i="1"/>
  <c r="N59" i="1"/>
  <c r="M59" i="1"/>
  <c r="J59" i="1"/>
  <c r="H59" i="1"/>
  <c r="G59" i="1"/>
  <c r="K59" i="1" s="1"/>
  <c r="F59" i="1"/>
  <c r="C59" i="1"/>
  <c r="W58" i="1"/>
  <c r="O58" i="1"/>
  <c r="N58" i="1"/>
  <c r="H58" i="1"/>
  <c r="G58" i="1"/>
  <c r="F58" i="1"/>
  <c r="J58" i="1" s="1"/>
  <c r="M58" i="1" s="1"/>
  <c r="C58" i="1"/>
  <c r="W57" i="1"/>
  <c r="O57" i="1"/>
  <c r="N57" i="1"/>
  <c r="J57" i="1"/>
  <c r="M57" i="1" s="1"/>
  <c r="G57" i="1"/>
  <c r="F57" i="1"/>
  <c r="C57" i="1"/>
  <c r="H57" i="1" s="1"/>
  <c r="W56" i="1"/>
  <c r="O56" i="1"/>
  <c r="N56" i="1"/>
  <c r="J56" i="1"/>
  <c r="M56" i="1" s="1"/>
  <c r="H56" i="1"/>
  <c r="G56" i="1"/>
  <c r="F56" i="1"/>
  <c r="C56" i="1"/>
  <c r="W55" i="1"/>
  <c r="O55" i="1"/>
  <c r="N55" i="1"/>
  <c r="M55" i="1"/>
  <c r="J55" i="1"/>
  <c r="H55" i="1"/>
  <c r="G55" i="1"/>
  <c r="K55" i="1" s="1"/>
  <c r="F55" i="1"/>
  <c r="C55" i="1"/>
  <c r="W54" i="1"/>
  <c r="O54" i="1"/>
  <c r="N54" i="1"/>
  <c r="H54" i="1"/>
  <c r="G54" i="1"/>
  <c r="F54" i="1"/>
  <c r="J54" i="1" s="1"/>
  <c r="M54" i="1" s="1"/>
  <c r="C54" i="1"/>
  <c r="W53" i="1"/>
  <c r="O53" i="1"/>
  <c r="N53" i="1"/>
  <c r="J53" i="1"/>
  <c r="M53" i="1" s="1"/>
  <c r="G53" i="1"/>
  <c r="F53" i="1"/>
  <c r="C53" i="1"/>
  <c r="H53" i="1" s="1"/>
  <c r="W52" i="1"/>
  <c r="O52" i="1"/>
  <c r="N52" i="1"/>
  <c r="J52" i="1"/>
  <c r="M52" i="1" s="1"/>
  <c r="H52" i="1"/>
  <c r="G52" i="1"/>
  <c r="F52" i="1"/>
  <c r="C52" i="1"/>
  <c r="W51" i="1"/>
  <c r="O51" i="1"/>
  <c r="N51" i="1"/>
  <c r="M51" i="1"/>
  <c r="J51" i="1"/>
  <c r="H51" i="1"/>
  <c r="G51" i="1"/>
  <c r="K51" i="1" s="1"/>
  <c r="F51" i="1"/>
  <c r="C51" i="1"/>
  <c r="W50" i="1"/>
  <c r="O50" i="1"/>
  <c r="N50" i="1"/>
  <c r="H50" i="1"/>
  <c r="G50" i="1"/>
  <c r="F50" i="1"/>
  <c r="J50" i="1" s="1"/>
  <c r="M50" i="1" s="1"/>
  <c r="C50" i="1"/>
  <c r="W49" i="1"/>
  <c r="O49" i="1"/>
  <c r="N49" i="1"/>
  <c r="J49" i="1"/>
  <c r="M49" i="1" s="1"/>
  <c r="G49" i="1"/>
  <c r="F49" i="1"/>
  <c r="C49" i="1"/>
  <c r="H49" i="1" s="1"/>
  <c r="W48" i="1"/>
  <c r="O48" i="1"/>
  <c r="N48" i="1"/>
  <c r="J48" i="1"/>
  <c r="M48" i="1" s="1"/>
  <c r="H48" i="1"/>
  <c r="G48" i="1"/>
  <c r="F48" i="1"/>
  <c r="C48" i="1"/>
  <c r="W47" i="1"/>
  <c r="O47" i="1"/>
  <c r="N47" i="1"/>
  <c r="M47" i="1"/>
  <c r="J47" i="1"/>
  <c r="H47" i="1"/>
  <c r="G47" i="1"/>
  <c r="K47" i="1" s="1"/>
  <c r="F47" i="1"/>
  <c r="C47" i="1"/>
  <c r="W46" i="1"/>
  <c r="O46" i="1"/>
  <c r="N46" i="1"/>
  <c r="H46" i="1"/>
  <c r="G46" i="1"/>
  <c r="F46" i="1"/>
  <c r="J46" i="1" s="1"/>
  <c r="M46" i="1" s="1"/>
  <c r="C46" i="1"/>
  <c r="W45" i="1"/>
  <c r="O45" i="1"/>
  <c r="N45" i="1"/>
  <c r="J45" i="1"/>
  <c r="M45" i="1" s="1"/>
  <c r="G45" i="1"/>
  <c r="F45" i="1"/>
  <c r="C45" i="1"/>
  <c r="H45" i="1" s="1"/>
  <c r="W44" i="1"/>
  <c r="O44" i="1"/>
  <c r="N44" i="1"/>
  <c r="J44" i="1"/>
  <c r="M44" i="1" s="1"/>
  <c r="H44" i="1"/>
  <c r="G44" i="1"/>
  <c r="F44" i="1"/>
  <c r="C44" i="1"/>
  <c r="W43" i="1"/>
  <c r="O43" i="1"/>
  <c r="N43" i="1"/>
  <c r="M43" i="1"/>
  <c r="J43" i="1"/>
  <c r="H43" i="1"/>
  <c r="G43" i="1"/>
  <c r="K43" i="1" s="1"/>
  <c r="F43" i="1"/>
  <c r="C43" i="1"/>
  <c r="W42" i="1"/>
  <c r="O42" i="1"/>
  <c r="N42" i="1"/>
  <c r="H42" i="1"/>
  <c r="G42" i="1"/>
  <c r="F42" i="1"/>
  <c r="J42" i="1" s="1"/>
  <c r="M42" i="1" s="1"/>
  <c r="C42" i="1"/>
  <c r="W41" i="1"/>
  <c r="O41" i="1"/>
  <c r="N41" i="1"/>
  <c r="J41" i="1"/>
  <c r="M41" i="1" s="1"/>
  <c r="G41" i="1"/>
  <c r="F41" i="1"/>
  <c r="C41" i="1"/>
  <c r="H41" i="1" s="1"/>
  <c r="W40" i="1"/>
  <c r="O40" i="1"/>
  <c r="N40" i="1"/>
  <c r="J40" i="1"/>
  <c r="M40" i="1" s="1"/>
  <c r="H40" i="1"/>
  <c r="G40" i="1"/>
  <c r="F40" i="1"/>
  <c r="C40" i="1"/>
  <c r="W39" i="1"/>
  <c r="O39" i="1"/>
  <c r="N39" i="1"/>
  <c r="M39" i="1"/>
  <c r="J39" i="1"/>
  <c r="H39" i="1"/>
  <c r="G39" i="1"/>
  <c r="K39" i="1" s="1"/>
  <c r="F39" i="1"/>
  <c r="C39" i="1"/>
  <c r="W38" i="1"/>
  <c r="O38" i="1"/>
  <c r="N38" i="1"/>
  <c r="H38" i="1"/>
  <c r="G38" i="1"/>
  <c r="F38" i="1"/>
  <c r="J38" i="1" s="1"/>
  <c r="M38" i="1" s="1"/>
  <c r="C38" i="1"/>
  <c r="W37" i="1"/>
  <c r="O37" i="1"/>
  <c r="N37" i="1"/>
  <c r="J37" i="1"/>
  <c r="M37" i="1" s="1"/>
  <c r="G37" i="1"/>
  <c r="F37" i="1"/>
  <c r="C37" i="1"/>
  <c r="H37" i="1" s="1"/>
  <c r="W36" i="1"/>
  <c r="O36" i="1"/>
  <c r="N36" i="1"/>
  <c r="J36" i="1"/>
  <c r="M36" i="1" s="1"/>
  <c r="H36" i="1"/>
  <c r="G36" i="1"/>
  <c r="F36" i="1"/>
  <c r="C36" i="1"/>
  <c r="W35" i="1"/>
  <c r="O35" i="1"/>
  <c r="N35" i="1"/>
  <c r="M35" i="1"/>
  <c r="J35" i="1"/>
  <c r="H35" i="1"/>
  <c r="G35" i="1"/>
  <c r="K35" i="1" s="1"/>
  <c r="F35" i="1"/>
  <c r="C35" i="1"/>
  <c r="W34" i="1"/>
  <c r="O34" i="1"/>
  <c r="N34" i="1"/>
  <c r="H34" i="1"/>
  <c r="G34" i="1"/>
  <c r="F34" i="1"/>
  <c r="J34" i="1" s="1"/>
  <c r="M34" i="1" s="1"/>
  <c r="C34" i="1"/>
  <c r="W33" i="1"/>
  <c r="O33" i="1"/>
  <c r="N33" i="1"/>
  <c r="J33" i="1"/>
  <c r="M33" i="1" s="1"/>
  <c r="G33" i="1"/>
  <c r="F33" i="1"/>
  <c r="C33" i="1"/>
  <c r="H33" i="1" s="1"/>
  <c r="W32" i="1"/>
  <c r="O32" i="1"/>
  <c r="N32" i="1"/>
  <c r="J32" i="1"/>
  <c r="M32" i="1" s="1"/>
  <c r="H32" i="1"/>
  <c r="G32" i="1"/>
  <c r="F32" i="1"/>
  <c r="C32" i="1"/>
  <c r="Z31" i="1"/>
  <c r="W31" i="1"/>
  <c r="O31" i="1"/>
  <c r="N31" i="1"/>
  <c r="J31" i="1"/>
  <c r="M31" i="1" s="1"/>
  <c r="H31" i="1"/>
  <c r="G31" i="1"/>
  <c r="F31" i="1"/>
  <c r="C31" i="1"/>
  <c r="Z30" i="1"/>
  <c r="W30" i="1"/>
  <c r="O30" i="1"/>
  <c r="N30" i="1"/>
  <c r="J30" i="1"/>
  <c r="M30" i="1" s="1"/>
  <c r="H30" i="1"/>
  <c r="G30" i="1"/>
  <c r="F30" i="1"/>
  <c r="C30" i="1"/>
  <c r="Z29" i="1"/>
  <c r="W29" i="1"/>
  <c r="O29" i="1"/>
  <c r="N29" i="1"/>
  <c r="J29" i="1"/>
  <c r="M29" i="1" s="1"/>
  <c r="H29" i="1"/>
  <c r="G29" i="1"/>
  <c r="F29" i="1"/>
  <c r="C29" i="1"/>
  <c r="Z28" i="1"/>
  <c r="W28" i="1"/>
  <c r="O28" i="1"/>
  <c r="N28" i="1"/>
  <c r="J28" i="1"/>
  <c r="M28" i="1" s="1"/>
  <c r="H28" i="1"/>
  <c r="G28" i="1"/>
  <c r="F28" i="1"/>
  <c r="C28" i="1"/>
  <c r="Z27" i="1"/>
  <c r="W27" i="1"/>
  <c r="O27" i="1"/>
  <c r="N27" i="1"/>
  <c r="J27" i="1"/>
  <c r="M27" i="1" s="1"/>
  <c r="H27" i="1"/>
  <c r="G27" i="1"/>
  <c r="F27" i="1"/>
  <c r="C27" i="1"/>
  <c r="Z26" i="1"/>
  <c r="W26" i="1"/>
  <c r="O26" i="1"/>
  <c r="N26" i="1"/>
  <c r="J26" i="1"/>
  <c r="M26" i="1" s="1"/>
  <c r="H26" i="1"/>
  <c r="G26" i="1"/>
  <c r="F26" i="1"/>
  <c r="C26" i="1"/>
  <c r="Z25" i="1"/>
  <c r="W25" i="1"/>
  <c r="O25" i="1"/>
  <c r="N25" i="1"/>
  <c r="J25" i="1"/>
  <c r="M25" i="1" s="1"/>
  <c r="H25" i="1"/>
  <c r="G25" i="1"/>
  <c r="F25" i="1"/>
  <c r="C25" i="1"/>
  <c r="Z24" i="1"/>
  <c r="W24" i="1"/>
  <c r="O24" i="1"/>
  <c r="N24" i="1"/>
  <c r="J24" i="1"/>
  <c r="M24" i="1" s="1"/>
  <c r="H24" i="1"/>
  <c r="G24" i="1"/>
  <c r="F24" i="1"/>
  <c r="C24" i="1"/>
  <c r="Z23" i="1"/>
  <c r="W23" i="1"/>
  <c r="O23" i="1"/>
  <c r="N23" i="1"/>
  <c r="J23" i="1"/>
  <c r="M23" i="1" s="1"/>
  <c r="H23" i="1"/>
  <c r="G23" i="1"/>
  <c r="F23" i="1"/>
  <c r="C23" i="1"/>
  <c r="Z22" i="1"/>
  <c r="W22" i="1"/>
  <c r="O22" i="1"/>
  <c r="N22" i="1"/>
  <c r="J22" i="1"/>
  <c r="M22" i="1" s="1"/>
  <c r="H22" i="1"/>
  <c r="G22" i="1"/>
  <c r="F22" i="1"/>
  <c r="C22" i="1"/>
  <c r="Z21" i="1"/>
  <c r="W21" i="1"/>
  <c r="O21" i="1"/>
  <c r="N21" i="1"/>
  <c r="J21" i="1"/>
  <c r="M21" i="1" s="1"/>
  <c r="H21" i="1"/>
  <c r="G21" i="1"/>
  <c r="F21" i="1"/>
  <c r="C21" i="1"/>
  <c r="Z20" i="1"/>
  <c r="W20" i="1"/>
  <c r="O20" i="1"/>
  <c r="N20" i="1"/>
  <c r="J20" i="1"/>
  <c r="M20" i="1" s="1"/>
  <c r="H20" i="1"/>
  <c r="G20" i="1"/>
  <c r="F20" i="1"/>
  <c r="C20" i="1"/>
  <c r="Z19" i="1"/>
  <c r="W19" i="1"/>
  <c r="O19" i="1"/>
  <c r="N19" i="1"/>
  <c r="J19" i="1"/>
  <c r="M19" i="1" s="1"/>
  <c r="H19" i="1"/>
  <c r="G19" i="1"/>
  <c r="F19" i="1"/>
  <c r="C19" i="1"/>
  <c r="Z18" i="1"/>
  <c r="W18" i="1"/>
  <c r="O18" i="1"/>
  <c r="N18" i="1"/>
  <c r="J18" i="1"/>
  <c r="M18" i="1" s="1"/>
  <c r="H18" i="1"/>
  <c r="G18" i="1"/>
  <c r="F18" i="1"/>
  <c r="C18" i="1"/>
  <c r="Z17" i="1"/>
  <c r="W17" i="1"/>
  <c r="O17" i="1"/>
  <c r="N17" i="1"/>
  <c r="J17" i="1"/>
  <c r="M17" i="1" s="1"/>
  <c r="H17" i="1"/>
  <c r="G17" i="1"/>
  <c r="F17" i="1"/>
  <c r="C17" i="1"/>
  <c r="Z16" i="1"/>
  <c r="W16" i="1"/>
  <c r="O16" i="1"/>
  <c r="N16" i="1"/>
  <c r="J16" i="1"/>
  <c r="M16" i="1" s="1"/>
  <c r="H16" i="1"/>
  <c r="G16" i="1"/>
  <c r="F16" i="1"/>
  <c r="C16" i="1"/>
  <c r="Z15" i="1"/>
  <c r="W15" i="1"/>
  <c r="O15" i="1"/>
  <c r="N15" i="1"/>
  <c r="J15" i="1"/>
  <c r="M15" i="1" s="1"/>
  <c r="H15" i="1"/>
  <c r="G15" i="1"/>
  <c r="F15" i="1"/>
  <c r="C15" i="1"/>
  <c r="Z14" i="1"/>
  <c r="W14" i="1"/>
  <c r="O14" i="1"/>
  <c r="N14" i="1"/>
  <c r="J14" i="1"/>
  <c r="M14" i="1" s="1"/>
  <c r="H14" i="1"/>
  <c r="G14" i="1"/>
  <c r="F14" i="1"/>
  <c r="C14" i="1"/>
  <c r="Z13" i="1"/>
  <c r="W13" i="1"/>
  <c r="O13" i="1"/>
  <c r="N13" i="1"/>
  <c r="J13" i="1"/>
  <c r="M13" i="1" s="1"/>
  <c r="H13" i="1"/>
  <c r="G13" i="1"/>
  <c r="F13" i="1"/>
  <c r="C13" i="1"/>
  <c r="Z12" i="1"/>
  <c r="W12" i="1"/>
  <c r="O12" i="1"/>
  <c r="N12" i="1"/>
  <c r="J12" i="1"/>
  <c r="M12" i="1" s="1"/>
  <c r="G12" i="1"/>
  <c r="F12" i="1"/>
  <c r="C12" i="1"/>
  <c r="H12" i="1" s="1"/>
  <c r="Z11" i="1"/>
  <c r="W11" i="1"/>
  <c r="O11" i="1"/>
  <c r="N11" i="1"/>
  <c r="H11" i="1"/>
  <c r="G11" i="1"/>
  <c r="F11" i="1"/>
  <c r="J11" i="1" s="1"/>
  <c r="M11" i="1" s="1"/>
  <c r="C11" i="1"/>
  <c r="Z10" i="1"/>
  <c r="W10" i="1"/>
  <c r="O10" i="1"/>
  <c r="N10" i="1"/>
  <c r="H10" i="1"/>
  <c r="G10" i="1"/>
  <c r="F10" i="1"/>
  <c r="J10" i="1" s="1"/>
  <c r="M10" i="1" s="1"/>
  <c r="C10" i="1"/>
  <c r="Z9" i="1"/>
  <c r="W9" i="1"/>
  <c r="O9" i="1"/>
  <c r="N9" i="1"/>
  <c r="H9" i="1"/>
  <c r="G9" i="1"/>
  <c r="F9" i="1"/>
  <c r="J9" i="1" s="1"/>
  <c r="M9" i="1" s="1"/>
  <c r="C9" i="1"/>
  <c r="Z8" i="1"/>
  <c r="W8" i="1"/>
  <c r="O8" i="1"/>
  <c r="N8" i="1"/>
  <c r="H8" i="1"/>
  <c r="G8" i="1"/>
  <c r="F8" i="1"/>
  <c r="J8" i="1" s="1"/>
  <c r="M8" i="1" s="1"/>
  <c r="C8" i="1"/>
  <c r="AC7" i="1"/>
  <c r="AC11" i="1" s="1"/>
  <c r="AC12" i="1" s="1"/>
  <c r="Z7" i="1"/>
  <c r="W7" i="1"/>
  <c r="O7" i="1"/>
  <c r="N7" i="1"/>
  <c r="M7" i="1"/>
  <c r="J7" i="1"/>
  <c r="H7" i="1"/>
  <c r="G7" i="1"/>
  <c r="K7" i="1" s="1"/>
  <c r="F7" i="1"/>
  <c r="C7" i="1"/>
  <c r="Z6" i="1"/>
  <c r="W6" i="1"/>
  <c r="O6" i="1"/>
  <c r="N6" i="1"/>
  <c r="M6" i="1"/>
  <c r="J6" i="1"/>
  <c r="H6" i="1"/>
  <c r="G6" i="1"/>
  <c r="K6" i="1" s="1"/>
  <c r="P6" i="1" s="1"/>
  <c r="F6" i="1"/>
  <c r="C6" i="1"/>
  <c r="Z5" i="1"/>
  <c r="W5" i="1"/>
  <c r="O5" i="1"/>
  <c r="N5" i="1"/>
  <c r="M5" i="1"/>
  <c r="J5" i="1"/>
  <c r="H5" i="1"/>
  <c r="G5" i="1"/>
  <c r="K5" i="1" s="1"/>
  <c r="F5" i="1"/>
  <c r="C5" i="1"/>
  <c r="Z4" i="1"/>
  <c r="W4" i="1"/>
  <c r="O4" i="1"/>
  <c r="N4" i="1"/>
  <c r="M4" i="1"/>
  <c r="J4" i="1"/>
  <c r="H4" i="1"/>
  <c r="G4" i="1"/>
  <c r="K4" i="1" s="1"/>
  <c r="P4" i="1" s="1"/>
  <c r="F4" i="1"/>
  <c r="C4" i="1"/>
  <c r="S2" i="1"/>
  <c r="N2" i="1"/>
  <c r="P55" i="1" l="1"/>
  <c r="P39" i="1"/>
  <c r="P47" i="1"/>
  <c r="P43" i="1"/>
  <c r="P59" i="1"/>
  <c r="P121" i="1"/>
  <c r="P137" i="1"/>
  <c r="R225" i="1"/>
  <c r="P5" i="1"/>
  <c r="P7" i="1"/>
  <c r="P35" i="1"/>
  <c r="P51" i="1"/>
  <c r="P67" i="1"/>
  <c r="P81" i="1"/>
  <c r="P97" i="1"/>
  <c r="P113" i="1"/>
  <c r="P129" i="1"/>
  <c r="P63" i="1"/>
  <c r="P72" i="1"/>
  <c r="P88" i="1"/>
  <c r="P101" i="1"/>
  <c r="P117" i="1"/>
  <c r="P133" i="1"/>
  <c r="P85" i="1"/>
  <c r="P109" i="1"/>
  <c r="P125" i="1"/>
  <c r="K293" i="1"/>
  <c r="P293" i="1" s="1"/>
  <c r="K291" i="1"/>
  <c r="P291" i="1" s="1"/>
  <c r="K289" i="1"/>
  <c r="P289" i="1" s="1"/>
  <c r="K287" i="1"/>
  <c r="P287" i="1" s="1"/>
  <c r="K285" i="1"/>
  <c r="P285" i="1" s="1"/>
  <c r="K283" i="1"/>
  <c r="P283" i="1" s="1"/>
  <c r="K281" i="1"/>
  <c r="P281" i="1" s="1"/>
  <c r="K279" i="1"/>
  <c r="P279" i="1" s="1"/>
  <c r="K277" i="1"/>
  <c r="P277" i="1" s="1"/>
  <c r="K275" i="1"/>
  <c r="P275" i="1" s="1"/>
  <c r="K273" i="1"/>
  <c r="P273" i="1" s="1"/>
  <c r="K271" i="1"/>
  <c r="P271" i="1" s="1"/>
  <c r="K269" i="1"/>
  <c r="P269" i="1" s="1"/>
  <c r="K267" i="1"/>
  <c r="P267" i="1" s="1"/>
  <c r="K265" i="1"/>
  <c r="P265" i="1" s="1"/>
  <c r="I1" i="2"/>
  <c r="K292" i="1"/>
  <c r="P292" i="1" s="1"/>
  <c r="K290" i="1"/>
  <c r="P290" i="1" s="1"/>
  <c r="K288" i="1"/>
  <c r="P288" i="1" s="1"/>
  <c r="K286" i="1"/>
  <c r="P286" i="1" s="1"/>
  <c r="K284" i="1"/>
  <c r="P284" i="1" s="1"/>
  <c r="K282" i="1"/>
  <c r="P282" i="1" s="1"/>
  <c r="K280" i="1"/>
  <c r="P280" i="1" s="1"/>
  <c r="K278" i="1"/>
  <c r="P278" i="1" s="1"/>
  <c r="K276" i="1"/>
  <c r="P276" i="1" s="1"/>
  <c r="K274" i="1"/>
  <c r="P274" i="1" s="1"/>
  <c r="K272" i="1"/>
  <c r="P272" i="1" s="1"/>
  <c r="K270" i="1"/>
  <c r="P270" i="1" s="1"/>
  <c r="K268" i="1"/>
  <c r="P268" i="1" s="1"/>
  <c r="K266" i="1"/>
  <c r="P266" i="1" s="1"/>
  <c r="K264" i="1"/>
  <c r="P264" i="1" s="1"/>
  <c r="K262" i="1"/>
  <c r="P262" i="1" s="1"/>
  <c r="K260" i="1"/>
  <c r="P260" i="1" s="1"/>
  <c r="K258" i="1"/>
  <c r="P258" i="1" s="1"/>
  <c r="K256" i="1"/>
  <c r="P256" i="1" s="1"/>
  <c r="K254" i="1"/>
  <c r="P254" i="1" s="1"/>
  <c r="K252" i="1"/>
  <c r="P252" i="1" s="1"/>
  <c r="K250" i="1"/>
  <c r="P250" i="1" s="1"/>
  <c r="K248" i="1"/>
  <c r="P248" i="1" s="1"/>
  <c r="K246" i="1"/>
  <c r="P246" i="1" s="1"/>
  <c r="K244" i="1"/>
  <c r="P244" i="1" s="1"/>
  <c r="K242" i="1"/>
  <c r="P242" i="1" s="1"/>
  <c r="K240" i="1"/>
  <c r="P240" i="1" s="1"/>
  <c r="K238" i="1"/>
  <c r="P238" i="1" s="1"/>
  <c r="K236" i="1"/>
  <c r="P236" i="1" s="1"/>
  <c r="K234" i="1"/>
  <c r="P234" i="1" s="1"/>
  <c r="K232" i="1"/>
  <c r="P232" i="1" s="1"/>
  <c r="K230" i="1"/>
  <c r="P230" i="1" s="1"/>
  <c r="K228" i="1"/>
  <c r="P228" i="1" s="1"/>
  <c r="K226" i="1"/>
  <c r="P226" i="1" s="1"/>
  <c r="K295" i="1"/>
  <c r="P295" i="1" s="1"/>
  <c r="K224" i="1"/>
  <c r="P224" i="1" s="1"/>
  <c r="K222" i="1"/>
  <c r="P222" i="1" s="1"/>
  <c r="K220" i="1"/>
  <c r="P220" i="1" s="1"/>
  <c r="K218" i="1"/>
  <c r="P218" i="1" s="1"/>
  <c r="K216" i="1"/>
  <c r="P216" i="1" s="1"/>
  <c r="K214" i="1"/>
  <c r="P214" i="1" s="1"/>
  <c r="K212" i="1"/>
  <c r="P212" i="1" s="1"/>
  <c r="K210" i="1"/>
  <c r="P210" i="1" s="1"/>
  <c r="K208" i="1"/>
  <c r="P208" i="1" s="1"/>
  <c r="K206" i="1"/>
  <c r="P206" i="1" s="1"/>
  <c r="K202" i="1"/>
  <c r="P202" i="1" s="1"/>
  <c r="K198" i="1"/>
  <c r="P198" i="1" s="1"/>
  <c r="K139" i="1"/>
  <c r="P139" i="1" s="1"/>
  <c r="K135" i="1"/>
  <c r="P135" i="1" s="1"/>
  <c r="K131" i="1"/>
  <c r="P131" i="1" s="1"/>
  <c r="K127" i="1"/>
  <c r="P127" i="1" s="1"/>
  <c r="K123" i="1"/>
  <c r="P123" i="1" s="1"/>
  <c r="K119" i="1"/>
  <c r="P119" i="1" s="1"/>
  <c r="K115" i="1"/>
  <c r="P115" i="1" s="1"/>
  <c r="K111" i="1"/>
  <c r="P111" i="1" s="1"/>
  <c r="K107" i="1"/>
  <c r="P107" i="1" s="1"/>
  <c r="K103" i="1"/>
  <c r="P103" i="1" s="1"/>
  <c r="K99" i="1"/>
  <c r="P99" i="1" s="1"/>
  <c r="K42" i="1"/>
  <c r="P42" i="1" s="1"/>
  <c r="K50" i="1"/>
  <c r="P50" i="1" s="1"/>
  <c r="K54" i="1"/>
  <c r="P54" i="1" s="1"/>
  <c r="K58" i="1"/>
  <c r="P58" i="1" s="1"/>
  <c r="K62" i="1"/>
  <c r="P62" i="1" s="1"/>
  <c r="K66" i="1"/>
  <c r="P66" i="1" s="1"/>
  <c r="K70" i="1"/>
  <c r="P70" i="1" s="1"/>
  <c r="K84" i="1"/>
  <c r="P84" i="1" s="1"/>
  <c r="K93" i="1"/>
  <c r="P93" i="1" s="1"/>
  <c r="K157" i="1"/>
  <c r="P157" i="1" s="1"/>
  <c r="K159" i="1"/>
  <c r="P159" i="1" s="1"/>
  <c r="K163" i="1"/>
  <c r="P163" i="1" s="1"/>
  <c r="K173" i="1"/>
  <c r="P173" i="1" s="1"/>
  <c r="K177" i="1"/>
  <c r="P177" i="1" s="1"/>
  <c r="K37" i="1"/>
  <c r="P37" i="1" s="1"/>
  <c r="K49" i="1"/>
  <c r="P49" i="1" s="1"/>
  <c r="K53" i="1"/>
  <c r="P53" i="1" s="1"/>
  <c r="K57" i="1"/>
  <c r="P57" i="1" s="1"/>
  <c r="K65" i="1"/>
  <c r="P65" i="1" s="1"/>
  <c r="K209" i="1"/>
  <c r="P209" i="1" s="1"/>
  <c r="K219" i="1"/>
  <c r="P219" i="1" s="1"/>
  <c r="L5" i="2"/>
  <c r="L14" i="2"/>
  <c r="L21" i="2"/>
  <c r="L30" i="2"/>
  <c r="K8" i="1"/>
  <c r="P8" i="1" s="1"/>
  <c r="K77" i="1"/>
  <c r="P77" i="1" s="1"/>
  <c r="K145" i="1"/>
  <c r="P145" i="1" s="1"/>
  <c r="K147" i="1"/>
  <c r="P147" i="1" s="1"/>
  <c r="K149" i="1"/>
  <c r="P149" i="1" s="1"/>
  <c r="K151" i="1"/>
  <c r="P151" i="1" s="1"/>
  <c r="K165" i="1"/>
  <c r="P165" i="1" s="1"/>
  <c r="K167" i="1"/>
  <c r="P167" i="1" s="1"/>
  <c r="K175" i="1"/>
  <c r="P175" i="1" s="1"/>
  <c r="K184" i="1"/>
  <c r="P184" i="1" s="1"/>
  <c r="K199" i="1"/>
  <c r="P199" i="1" s="1"/>
  <c r="K207" i="1"/>
  <c r="P207" i="1" s="1"/>
  <c r="L2" i="2"/>
  <c r="L12" i="2"/>
  <c r="L18" i="2"/>
  <c r="K41" i="1"/>
  <c r="P41" i="1" s="1"/>
  <c r="K69" i="1"/>
  <c r="P69" i="1" s="1"/>
  <c r="K73" i="1"/>
  <c r="P73" i="1" s="1"/>
  <c r="K90" i="1"/>
  <c r="P90" i="1" s="1"/>
  <c r="K91" i="1"/>
  <c r="P91" i="1" s="1"/>
  <c r="K178" i="1"/>
  <c r="P178" i="1" s="1"/>
  <c r="K191" i="1"/>
  <c r="P191" i="1" s="1"/>
  <c r="K192" i="1"/>
  <c r="P192" i="1" s="1"/>
  <c r="K196" i="1"/>
  <c r="P196" i="1" s="1"/>
  <c r="K13" i="1"/>
  <c r="P13" i="1" s="1"/>
  <c r="K16" i="1"/>
  <c r="P16" i="1" s="1"/>
  <c r="K17" i="1"/>
  <c r="P17" i="1" s="1"/>
  <c r="K18" i="1"/>
  <c r="P18" i="1" s="1"/>
  <c r="K19" i="1"/>
  <c r="P19" i="1" s="1"/>
  <c r="K20" i="1"/>
  <c r="P20" i="1" s="1"/>
  <c r="K21" i="1"/>
  <c r="P21" i="1" s="1"/>
  <c r="K22" i="1"/>
  <c r="P22" i="1" s="1"/>
  <c r="K23" i="1"/>
  <c r="P23" i="1" s="1"/>
  <c r="K24" i="1"/>
  <c r="P24" i="1" s="1"/>
  <c r="K25" i="1"/>
  <c r="P25" i="1" s="1"/>
  <c r="K26" i="1"/>
  <c r="P26" i="1" s="1"/>
  <c r="K27" i="1"/>
  <c r="P27" i="1" s="1"/>
  <c r="K28" i="1"/>
  <c r="P28" i="1" s="1"/>
  <c r="K29" i="1"/>
  <c r="P29" i="1" s="1"/>
  <c r="K30" i="1"/>
  <c r="P30" i="1" s="1"/>
  <c r="K31" i="1"/>
  <c r="P31" i="1" s="1"/>
  <c r="K32" i="1"/>
  <c r="P32" i="1" s="1"/>
  <c r="K36" i="1"/>
  <c r="P36" i="1" s="1"/>
  <c r="K40" i="1"/>
  <c r="P40" i="1" s="1"/>
  <c r="K44" i="1"/>
  <c r="P44" i="1" s="1"/>
  <c r="K48" i="1"/>
  <c r="P48" i="1" s="1"/>
  <c r="K52" i="1"/>
  <c r="P52" i="1" s="1"/>
  <c r="K56" i="1"/>
  <c r="P56" i="1" s="1"/>
  <c r="K60" i="1"/>
  <c r="P60" i="1" s="1"/>
  <c r="K64" i="1"/>
  <c r="P64" i="1" s="1"/>
  <c r="K68" i="1"/>
  <c r="P68" i="1" s="1"/>
  <c r="K71" i="1"/>
  <c r="P71" i="1" s="1"/>
  <c r="K86" i="1"/>
  <c r="P86" i="1" s="1"/>
  <c r="K87" i="1"/>
  <c r="P87" i="1" s="1"/>
  <c r="K100" i="1"/>
  <c r="P100" i="1" s="1"/>
  <c r="K104" i="1"/>
  <c r="P104" i="1" s="1"/>
  <c r="K108" i="1"/>
  <c r="P108" i="1" s="1"/>
  <c r="K112" i="1"/>
  <c r="P112" i="1" s="1"/>
  <c r="K116" i="1"/>
  <c r="P116" i="1" s="1"/>
  <c r="K120" i="1"/>
  <c r="P120" i="1" s="1"/>
  <c r="K124" i="1"/>
  <c r="P124" i="1" s="1"/>
  <c r="K128" i="1"/>
  <c r="P128" i="1" s="1"/>
  <c r="K132" i="1"/>
  <c r="P132" i="1" s="1"/>
  <c r="K136" i="1"/>
  <c r="P136" i="1" s="1"/>
  <c r="K140" i="1"/>
  <c r="P140" i="1" s="1"/>
  <c r="K142" i="1"/>
  <c r="P142" i="1" s="1"/>
  <c r="K144" i="1"/>
  <c r="P144" i="1" s="1"/>
  <c r="K146" i="1"/>
  <c r="P146" i="1" s="1"/>
  <c r="K148" i="1"/>
  <c r="P148" i="1" s="1"/>
  <c r="K150" i="1"/>
  <c r="P150" i="1" s="1"/>
  <c r="K152" i="1"/>
  <c r="P152" i="1" s="1"/>
  <c r="K154" i="1"/>
  <c r="P154" i="1" s="1"/>
  <c r="K156" i="1"/>
  <c r="P156" i="1" s="1"/>
  <c r="K158" i="1"/>
  <c r="P158" i="1" s="1"/>
  <c r="K160" i="1"/>
  <c r="P160" i="1" s="1"/>
  <c r="K162" i="1"/>
  <c r="P162" i="1" s="1"/>
  <c r="K164" i="1"/>
  <c r="P164" i="1" s="1"/>
  <c r="K166" i="1"/>
  <c r="P166" i="1" s="1"/>
  <c r="K168" i="1"/>
  <c r="P168" i="1" s="1"/>
  <c r="K170" i="1"/>
  <c r="P170" i="1" s="1"/>
  <c r="K172" i="1"/>
  <c r="P172" i="1" s="1"/>
  <c r="K174" i="1"/>
  <c r="P174" i="1" s="1"/>
  <c r="K176" i="1"/>
  <c r="P176" i="1" s="1"/>
  <c r="K182" i="1"/>
  <c r="P182" i="1" s="1"/>
  <c r="K186" i="1"/>
  <c r="P186" i="1" s="1"/>
  <c r="K188" i="1"/>
  <c r="P188" i="1" s="1"/>
  <c r="K203" i="1"/>
  <c r="P203" i="1" s="1"/>
  <c r="K204" i="1"/>
  <c r="P204" i="1" s="1"/>
  <c r="K9" i="1"/>
  <c r="P9" i="1" s="1"/>
  <c r="K10" i="1"/>
  <c r="P10" i="1" s="1"/>
  <c r="K11" i="1"/>
  <c r="P11" i="1" s="1"/>
  <c r="K34" i="1"/>
  <c r="P34" i="1" s="1"/>
  <c r="K38" i="1"/>
  <c r="P38" i="1" s="1"/>
  <c r="K46" i="1"/>
  <c r="P46" i="1" s="1"/>
  <c r="K78" i="1"/>
  <c r="P78" i="1" s="1"/>
  <c r="K79" i="1"/>
  <c r="P79" i="1" s="1"/>
  <c r="K94" i="1"/>
  <c r="P94" i="1" s="1"/>
  <c r="K95" i="1"/>
  <c r="P95" i="1" s="1"/>
  <c r="K141" i="1"/>
  <c r="P141" i="1" s="1"/>
  <c r="K143" i="1"/>
  <c r="P143" i="1" s="1"/>
  <c r="K153" i="1"/>
  <c r="P153" i="1" s="1"/>
  <c r="K155" i="1"/>
  <c r="P155" i="1" s="1"/>
  <c r="K161" i="1"/>
  <c r="P161" i="1" s="1"/>
  <c r="K169" i="1"/>
  <c r="P169" i="1" s="1"/>
  <c r="K171" i="1"/>
  <c r="P171" i="1" s="1"/>
  <c r="K183" i="1"/>
  <c r="P183" i="1" s="1"/>
  <c r="K189" i="1"/>
  <c r="P189" i="1" s="1"/>
  <c r="K200" i="1"/>
  <c r="P200" i="1" s="1"/>
  <c r="K217" i="1"/>
  <c r="P217" i="1" s="1"/>
  <c r="K225" i="1"/>
  <c r="P225" i="1" s="1"/>
  <c r="L15" i="2"/>
  <c r="L34" i="2"/>
  <c r="K12" i="1"/>
  <c r="P12" i="1" s="1"/>
  <c r="K33" i="1"/>
  <c r="P33" i="1" s="1"/>
  <c r="K45" i="1"/>
  <c r="P45" i="1" s="1"/>
  <c r="K61" i="1"/>
  <c r="P61" i="1" s="1"/>
  <c r="K74" i="1"/>
  <c r="P74" i="1" s="1"/>
  <c r="K75" i="1"/>
  <c r="P75" i="1" s="1"/>
  <c r="K80" i="1"/>
  <c r="P80" i="1" s="1"/>
  <c r="K89" i="1"/>
  <c r="P89" i="1" s="1"/>
  <c r="K96" i="1"/>
  <c r="P96" i="1" s="1"/>
  <c r="K180" i="1"/>
  <c r="P180" i="1" s="1"/>
  <c r="K14" i="1"/>
  <c r="P14" i="1" s="1"/>
  <c r="K15" i="1"/>
  <c r="P15" i="1" s="1"/>
  <c r="K82" i="1"/>
  <c r="P82" i="1" s="1"/>
  <c r="K83" i="1"/>
  <c r="P83" i="1" s="1"/>
  <c r="K98" i="1"/>
  <c r="P98" i="1" s="1"/>
  <c r="K102" i="1"/>
  <c r="P102" i="1" s="1"/>
  <c r="K106" i="1"/>
  <c r="P106" i="1" s="1"/>
  <c r="K110" i="1"/>
  <c r="P110" i="1" s="1"/>
  <c r="K114" i="1"/>
  <c r="P114" i="1" s="1"/>
  <c r="K118" i="1"/>
  <c r="P118" i="1" s="1"/>
  <c r="K122" i="1"/>
  <c r="P122" i="1" s="1"/>
  <c r="K126" i="1"/>
  <c r="P126" i="1" s="1"/>
  <c r="K130" i="1"/>
  <c r="P130" i="1" s="1"/>
  <c r="K134" i="1"/>
  <c r="P134" i="1" s="1"/>
  <c r="K138" i="1"/>
  <c r="P138" i="1" s="1"/>
  <c r="K181" i="1"/>
  <c r="P181" i="1" s="1"/>
  <c r="K190" i="1"/>
  <c r="P190" i="1" s="1"/>
  <c r="K194" i="1"/>
  <c r="P194" i="1" s="1"/>
  <c r="K185" i="1"/>
  <c r="P185" i="1" s="1"/>
  <c r="K193" i="1"/>
  <c r="P193" i="1" s="1"/>
  <c r="K197" i="1"/>
  <c r="P197" i="1" s="1"/>
  <c r="K201" i="1"/>
  <c r="P201" i="1" s="1"/>
  <c r="K205" i="1"/>
  <c r="P205" i="1" s="1"/>
  <c r="K211" i="1"/>
  <c r="P211" i="1" s="1"/>
  <c r="K221" i="1"/>
  <c r="P221" i="1" s="1"/>
  <c r="K227" i="1"/>
  <c r="P227" i="1" s="1"/>
  <c r="K229" i="1"/>
  <c r="P229" i="1" s="1"/>
  <c r="K231" i="1"/>
  <c r="P231" i="1" s="1"/>
  <c r="K233" i="1"/>
  <c r="P233" i="1" s="1"/>
  <c r="K235" i="1"/>
  <c r="P235" i="1" s="1"/>
  <c r="K237" i="1"/>
  <c r="P237" i="1" s="1"/>
  <c r="K239" i="1"/>
  <c r="P239" i="1" s="1"/>
  <c r="K241" i="1"/>
  <c r="P241" i="1" s="1"/>
  <c r="K243" i="1"/>
  <c r="P243" i="1" s="1"/>
  <c r="K245" i="1"/>
  <c r="P245" i="1" s="1"/>
  <c r="K247" i="1"/>
  <c r="P247" i="1" s="1"/>
  <c r="K249" i="1"/>
  <c r="P249" i="1" s="1"/>
  <c r="K251" i="1"/>
  <c r="P251" i="1" s="1"/>
  <c r="K253" i="1"/>
  <c r="P253" i="1" s="1"/>
  <c r="K255" i="1"/>
  <c r="P255" i="1" s="1"/>
  <c r="K257" i="1"/>
  <c r="P257" i="1" s="1"/>
  <c r="K259" i="1"/>
  <c r="P259" i="1" s="1"/>
  <c r="K261" i="1"/>
  <c r="P261" i="1" s="1"/>
  <c r="K263" i="1"/>
  <c r="P263" i="1" s="1"/>
  <c r="K297" i="1"/>
  <c r="P297" i="1" s="1"/>
  <c r="L4" i="2"/>
  <c r="L7" i="2"/>
  <c r="L10" i="2"/>
  <c r="L20" i="2"/>
  <c r="L26" i="2"/>
  <c r="K179" i="1"/>
  <c r="P179" i="1" s="1"/>
  <c r="K187" i="1"/>
  <c r="P187" i="1" s="1"/>
  <c r="K195" i="1"/>
  <c r="P195" i="1" s="1"/>
  <c r="K213" i="1"/>
  <c r="P213" i="1" s="1"/>
  <c r="K215" i="1"/>
  <c r="P215" i="1" s="1"/>
  <c r="K223" i="1"/>
  <c r="P223" i="1" s="1"/>
  <c r="L6" i="2"/>
  <c r="L13" i="2"/>
  <c r="L22" i="2"/>
  <c r="K298" i="1"/>
  <c r="P298" i="1" s="1"/>
  <c r="K299" i="1"/>
  <c r="P299" i="1" s="1"/>
  <c r="K303" i="1"/>
  <c r="P303" i="1" s="1"/>
  <c r="L9" i="2"/>
  <c r="L17" i="2"/>
  <c r="L58" i="2"/>
  <c r="L66" i="2"/>
  <c r="L69" i="2"/>
  <c r="L82" i="2"/>
  <c r="L85" i="2"/>
  <c r="L98" i="2"/>
  <c r="L101" i="2"/>
  <c r="L114" i="2"/>
  <c r="L117" i="2"/>
  <c r="L187" i="2"/>
  <c r="L188" i="2"/>
  <c r="K302" i="1"/>
  <c r="P302" i="1" s="1"/>
  <c r="L24" i="2"/>
  <c r="L28" i="2"/>
  <c r="L32" i="2"/>
  <c r="L36" i="2"/>
  <c r="L40" i="2"/>
  <c r="L44" i="2"/>
  <c r="L48" i="2"/>
  <c r="L52" i="2"/>
  <c r="L57" i="2"/>
  <c r="L61" i="2"/>
  <c r="L65" i="2"/>
  <c r="L78" i="2"/>
  <c r="L81" i="2"/>
  <c r="L94" i="2"/>
  <c r="L97" i="2"/>
  <c r="L110" i="2"/>
  <c r="L113" i="2"/>
  <c r="L214" i="2"/>
  <c r="L215" i="2"/>
  <c r="L217" i="2"/>
  <c r="K294" i="1"/>
  <c r="P294" i="1" s="1"/>
  <c r="K301" i="1"/>
  <c r="P301" i="1" s="1"/>
  <c r="L25" i="2"/>
  <c r="L29" i="2"/>
  <c r="L33" i="2"/>
  <c r="L37" i="2"/>
  <c r="L41" i="2"/>
  <c r="L45" i="2"/>
  <c r="L49" i="2"/>
  <c r="L53" i="2"/>
  <c r="L62" i="2"/>
  <c r="L74" i="2"/>
  <c r="L77" i="2"/>
  <c r="L90" i="2"/>
  <c r="L93" i="2"/>
  <c r="L106" i="2"/>
  <c r="L109" i="2"/>
  <c r="L147" i="2"/>
  <c r="L173" i="2"/>
  <c r="L174" i="2"/>
  <c r="K296" i="1"/>
  <c r="P296" i="1" s="1"/>
  <c r="K300" i="1"/>
  <c r="P300" i="1" s="1"/>
  <c r="L3" i="2"/>
  <c r="L11" i="2"/>
  <c r="L19" i="2"/>
  <c r="L23" i="2"/>
  <c r="L27" i="2"/>
  <c r="L31" i="2"/>
  <c r="L35" i="2"/>
  <c r="L39" i="2"/>
  <c r="L43" i="2"/>
  <c r="L47" i="2"/>
  <c r="L51" i="2"/>
  <c r="L56" i="2"/>
  <c r="L70" i="2"/>
  <c r="L73" i="2"/>
  <c r="L86" i="2"/>
  <c r="L89" i="2"/>
  <c r="L102" i="2"/>
  <c r="L105" i="2"/>
  <c r="L118" i="2"/>
  <c r="L121" i="2"/>
  <c r="L131" i="2"/>
  <c r="L136" i="2"/>
  <c r="L162" i="2"/>
  <c r="L194" i="2"/>
  <c r="L60" i="2"/>
  <c r="L122" i="2"/>
  <c r="L127" i="2"/>
  <c r="L132" i="2"/>
  <c r="L137" i="2"/>
  <c r="L138" i="2"/>
  <c r="L142" i="2"/>
  <c r="L148" i="2"/>
  <c r="L163" i="2"/>
  <c r="L164" i="2"/>
  <c r="L182" i="2"/>
  <c r="L192" i="2"/>
  <c r="L195" i="2"/>
  <c r="L222" i="2"/>
  <c r="L223" i="2"/>
  <c r="L67" i="2"/>
  <c r="L71" i="2"/>
  <c r="L75" i="2"/>
  <c r="L79" i="2"/>
  <c r="L83" i="2"/>
  <c r="L87" i="2"/>
  <c r="L91" i="2"/>
  <c r="L95" i="2"/>
  <c r="L99" i="2"/>
  <c r="L103" i="2"/>
  <c r="L107" i="2"/>
  <c r="L111" i="2"/>
  <c r="L115" i="2"/>
  <c r="L119" i="2"/>
  <c r="L123" i="2"/>
  <c r="L128" i="2"/>
  <c r="L149" i="2"/>
  <c r="L150" i="2"/>
  <c r="L154" i="2"/>
  <c r="L157" i="2"/>
  <c r="L158" i="2"/>
  <c r="L171" i="2"/>
  <c r="L178" i="2"/>
  <c r="L189" i="2"/>
  <c r="L190" i="2"/>
  <c r="L198" i="2"/>
  <c r="L199" i="2"/>
  <c r="L203" i="2"/>
  <c r="L64" i="2"/>
  <c r="L68" i="2"/>
  <c r="L72" i="2"/>
  <c r="L76" i="2"/>
  <c r="L80" i="2"/>
  <c r="L84" i="2"/>
  <c r="L88" i="2"/>
  <c r="L92" i="2"/>
  <c r="L96" i="2"/>
  <c r="L100" i="2"/>
  <c r="L104" i="2"/>
  <c r="L108" i="2"/>
  <c r="L112" i="2"/>
  <c r="L116" i="2"/>
  <c r="L120" i="2"/>
  <c r="L124" i="2"/>
  <c r="L130" i="2"/>
  <c r="L135" i="2"/>
  <c r="L166" i="2"/>
  <c r="L176" i="2"/>
  <c r="L179" i="2"/>
  <c r="L206" i="2"/>
  <c r="L207" i="2"/>
  <c r="L211" i="2"/>
  <c r="K125" i="2"/>
  <c r="L125" i="2" s="1"/>
  <c r="K133" i="2"/>
  <c r="L133" i="2" s="1"/>
  <c r="K140" i="2"/>
  <c r="L140" i="2" s="1"/>
  <c r="K145" i="2"/>
  <c r="L145" i="2" s="1"/>
  <c r="K152" i="2"/>
  <c r="L152" i="2" s="1"/>
  <c r="K160" i="2"/>
  <c r="L160" i="2" s="1"/>
  <c r="K169" i="2"/>
  <c r="L169" i="2" s="1"/>
  <c r="K185" i="2"/>
  <c r="L185" i="2" s="1"/>
  <c r="L200" i="2"/>
  <c r="L208" i="2"/>
  <c r="L216" i="2"/>
  <c r="L126" i="2"/>
  <c r="L134" i="2"/>
  <c r="L141" i="2"/>
  <c r="L146" i="2"/>
  <c r="L153" i="2"/>
  <c r="L165" i="2"/>
  <c r="L170" i="2"/>
  <c r="L181" i="2"/>
  <c r="L186" i="2"/>
  <c r="L202" i="2"/>
  <c r="L210" i="2"/>
  <c r="L218" i="2"/>
  <c r="K129" i="2"/>
  <c r="L129" i="2" s="1"/>
  <c r="K144" i="2"/>
  <c r="L144" i="2" s="1"/>
  <c r="K156" i="2"/>
  <c r="L156" i="2" s="1"/>
  <c r="K161" i="2"/>
  <c r="L161" i="2" s="1"/>
  <c r="K168" i="2"/>
  <c r="L168" i="2" s="1"/>
  <c r="K177" i="2"/>
  <c r="L177" i="2" s="1"/>
  <c r="K193" i="2"/>
  <c r="L193" i="2" s="1"/>
  <c r="L196" i="2"/>
  <c r="L204" i="2"/>
  <c r="L212" i="2"/>
  <c r="L220" i="2"/>
  <c r="L219" i="2" l="1"/>
  <c r="L172" i="2"/>
  <c r="L209" i="2"/>
  <c r="L201" i="2"/>
  <c r="L183" i="2"/>
  <c r="L167" i="2"/>
  <c r="L155" i="2"/>
  <c r="L143" i="2"/>
  <c r="L180" i="2"/>
  <c r="L205" i="2"/>
  <c r="L175" i="2"/>
  <c r="L197" i="2"/>
  <c r="L63" i="2"/>
  <c r="L55" i="2"/>
  <c r="L221" i="2"/>
  <c r="L191" i="2"/>
  <c r="L184" i="2"/>
  <c r="L159" i="2"/>
  <c r="L151" i="2"/>
  <c r="L139" i="2"/>
  <c r="L59" i="2"/>
  <c r="L16" i="2"/>
  <c r="L8" i="2"/>
  <c r="L213" i="2"/>
  <c r="L54" i="2"/>
  <c r="L50" i="2"/>
  <c r="L46" i="2"/>
  <c r="L42" i="2"/>
  <c r="L38" i="2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<sst xmlns="http://schemas.openxmlformats.org/spreadsheetml/2006/main" count="40" uniqueCount="33">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</sst>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A2" zoomScale="55" zoomScaleNormal="55" workbookViewId="0">
      <selection activeCell="M4" sqref="M4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-0.45023999999999997</v>
      </c>
      <c r="AC3" t="s">
        <v>24</v>
      </c>
    </row>
    <row r="4" spans="1:29" x14ac:dyDescent="0.3">
      <c r="A4">
        <v>2.1834349999999999E-2</v>
      </c>
      <c r="B4">
        <v>0.97816999999999998</v>
      </c>
      <c r="C4">
        <f t="shared" ref="C4:C67" si="0">A4*B4</f>
        <v>2.1357706139499999E-2</v>
      </c>
      <c r="D4">
        <v>1.52E-2</v>
      </c>
      <c r="E4">
        <v>1.167E-2</v>
      </c>
      <c r="F4">
        <f t="shared" ref="F4:F67" si="1">A4*200</f>
        <v>4.3668699999999996</v>
      </c>
      <c r="G4">
        <f t="shared" ref="G4:G67" si="2">-B4</f>
        <v>-0.97816999999999998</v>
      </c>
      <c r="H4">
        <f t="shared" ref="H4:H67" si="3">-C4*200</f>
        <v>-4.2715412279000002</v>
      </c>
      <c r="I4">
        <v>1</v>
      </c>
      <c r="J4">
        <f t="shared" ref="J4:J67" si="4">LN(F4/1000)</f>
        <v>-5.4337087736417553</v>
      </c>
      <c r="K4">
        <f t="shared" ref="K4:K67" si="5">((-G4)-$N$2)</f>
        <v>-0.24355515177521747</v>
      </c>
      <c r="L4">
        <v>1</v>
      </c>
      <c r="M4">
        <f t="shared" ref="M4:M67" si="6">-1*($S$4+($S$5*J4))</f>
        <v>0.22037509871779176</v>
      </c>
      <c r="N4">
        <f t="shared" ref="N4:N67" si="7">D4*A4</f>
        <v>3.3188211999999999E-4</v>
      </c>
      <c r="O4">
        <f t="shared" ref="O4:O67" si="8">E4*A4</f>
        <v>2.5480686449999996E-4</v>
      </c>
      <c r="P4">
        <f t="shared" ref="P4:P67" si="9">-K4-M4-N4-O4</f>
        <v>2.2593364072925708E-2</v>
      </c>
      <c r="R4" s="2" t="s">
        <v>25</v>
      </c>
      <c r="S4">
        <v>-0.50358000000000003</v>
      </c>
      <c r="V4">
        <v>-6</v>
      </c>
      <c r="W4">
        <f t="shared" ref="W4:W35" si="10">V4*$S$5+$S$4</f>
        <v>-0.19086000000000003</v>
      </c>
      <c r="Y4">
        <v>0</v>
      </c>
      <c r="Z4">
        <f t="shared" ref="Z4:Z31" si="11">$AB$4*Y4+$AB$3</f>
        <v>-0.45023999999999997</v>
      </c>
      <c r="AB4">
        <v>12.749829999999999</v>
      </c>
      <c r="AC4" t="s">
        <v>26</v>
      </c>
    </row>
    <row r="5" spans="1:29" x14ac:dyDescent="0.3">
      <c r="A5">
        <v>7.3261850000000003E-2</v>
      </c>
      <c r="B5">
        <v>0.97443000000000002</v>
      </c>
      <c r="C5">
        <f t="shared" si="0"/>
        <v>7.13885444955E-2</v>
      </c>
      <c r="D5">
        <v>1.52E-2</v>
      </c>
      <c r="E5">
        <v>1.167E-2</v>
      </c>
      <c r="F5">
        <f t="shared" si="1"/>
        <v>14.652370000000001</v>
      </c>
      <c r="G5">
        <f t="shared" si="2"/>
        <v>-0.97443000000000002</v>
      </c>
      <c r="H5">
        <f t="shared" si="3"/>
        <v>-14.2777088991</v>
      </c>
      <c r="I5">
        <v>1</v>
      </c>
      <c r="J5">
        <f t="shared" si="4"/>
        <v>-4.2231531818591561</v>
      </c>
      <c r="K5">
        <f t="shared" si="5"/>
        <v>-0.24729515177521744</v>
      </c>
      <c r="L5">
        <v>1</v>
      </c>
      <c r="M5">
        <f t="shared" si="6"/>
        <v>0.28346925616150082</v>
      </c>
      <c r="N5">
        <f t="shared" si="7"/>
        <v>1.11358012E-3</v>
      </c>
      <c r="O5">
        <f t="shared" si="8"/>
        <v>8.5496578950000005E-4</v>
      </c>
      <c r="P5">
        <f t="shared" si="9"/>
        <v>-3.8142650295783377E-2</v>
      </c>
      <c r="R5" s="2" t="s">
        <v>27</v>
      </c>
      <c r="S5">
        <v>-5.212E-2</v>
      </c>
      <c r="V5">
        <v>-5.9</v>
      </c>
      <c r="W5">
        <f t="shared" si="10"/>
        <v>-0.19607200000000002</v>
      </c>
      <c r="Y5">
        <v>0.01</v>
      </c>
      <c r="Z5">
        <f t="shared" si="11"/>
        <v>-0.32274169999999996</v>
      </c>
    </row>
    <row r="6" spans="1:29" x14ac:dyDescent="0.3">
      <c r="A6">
        <v>0.12774450000000001</v>
      </c>
      <c r="B6">
        <v>0.91330999999999996</v>
      </c>
      <c r="C6">
        <f t="shared" si="0"/>
        <v>0.116670329295</v>
      </c>
      <c r="D6">
        <v>1.52E-2</v>
      </c>
      <c r="E6">
        <v>1.167E-2</v>
      </c>
      <c r="F6">
        <f t="shared" si="1"/>
        <v>25.548900000000003</v>
      </c>
      <c r="G6">
        <f t="shared" si="2"/>
        <v>-0.91330999999999996</v>
      </c>
      <c r="H6">
        <f t="shared" si="3"/>
        <v>-23.334065858999999</v>
      </c>
      <c r="I6">
        <v>1</v>
      </c>
      <c r="J6">
        <f t="shared" si="4"/>
        <v>-3.6671610160967969</v>
      </c>
      <c r="K6">
        <f t="shared" si="5"/>
        <v>-0.3084151517752175</v>
      </c>
      <c r="L6">
        <v>1</v>
      </c>
      <c r="M6">
        <f t="shared" si="6"/>
        <v>0.312447567841035</v>
      </c>
      <c r="N6">
        <f t="shared" si="7"/>
        <v>1.9417164000000002E-3</v>
      </c>
      <c r="O6">
        <f t="shared" si="8"/>
        <v>1.4907783150000002E-3</v>
      </c>
      <c r="P6">
        <f t="shared" si="9"/>
        <v>-7.4649107808175009E-3</v>
      </c>
      <c r="V6">
        <v>-5.8</v>
      </c>
      <c r="W6">
        <f t="shared" si="10"/>
        <v>-0.20128400000000002</v>
      </c>
      <c r="Y6">
        <v>0.02</v>
      </c>
      <c r="Z6">
        <f t="shared" si="11"/>
        <v>-0.19524339999999996</v>
      </c>
      <c r="AB6" t="s">
        <v>28</v>
      </c>
    </row>
    <row r="7" spans="1:29" x14ac:dyDescent="0.3">
      <c r="A7">
        <v>0.17815365</v>
      </c>
      <c r="B7">
        <v>0.89197000000000004</v>
      </c>
      <c r="C7">
        <f t="shared" si="0"/>
        <v>0.15890771119050001</v>
      </c>
      <c r="D7">
        <v>1.52E-2</v>
      </c>
      <c r="E7">
        <v>1.167E-2</v>
      </c>
      <c r="F7">
        <f t="shared" si="1"/>
        <v>35.63073</v>
      </c>
      <c r="G7">
        <f t="shared" si="2"/>
        <v>-0.89197000000000004</v>
      </c>
      <c r="H7">
        <f t="shared" si="3"/>
        <v>-31.781542238100002</v>
      </c>
      <c r="I7">
        <v>1</v>
      </c>
      <c r="J7">
        <f t="shared" si="4"/>
        <v>-3.334546811221764</v>
      </c>
      <c r="K7">
        <f t="shared" si="5"/>
        <v>-0.32975515177521741</v>
      </c>
      <c r="L7">
        <v>1</v>
      </c>
      <c r="M7">
        <f t="shared" si="6"/>
        <v>0.32978342019912166</v>
      </c>
      <c r="N7">
        <f t="shared" si="7"/>
        <v>2.7079354800000001E-3</v>
      </c>
      <c r="O7">
        <f t="shared" si="8"/>
        <v>2.0790530954999998E-3</v>
      </c>
      <c r="P7">
        <f t="shared" si="9"/>
        <v>-4.8152569994042429E-3</v>
      </c>
      <c r="V7">
        <v>-5.7</v>
      </c>
      <c r="W7">
        <f t="shared" si="10"/>
        <v>-0.20649600000000001</v>
      </c>
      <c r="Y7">
        <v>0.03</v>
      </c>
      <c r="Z7">
        <f t="shared" si="11"/>
        <v>-6.7745100000000003E-2</v>
      </c>
      <c r="AB7" t="s">
        <v>29</v>
      </c>
      <c r="AC7">
        <f>-AB3/AB4</f>
        <v>3.5313412021964218E-2</v>
      </c>
    </row>
    <row r="8" spans="1:29" x14ac:dyDescent="0.3">
      <c r="A8">
        <v>0.2300903</v>
      </c>
      <c r="B8">
        <v>0.87782000000000004</v>
      </c>
      <c r="C8">
        <f t="shared" si="0"/>
        <v>0.201977867146</v>
      </c>
      <c r="D8">
        <v>1.52E-2</v>
      </c>
      <c r="E8">
        <v>1.167E-2</v>
      </c>
      <c r="F8">
        <f t="shared" si="1"/>
        <v>46.018059999999998</v>
      </c>
      <c r="G8">
        <f t="shared" si="2"/>
        <v>-0.87782000000000004</v>
      </c>
      <c r="H8">
        <f t="shared" si="3"/>
        <v>-40.395573429199999</v>
      </c>
      <c r="I8">
        <v>1</v>
      </c>
      <c r="J8">
        <f t="shared" si="4"/>
        <v>-3.0787213508480171</v>
      </c>
      <c r="K8">
        <f t="shared" si="5"/>
        <v>-0.34390515177521741</v>
      </c>
      <c r="L8">
        <v>1</v>
      </c>
      <c r="M8">
        <f t="shared" si="6"/>
        <v>0.34311704319380137</v>
      </c>
      <c r="N8">
        <f t="shared" si="7"/>
        <v>3.4973725599999998E-3</v>
      </c>
      <c r="O8">
        <f t="shared" si="8"/>
        <v>2.6851538009999999E-3</v>
      </c>
      <c r="P8">
        <f t="shared" si="9"/>
        <v>-5.3944177795839637E-3</v>
      </c>
      <c r="V8">
        <v>-5.6</v>
      </c>
      <c r="W8">
        <f t="shared" si="10"/>
        <v>-0.21170800000000006</v>
      </c>
      <c r="Y8">
        <v>0.04</v>
      </c>
      <c r="Z8">
        <f t="shared" si="11"/>
        <v>5.9753200000000062E-2</v>
      </c>
    </row>
    <row r="9" spans="1:29" x14ac:dyDescent="0.3">
      <c r="A9">
        <v>0.28151785000000001</v>
      </c>
      <c r="B9">
        <v>0.86834999999999996</v>
      </c>
      <c r="C9">
        <f t="shared" si="0"/>
        <v>0.2444560250475</v>
      </c>
      <c r="D9">
        <v>1.52E-2</v>
      </c>
      <c r="E9">
        <v>1.167E-2</v>
      </c>
      <c r="F9">
        <f t="shared" si="1"/>
        <v>56.303570000000001</v>
      </c>
      <c r="G9">
        <f t="shared" si="2"/>
        <v>-0.86834999999999996</v>
      </c>
      <c r="H9">
        <f t="shared" si="3"/>
        <v>-48.891205009499998</v>
      </c>
      <c r="I9">
        <v>1</v>
      </c>
      <c r="J9">
        <f t="shared" si="4"/>
        <v>-2.8769973355448868</v>
      </c>
      <c r="K9">
        <f t="shared" si="5"/>
        <v>-0.3533751517752175</v>
      </c>
      <c r="L9">
        <v>1</v>
      </c>
      <c r="M9">
        <f t="shared" si="6"/>
        <v>0.35363089887140053</v>
      </c>
      <c r="N9">
        <f t="shared" si="7"/>
        <v>4.2790713200000002E-3</v>
      </c>
      <c r="O9">
        <f t="shared" si="8"/>
        <v>3.2853133095000001E-3</v>
      </c>
      <c r="P9">
        <f t="shared" si="9"/>
        <v>-7.8201317256830355E-3</v>
      </c>
      <c r="V9">
        <v>-5.5</v>
      </c>
      <c r="W9">
        <f t="shared" si="10"/>
        <v>-0.21692</v>
      </c>
      <c r="Y9">
        <v>0.05</v>
      </c>
      <c r="Z9">
        <f t="shared" si="11"/>
        <v>0.18725150000000002</v>
      </c>
      <c r="AB9" t="s">
        <v>30</v>
      </c>
      <c r="AC9">
        <v>3.1419999999999997E-2</v>
      </c>
    </row>
    <row r="10" spans="1:29" x14ac:dyDescent="0.3">
      <c r="A10">
        <v>0.33345455000000002</v>
      </c>
      <c r="B10">
        <v>0.85929999999999995</v>
      </c>
      <c r="C10">
        <f t="shared" si="0"/>
        <v>0.28653749481500002</v>
      </c>
      <c r="D10">
        <v>1.52E-2</v>
      </c>
      <c r="E10">
        <v>1.167E-2</v>
      </c>
      <c r="F10">
        <f t="shared" si="1"/>
        <v>66.690910000000002</v>
      </c>
      <c r="G10">
        <f t="shared" si="2"/>
        <v>-0.85929999999999995</v>
      </c>
      <c r="H10">
        <f t="shared" si="3"/>
        <v>-57.307498963</v>
      </c>
      <c r="I10">
        <v>1</v>
      </c>
      <c r="J10">
        <f t="shared" si="4"/>
        <v>-2.7076866172068459</v>
      </c>
      <c r="K10">
        <f t="shared" si="5"/>
        <v>-0.3624251517752175</v>
      </c>
      <c r="L10">
        <v>1</v>
      </c>
      <c r="M10">
        <f t="shared" si="6"/>
        <v>0.36245537351117918</v>
      </c>
      <c r="N10">
        <f t="shared" si="7"/>
        <v>5.0685091599999999E-3</v>
      </c>
      <c r="O10">
        <f t="shared" si="8"/>
        <v>3.8914145985000002E-3</v>
      </c>
      <c r="P10">
        <f t="shared" si="9"/>
        <v>-8.9901454944616779E-3</v>
      </c>
      <c r="V10">
        <v>-5.4</v>
      </c>
      <c r="W10">
        <f t="shared" si="10"/>
        <v>-0.222132</v>
      </c>
      <c r="Y10">
        <v>0.06</v>
      </c>
      <c r="Z10">
        <f t="shared" si="11"/>
        <v>0.31474979999999997</v>
      </c>
    </row>
    <row r="11" spans="1:29" x14ac:dyDescent="0.3">
      <c r="A11">
        <v>0.38386369999999997</v>
      </c>
      <c r="B11">
        <v>0.85233000000000003</v>
      </c>
      <c r="C11">
        <f t="shared" si="0"/>
        <v>0.327178547421</v>
      </c>
      <c r="D11">
        <v>1.52E-2</v>
      </c>
      <c r="E11">
        <v>1.167E-2</v>
      </c>
      <c r="F11">
        <f t="shared" si="1"/>
        <v>76.772739999999999</v>
      </c>
      <c r="G11">
        <f t="shared" si="2"/>
        <v>-0.85233000000000003</v>
      </c>
      <c r="H11">
        <f t="shared" si="3"/>
        <v>-65.435709484200004</v>
      </c>
      <c r="I11">
        <v>1</v>
      </c>
      <c r="J11">
        <f t="shared" si="4"/>
        <v>-2.5669056497540996</v>
      </c>
      <c r="K11">
        <f t="shared" si="5"/>
        <v>-0.36939515177521742</v>
      </c>
      <c r="L11">
        <v>1</v>
      </c>
      <c r="M11">
        <f t="shared" si="6"/>
        <v>0.36979287753481638</v>
      </c>
      <c r="N11">
        <f t="shared" si="7"/>
        <v>5.8347282399999999E-3</v>
      </c>
      <c r="O11">
        <f t="shared" si="8"/>
        <v>4.479689379E-3</v>
      </c>
      <c r="P11">
        <f t="shared" si="9"/>
        <v>-1.0712143378598955E-2</v>
      </c>
      <c r="V11">
        <v>-5.3</v>
      </c>
      <c r="W11">
        <f t="shared" si="10"/>
        <v>-0.22734400000000005</v>
      </c>
      <c r="Y11">
        <v>7.0000000000000007E-2</v>
      </c>
      <c r="Z11">
        <f t="shared" si="11"/>
        <v>0.44224810000000003</v>
      </c>
      <c r="AB11" t="s">
        <v>31</v>
      </c>
      <c r="AC11">
        <f>AC7-AC9</f>
        <v>3.893412021964221E-3</v>
      </c>
    </row>
    <row r="12" spans="1:29" x14ac:dyDescent="0.3">
      <c r="A12">
        <v>0.43529115000000002</v>
      </c>
      <c r="B12">
        <v>0.84574000000000005</v>
      </c>
      <c r="C12">
        <f t="shared" si="0"/>
        <v>0.36814313720100006</v>
      </c>
      <c r="D12">
        <v>1.52E-2</v>
      </c>
      <c r="E12">
        <v>1.167E-2</v>
      </c>
      <c r="F12">
        <f t="shared" si="1"/>
        <v>87.058230000000009</v>
      </c>
      <c r="G12">
        <f t="shared" si="2"/>
        <v>-0.84574000000000005</v>
      </c>
      <c r="H12">
        <f t="shared" si="3"/>
        <v>-73.628627440200006</v>
      </c>
      <c r="I12">
        <v>1</v>
      </c>
      <c r="J12">
        <f t="shared" si="4"/>
        <v>-2.4411780738709994</v>
      </c>
      <c r="K12">
        <f t="shared" si="5"/>
        <v>-0.37598515177521741</v>
      </c>
      <c r="L12">
        <v>1</v>
      </c>
      <c r="M12">
        <f t="shared" si="6"/>
        <v>0.37634579878984353</v>
      </c>
      <c r="N12">
        <f t="shared" si="7"/>
        <v>6.6164254800000002E-3</v>
      </c>
      <c r="O12">
        <f t="shared" si="8"/>
        <v>5.0798477205000001E-3</v>
      </c>
      <c r="P12">
        <f t="shared" si="9"/>
        <v>-1.2056920215126126E-2</v>
      </c>
      <c r="V12">
        <v>-5.2</v>
      </c>
      <c r="W12">
        <f t="shared" si="10"/>
        <v>-0.23255600000000004</v>
      </c>
      <c r="Y12">
        <v>0.08</v>
      </c>
      <c r="Z12">
        <f t="shared" si="11"/>
        <v>0.5697464000000001</v>
      </c>
      <c r="AC12">
        <f>AC11*3</f>
        <v>1.1680236065892663E-2</v>
      </c>
    </row>
    <row r="13" spans="1:29" x14ac:dyDescent="0.3">
      <c r="A13">
        <v>0.49231975</v>
      </c>
      <c r="B13">
        <v>0.83962999999999999</v>
      </c>
      <c r="C13">
        <f t="shared" si="0"/>
        <v>0.41336643169249998</v>
      </c>
      <c r="D13">
        <v>1.52E-2</v>
      </c>
      <c r="E13">
        <v>1.167E-2</v>
      </c>
      <c r="F13">
        <f t="shared" si="1"/>
        <v>98.463949999999997</v>
      </c>
      <c r="G13">
        <f t="shared" si="2"/>
        <v>-0.83962999999999999</v>
      </c>
      <c r="H13">
        <f t="shared" si="3"/>
        <v>-82.673286338499992</v>
      </c>
      <c r="I13">
        <v>1</v>
      </c>
      <c r="J13">
        <f t="shared" si="4"/>
        <v>-2.3180647876424398</v>
      </c>
      <c r="K13">
        <f t="shared" si="5"/>
        <v>-0.38209515177521747</v>
      </c>
      <c r="L13">
        <v>1</v>
      </c>
      <c r="M13">
        <f t="shared" si="6"/>
        <v>0.38276246326807606</v>
      </c>
      <c r="N13">
        <f t="shared" si="7"/>
        <v>7.4832602000000003E-3</v>
      </c>
      <c r="O13">
        <f t="shared" si="8"/>
        <v>5.7453714825E-3</v>
      </c>
      <c r="P13">
        <f t="shared" si="9"/>
        <v>-1.3895943175358593E-2</v>
      </c>
      <c r="V13">
        <v>-5.0999999999999996</v>
      </c>
      <c r="W13">
        <f t="shared" si="10"/>
        <v>-0.23776800000000003</v>
      </c>
      <c r="Y13">
        <v>0.09</v>
      </c>
      <c r="Z13">
        <f t="shared" si="11"/>
        <v>0.69724469999999994</v>
      </c>
    </row>
    <row r="14" spans="1:29" x14ac:dyDescent="0.3">
      <c r="A14">
        <v>0.54272889999999996</v>
      </c>
      <c r="B14">
        <v>0.83387</v>
      </c>
      <c r="C14">
        <f t="shared" si="0"/>
        <v>0.45256534784299995</v>
      </c>
      <c r="D14">
        <v>1.52E-2</v>
      </c>
      <c r="E14">
        <v>1.167E-2</v>
      </c>
      <c r="F14">
        <f t="shared" si="1"/>
        <v>108.54577999999999</v>
      </c>
      <c r="G14">
        <f t="shared" si="2"/>
        <v>-0.83387</v>
      </c>
      <c r="H14">
        <f t="shared" si="3"/>
        <v>-90.513069568599988</v>
      </c>
      <c r="I14">
        <v>1</v>
      </c>
      <c r="J14">
        <f t="shared" si="4"/>
        <v>-2.2205832595074972</v>
      </c>
      <c r="K14">
        <f t="shared" si="5"/>
        <v>-0.38785515177521745</v>
      </c>
      <c r="L14">
        <v>1</v>
      </c>
      <c r="M14">
        <f t="shared" si="6"/>
        <v>0.3878432005144693</v>
      </c>
      <c r="N14">
        <f t="shared" si="7"/>
        <v>8.2494792799999994E-3</v>
      </c>
      <c r="O14">
        <f t="shared" si="8"/>
        <v>6.3336462629999995E-3</v>
      </c>
      <c r="P14">
        <f t="shared" si="9"/>
        <v>-1.4571174282251843E-2</v>
      </c>
      <c r="V14">
        <v>-5</v>
      </c>
      <c r="W14">
        <f t="shared" si="10"/>
        <v>-0.24298000000000003</v>
      </c>
      <c r="Y14">
        <v>0.1</v>
      </c>
      <c r="Z14">
        <f t="shared" si="11"/>
        <v>0.824743</v>
      </c>
    </row>
    <row r="15" spans="1:29" x14ac:dyDescent="0.3">
      <c r="A15">
        <v>0.59975745000000003</v>
      </c>
      <c r="B15">
        <v>0.82862000000000002</v>
      </c>
      <c r="C15">
        <f t="shared" si="0"/>
        <v>0.49697101821900003</v>
      </c>
      <c r="D15">
        <v>1.52E-2</v>
      </c>
      <c r="E15">
        <v>1.167E-2</v>
      </c>
      <c r="F15">
        <f t="shared" si="1"/>
        <v>119.95149000000001</v>
      </c>
      <c r="G15">
        <f t="shared" si="2"/>
        <v>-0.82862000000000002</v>
      </c>
      <c r="H15">
        <f t="shared" si="3"/>
        <v>-99.394203643800012</v>
      </c>
      <c r="I15">
        <v>1</v>
      </c>
      <c r="J15">
        <f t="shared" si="4"/>
        <v>-2.1206678679311497</v>
      </c>
      <c r="K15">
        <f t="shared" si="5"/>
        <v>-0.39310515177521743</v>
      </c>
      <c r="L15">
        <v>1</v>
      </c>
      <c r="M15">
        <f t="shared" si="6"/>
        <v>0.39305079072342852</v>
      </c>
      <c r="N15">
        <f t="shared" si="7"/>
        <v>9.1163132399999999E-3</v>
      </c>
      <c r="O15">
        <f t="shared" si="8"/>
        <v>6.9991694415000002E-3</v>
      </c>
      <c r="P15">
        <f t="shared" si="9"/>
        <v>-1.606112162971109E-2</v>
      </c>
      <c r="V15">
        <v>-4.9000000000000004</v>
      </c>
      <c r="W15">
        <f t="shared" si="10"/>
        <v>-0.24819200000000002</v>
      </c>
      <c r="Y15">
        <v>0.11</v>
      </c>
      <c r="Z15">
        <f t="shared" si="11"/>
        <v>0.95224130000000007</v>
      </c>
    </row>
    <row r="16" spans="1:29" x14ac:dyDescent="0.3">
      <c r="A16">
        <v>0.65271245</v>
      </c>
      <c r="B16">
        <v>0.82330999999999999</v>
      </c>
      <c r="C16">
        <f t="shared" si="0"/>
        <v>0.53738468720949994</v>
      </c>
      <c r="D16">
        <v>1.52E-2</v>
      </c>
      <c r="E16">
        <v>1.167E-2</v>
      </c>
      <c r="F16">
        <f t="shared" si="1"/>
        <v>130.54248999999999</v>
      </c>
      <c r="G16">
        <f t="shared" si="2"/>
        <v>-0.82330999999999999</v>
      </c>
      <c r="H16">
        <f t="shared" si="3"/>
        <v>-107.47693744189999</v>
      </c>
      <c r="I16">
        <v>1</v>
      </c>
      <c r="J16">
        <f t="shared" si="4"/>
        <v>-2.0360565113438387</v>
      </c>
      <c r="K16">
        <f t="shared" si="5"/>
        <v>-0.39841515177521747</v>
      </c>
      <c r="L16">
        <v>1</v>
      </c>
      <c r="M16">
        <f t="shared" si="6"/>
        <v>0.39746073462875914</v>
      </c>
      <c r="N16">
        <f t="shared" si="7"/>
        <v>9.9212292399999992E-3</v>
      </c>
      <c r="O16">
        <f t="shared" si="8"/>
        <v>7.6171542914999996E-3</v>
      </c>
      <c r="P16">
        <f t="shared" si="9"/>
        <v>-1.6583966385041667E-2</v>
      </c>
      <c r="V16">
        <v>-4.8</v>
      </c>
      <c r="W16">
        <f t="shared" si="10"/>
        <v>-0.25340400000000002</v>
      </c>
      <c r="Y16">
        <v>0.12</v>
      </c>
      <c r="Z16">
        <f t="shared" si="11"/>
        <v>1.0797395999999999</v>
      </c>
    </row>
    <row r="17" spans="1:26" x14ac:dyDescent="0.3">
      <c r="A17">
        <v>0.70312160000000001</v>
      </c>
      <c r="B17">
        <v>0.81901000000000002</v>
      </c>
      <c r="C17">
        <f t="shared" si="0"/>
        <v>0.57586362161600002</v>
      </c>
      <c r="D17">
        <v>1.52E-2</v>
      </c>
      <c r="E17">
        <v>1.167E-2</v>
      </c>
      <c r="F17">
        <f t="shared" si="1"/>
        <v>140.62432000000001</v>
      </c>
      <c r="G17">
        <f t="shared" si="2"/>
        <v>-0.81901000000000002</v>
      </c>
      <c r="H17">
        <f t="shared" si="3"/>
        <v>-115.1727243232</v>
      </c>
      <c r="I17">
        <v>1</v>
      </c>
      <c r="J17">
        <f t="shared" si="4"/>
        <v>-1.9616633415906992</v>
      </c>
      <c r="K17">
        <f t="shared" si="5"/>
        <v>-0.40271515177521744</v>
      </c>
      <c r="L17">
        <v>1</v>
      </c>
      <c r="M17">
        <f t="shared" si="6"/>
        <v>0.40133810663629277</v>
      </c>
      <c r="N17">
        <f t="shared" si="7"/>
        <v>1.0687448320000001E-2</v>
      </c>
      <c r="O17">
        <f t="shared" si="8"/>
        <v>8.2054290719999999E-3</v>
      </c>
      <c r="P17">
        <f t="shared" si="9"/>
        <v>-1.751583225307533E-2</v>
      </c>
      <c r="V17">
        <v>-4.7</v>
      </c>
      <c r="W17">
        <f t="shared" si="10"/>
        <v>-0.25861600000000001</v>
      </c>
      <c r="Y17">
        <v>0.13</v>
      </c>
      <c r="Z17">
        <f t="shared" si="11"/>
        <v>1.2072379</v>
      </c>
    </row>
    <row r="18" spans="1:26" x14ac:dyDescent="0.3">
      <c r="A18">
        <v>0.75353075000000003</v>
      </c>
      <c r="B18">
        <v>0.81484999999999996</v>
      </c>
      <c r="C18">
        <f t="shared" si="0"/>
        <v>0.61401453163749997</v>
      </c>
      <c r="D18">
        <v>1.52E-2</v>
      </c>
      <c r="E18">
        <v>1.167E-2</v>
      </c>
      <c r="F18">
        <f t="shared" si="1"/>
        <v>150.70615000000001</v>
      </c>
      <c r="G18">
        <f t="shared" si="2"/>
        <v>-0.81484999999999996</v>
      </c>
      <c r="H18">
        <f t="shared" si="3"/>
        <v>-122.8029063275</v>
      </c>
      <c r="I18">
        <v>1</v>
      </c>
      <c r="J18">
        <f t="shared" si="4"/>
        <v>-1.8924233646269664</v>
      </c>
      <c r="K18">
        <f t="shared" si="5"/>
        <v>-0.40687515177521749</v>
      </c>
      <c r="L18">
        <v>1</v>
      </c>
      <c r="M18">
        <f t="shared" si="6"/>
        <v>0.40494689423564256</v>
      </c>
      <c r="N18">
        <f t="shared" si="7"/>
        <v>1.1453667400000001E-2</v>
      </c>
      <c r="O18">
        <f t="shared" si="8"/>
        <v>8.7937038524999993E-3</v>
      </c>
      <c r="P18">
        <f t="shared" si="9"/>
        <v>-1.8319113712925071E-2</v>
      </c>
      <c r="V18">
        <v>-4.5999999999999996</v>
      </c>
      <c r="W18">
        <f t="shared" si="10"/>
        <v>-0.26382800000000006</v>
      </c>
      <c r="Y18">
        <v>0.14000000000000001</v>
      </c>
      <c r="Z18">
        <f t="shared" si="11"/>
        <v>1.3347362</v>
      </c>
    </row>
    <row r="19" spans="1:26" x14ac:dyDescent="0.3">
      <c r="A19">
        <v>0.80546744999999997</v>
      </c>
      <c r="B19">
        <v>0.81037999999999999</v>
      </c>
      <c r="C19">
        <f t="shared" si="0"/>
        <v>0.65273471213099998</v>
      </c>
      <c r="D19">
        <v>1.52E-2</v>
      </c>
      <c r="E19">
        <v>1.167E-2</v>
      </c>
      <c r="F19">
        <f t="shared" si="1"/>
        <v>161.09349</v>
      </c>
      <c r="G19">
        <f t="shared" si="2"/>
        <v>-0.81037999999999999</v>
      </c>
      <c r="H19">
        <f t="shared" si="3"/>
        <v>-130.54694242619999</v>
      </c>
      <c r="I19">
        <v>1</v>
      </c>
      <c r="J19">
        <f t="shared" si="4"/>
        <v>-1.8257703992991281</v>
      </c>
      <c r="K19">
        <f t="shared" si="5"/>
        <v>-0.41134515177521747</v>
      </c>
      <c r="L19">
        <v>1</v>
      </c>
      <c r="M19">
        <f t="shared" si="6"/>
        <v>0.40842084678852947</v>
      </c>
      <c r="N19">
        <f t="shared" si="7"/>
        <v>1.224310524E-2</v>
      </c>
      <c r="O19">
        <f t="shared" si="8"/>
        <v>9.3998051414999999E-3</v>
      </c>
      <c r="P19">
        <f t="shared" si="9"/>
        <v>-1.8718605394812002E-2</v>
      </c>
      <c r="V19">
        <v>-4.5000000000000098</v>
      </c>
      <c r="W19">
        <f t="shared" si="10"/>
        <v>-0.2690399999999995</v>
      </c>
      <c r="Y19">
        <v>0.15</v>
      </c>
      <c r="Z19">
        <f t="shared" si="11"/>
        <v>1.4622344999999999</v>
      </c>
    </row>
    <row r="20" spans="1:26" x14ac:dyDescent="0.3">
      <c r="A20">
        <v>0.85791335000000002</v>
      </c>
      <c r="B20">
        <v>0.80628</v>
      </c>
      <c r="C20">
        <f t="shared" si="0"/>
        <v>0.691718375838</v>
      </c>
      <c r="D20">
        <v>1.52E-2</v>
      </c>
      <c r="E20">
        <v>1.167E-2</v>
      </c>
      <c r="F20">
        <f t="shared" si="1"/>
        <v>171.58267000000001</v>
      </c>
      <c r="G20">
        <f t="shared" si="2"/>
        <v>-0.80628</v>
      </c>
      <c r="H20">
        <f t="shared" si="3"/>
        <v>-138.3436751676</v>
      </c>
      <c r="I20">
        <v>1</v>
      </c>
      <c r="J20">
        <f t="shared" si="4"/>
        <v>-1.7626900877041674</v>
      </c>
      <c r="K20">
        <f t="shared" si="5"/>
        <v>-0.41544515177521746</v>
      </c>
      <c r="L20">
        <v>1</v>
      </c>
      <c r="M20">
        <f t="shared" si="6"/>
        <v>0.41170859262885884</v>
      </c>
      <c r="N20">
        <f t="shared" si="7"/>
        <v>1.304028292E-2</v>
      </c>
      <c r="O20">
        <f t="shared" si="8"/>
        <v>1.0011848794500001E-2</v>
      </c>
      <c r="P20">
        <f t="shared" si="9"/>
        <v>-1.9315572568141381E-2</v>
      </c>
      <c r="V20">
        <v>-4.4000000000000101</v>
      </c>
      <c r="W20">
        <f t="shared" si="10"/>
        <v>-0.2742519999999995</v>
      </c>
      <c r="Y20">
        <v>0.16</v>
      </c>
      <c r="Z20">
        <f t="shared" si="11"/>
        <v>1.5897328000000002</v>
      </c>
    </row>
    <row r="21" spans="1:26" x14ac:dyDescent="0.3">
      <c r="A21">
        <v>0.90832245</v>
      </c>
      <c r="B21">
        <v>0.80259000000000003</v>
      </c>
      <c r="C21">
        <f t="shared" si="0"/>
        <v>0.72901051514549997</v>
      </c>
      <c r="D21">
        <v>1.52E-2</v>
      </c>
      <c r="E21">
        <v>1.167E-2</v>
      </c>
      <c r="F21">
        <f t="shared" si="1"/>
        <v>181.66449</v>
      </c>
      <c r="G21">
        <f t="shared" si="2"/>
        <v>-0.80259000000000003</v>
      </c>
      <c r="H21">
        <f t="shared" si="3"/>
        <v>-145.80210302909998</v>
      </c>
      <c r="I21">
        <v>1</v>
      </c>
      <c r="J21">
        <f t="shared" si="4"/>
        <v>-1.7055937547101594</v>
      </c>
      <c r="K21">
        <f t="shared" si="5"/>
        <v>-0.41913515177521743</v>
      </c>
      <c r="L21">
        <v>1</v>
      </c>
      <c r="M21">
        <f t="shared" si="6"/>
        <v>0.4146844535045065</v>
      </c>
      <c r="N21">
        <f t="shared" si="7"/>
        <v>1.380650124E-2</v>
      </c>
      <c r="O21">
        <f t="shared" si="8"/>
        <v>1.06001229915E-2</v>
      </c>
      <c r="P21">
        <f t="shared" si="9"/>
        <v>-1.9955925960789073E-2</v>
      </c>
      <c r="V21">
        <v>-4.3000000000000096</v>
      </c>
      <c r="W21">
        <f t="shared" si="10"/>
        <v>-0.27946399999999949</v>
      </c>
      <c r="Y21">
        <v>0.17</v>
      </c>
      <c r="Z21">
        <f t="shared" si="11"/>
        <v>1.7172311000000002</v>
      </c>
    </row>
    <row r="22" spans="1:26" x14ac:dyDescent="0.3">
      <c r="A22">
        <v>0.95974999999999999</v>
      </c>
      <c r="B22">
        <v>0.79881000000000002</v>
      </c>
      <c r="C22">
        <f t="shared" si="0"/>
        <v>0.76665789750000002</v>
      </c>
      <c r="D22">
        <v>1.52E-2</v>
      </c>
      <c r="E22">
        <v>1.167E-2</v>
      </c>
      <c r="F22">
        <f t="shared" si="1"/>
        <v>191.95</v>
      </c>
      <c r="G22">
        <f t="shared" si="2"/>
        <v>-0.79881000000000002</v>
      </c>
      <c r="H22">
        <f t="shared" si="3"/>
        <v>-153.3315795</v>
      </c>
      <c r="I22">
        <v>1</v>
      </c>
      <c r="J22">
        <f t="shared" si="4"/>
        <v>-1.6505203575353304</v>
      </c>
      <c r="K22">
        <f t="shared" si="5"/>
        <v>-0.42291515177521743</v>
      </c>
      <c r="L22">
        <v>1</v>
      </c>
      <c r="M22">
        <f t="shared" si="6"/>
        <v>0.41755487896525861</v>
      </c>
      <c r="N22">
        <f t="shared" si="7"/>
        <v>1.4588199999999999E-2</v>
      </c>
      <c r="O22">
        <f t="shared" si="8"/>
        <v>1.12002825E-2</v>
      </c>
      <c r="P22">
        <f t="shared" si="9"/>
        <v>-2.042820969004118E-2</v>
      </c>
      <c r="V22">
        <v>-4.2000000000000099</v>
      </c>
      <c r="W22">
        <f t="shared" si="10"/>
        <v>-0.28467599999999949</v>
      </c>
      <c r="Y22">
        <v>0.18</v>
      </c>
      <c r="Z22">
        <f t="shared" si="11"/>
        <v>1.8447293999999999</v>
      </c>
    </row>
    <row r="23" spans="1:26" x14ac:dyDescent="0.3">
      <c r="A23">
        <v>1.0101591000000001</v>
      </c>
      <c r="B23">
        <v>0.79539000000000004</v>
      </c>
      <c r="C23">
        <f t="shared" si="0"/>
        <v>0.80347044654900013</v>
      </c>
      <c r="D23">
        <v>1.52E-2</v>
      </c>
      <c r="E23">
        <v>1.167E-2</v>
      </c>
      <c r="F23">
        <f t="shared" si="1"/>
        <v>202.03182000000001</v>
      </c>
      <c r="G23">
        <f t="shared" si="2"/>
        <v>-0.79539000000000004</v>
      </c>
      <c r="H23">
        <f t="shared" si="3"/>
        <v>-160.69408930980003</v>
      </c>
      <c r="I23">
        <v>1</v>
      </c>
      <c r="J23">
        <f t="shared" si="4"/>
        <v>-1.5993300692341781</v>
      </c>
      <c r="K23">
        <f t="shared" si="5"/>
        <v>-0.42633515177521741</v>
      </c>
      <c r="L23">
        <v>1</v>
      </c>
      <c r="M23">
        <f t="shared" si="6"/>
        <v>0.42022291679151469</v>
      </c>
      <c r="N23">
        <f t="shared" si="7"/>
        <v>1.5354418320000002E-2</v>
      </c>
      <c r="O23">
        <f t="shared" si="8"/>
        <v>1.1788556697000001E-2</v>
      </c>
      <c r="P23">
        <f t="shared" si="9"/>
        <v>-2.1030740033297281E-2</v>
      </c>
      <c r="V23">
        <v>-4.1000000000000103</v>
      </c>
      <c r="W23">
        <f t="shared" si="10"/>
        <v>-0.28988799999999948</v>
      </c>
      <c r="Y23">
        <v>0.19</v>
      </c>
      <c r="Z23">
        <f t="shared" si="11"/>
        <v>1.9722276999999999</v>
      </c>
    </row>
    <row r="24" spans="1:26" x14ac:dyDescent="0.3">
      <c r="A24">
        <v>1.0631143000000001</v>
      </c>
      <c r="B24">
        <v>0.79196</v>
      </c>
      <c r="C24">
        <f t="shared" si="0"/>
        <v>0.84194400102800004</v>
      </c>
      <c r="D24">
        <v>1.52E-2</v>
      </c>
      <c r="E24">
        <v>1.167E-2</v>
      </c>
      <c r="F24">
        <f t="shared" si="1"/>
        <v>212.62286</v>
      </c>
      <c r="G24">
        <f t="shared" si="2"/>
        <v>-0.79196</v>
      </c>
      <c r="H24">
        <f t="shared" si="3"/>
        <v>-168.38880020560001</v>
      </c>
      <c r="I24">
        <v>1</v>
      </c>
      <c r="J24">
        <f t="shared" si="4"/>
        <v>-1.5482352929846028</v>
      </c>
      <c r="K24">
        <f t="shared" si="5"/>
        <v>-0.42976515177521746</v>
      </c>
      <c r="L24">
        <v>1</v>
      </c>
      <c r="M24">
        <f t="shared" si="6"/>
        <v>0.42288597652964255</v>
      </c>
      <c r="N24">
        <f t="shared" si="7"/>
        <v>1.6159337360000001E-2</v>
      </c>
      <c r="O24">
        <f t="shared" si="8"/>
        <v>1.2406543881000001E-2</v>
      </c>
      <c r="P24">
        <f t="shared" si="9"/>
        <v>-2.1686705995425094E-2</v>
      </c>
      <c r="V24">
        <v>-4.0000000000000098</v>
      </c>
      <c r="W24">
        <f t="shared" si="10"/>
        <v>-0.29509999999999953</v>
      </c>
      <c r="Y24">
        <v>0.2</v>
      </c>
      <c r="Z24">
        <f t="shared" si="11"/>
        <v>2.099726</v>
      </c>
    </row>
    <row r="25" spans="1:26" x14ac:dyDescent="0.3">
      <c r="A25">
        <v>1.115051</v>
      </c>
      <c r="B25">
        <v>0.78805999999999998</v>
      </c>
      <c r="C25">
        <f t="shared" si="0"/>
        <v>0.87872709106000002</v>
      </c>
      <c r="D25">
        <v>1.52E-2</v>
      </c>
      <c r="E25">
        <v>1.167E-2</v>
      </c>
      <c r="F25">
        <f t="shared" si="1"/>
        <v>223.0102</v>
      </c>
      <c r="G25">
        <f t="shared" si="2"/>
        <v>-0.78805999999999998</v>
      </c>
      <c r="H25">
        <f t="shared" si="3"/>
        <v>-175.745418212</v>
      </c>
      <c r="I25">
        <v>1</v>
      </c>
      <c r="J25">
        <f t="shared" si="4"/>
        <v>-1.5005377686577421</v>
      </c>
      <c r="K25">
        <f t="shared" si="5"/>
        <v>-0.43366515177521747</v>
      </c>
      <c r="L25">
        <v>1</v>
      </c>
      <c r="M25">
        <f t="shared" si="6"/>
        <v>0.42537197149755851</v>
      </c>
      <c r="N25">
        <f t="shared" si="7"/>
        <v>1.6948775199999998E-2</v>
      </c>
      <c r="O25">
        <f t="shared" si="8"/>
        <v>1.301264517E-2</v>
      </c>
      <c r="P25">
        <f t="shared" si="9"/>
        <v>-2.1668240092341036E-2</v>
      </c>
      <c r="V25">
        <v>-3.9000000000000101</v>
      </c>
      <c r="W25">
        <f t="shared" si="10"/>
        <v>-0.30031199999999947</v>
      </c>
      <c r="Y25">
        <v>0.21</v>
      </c>
      <c r="Z25">
        <f t="shared" si="11"/>
        <v>2.2272242999999996</v>
      </c>
    </row>
    <row r="26" spans="1:26" x14ac:dyDescent="0.3">
      <c r="A26">
        <v>1.1690244000000001</v>
      </c>
      <c r="B26">
        <v>0.78532999999999997</v>
      </c>
      <c r="C26">
        <f t="shared" si="0"/>
        <v>0.91806993205200005</v>
      </c>
      <c r="D26">
        <v>1.52E-2</v>
      </c>
      <c r="E26">
        <v>1.167E-2</v>
      </c>
      <c r="F26">
        <f t="shared" si="1"/>
        <v>233.80488000000003</v>
      </c>
      <c r="G26">
        <f t="shared" si="2"/>
        <v>-0.78532999999999997</v>
      </c>
      <c r="H26">
        <f t="shared" si="3"/>
        <v>-183.6139864104</v>
      </c>
      <c r="I26">
        <v>1</v>
      </c>
      <c r="J26">
        <f t="shared" si="4"/>
        <v>-1.4532683576213643</v>
      </c>
      <c r="K26">
        <f t="shared" si="5"/>
        <v>-0.43639515177521748</v>
      </c>
      <c r="L26">
        <v>1</v>
      </c>
      <c r="M26">
        <f t="shared" si="6"/>
        <v>0.42783565320077455</v>
      </c>
      <c r="N26">
        <f t="shared" si="7"/>
        <v>1.7769170880000001E-2</v>
      </c>
      <c r="O26">
        <f t="shared" si="8"/>
        <v>1.3642514748E-2</v>
      </c>
      <c r="P26">
        <f t="shared" si="9"/>
        <v>-2.2852187053557065E-2</v>
      </c>
      <c r="V26">
        <v>-3.80000000000001</v>
      </c>
      <c r="W26">
        <f t="shared" si="10"/>
        <v>-0.30552399999999952</v>
      </c>
      <c r="Y26">
        <v>0.22</v>
      </c>
      <c r="Z26">
        <f t="shared" si="11"/>
        <v>2.3547226000000001</v>
      </c>
    </row>
    <row r="27" spans="1:26" x14ac:dyDescent="0.3">
      <c r="A27">
        <v>1.2260529</v>
      </c>
      <c r="B27">
        <v>0.78125999999999995</v>
      </c>
      <c r="C27">
        <f t="shared" si="0"/>
        <v>0.95786608865399991</v>
      </c>
      <c r="D27">
        <v>1.52E-2</v>
      </c>
      <c r="E27">
        <v>1.167E-2</v>
      </c>
      <c r="F27">
        <f t="shared" si="1"/>
        <v>245.21057999999999</v>
      </c>
      <c r="G27">
        <f t="shared" si="2"/>
        <v>-0.78125999999999995</v>
      </c>
      <c r="H27">
        <f t="shared" si="3"/>
        <v>-191.5732177308</v>
      </c>
      <c r="I27">
        <v>1</v>
      </c>
      <c r="J27">
        <f t="shared" si="4"/>
        <v>-1.4056379274007036</v>
      </c>
      <c r="K27">
        <f t="shared" si="5"/>
        <v>-0.4404651517752175</v>
      </c>
      <c r="L27">
        <v>1</v>
      </c>
      <c r="M27">
        <f t="shared" si="6"/>
        <v>0.43031815122387534</v>
      </c>
      <c r="N27">
        <f t="shared" si="7"/>
        <v>1.8636004080000001E-2</v>
      </c>
      <c r="O27">
        <f t="shared" si="8"/>
        <v>1.4308037342999999E-2</v>
      </c>
      <c r="P27">
        <f t="shared" si="9"/>
        <v>-2.2797040871657844E-2</v>
      </c>
      <c r="V27">
        <v>-3.7000000000000099</v>
      </c>
      <c r="W27">
        <f t="shared" si="10"/>
        <v>-0.31073599999999951</v>
      </c>
      <c r="Y27">
        <v>0.23</v>
      </c>
      <c r="Z27">
        <f t="shared" si="11"/>
        <v>2.4822209000000002</v>
      </c>
    </row>
    <row r="28" spans="1:26" x14ac:dyDescent="0.3">
      <c r="A28">
        <v>1.2774802999999999</v>
      </c>
      <c r="B28">
        <v>0.77783000000000002</v>
      </c>
      <c r="C28">
        <f t="shared" si="0"/>
        <v>0.99366250174899995</v>
      </c>
      <c r="D28">
        <v>1.52E-2</v>
      </c>
      <c r="E28">
        <v>1.167E-2</v>
      </c>
      <c r="F28">
        <f t="shared" si="1"/>
        <v>255.49605999999997</v>
      </c>
      <c r="G28">
        <f t="shared" si="2"/>
        <v>-0.77783000000000002</v>
      </c>
      <c r="H28">
        <f t="shared" si="3"/>
        <v>-198.73250034979998</v>
      </c>
      <c r="I28">
        <v>1</v>
      </c>
      <c r="J28">
        <f t="shared" si="4"/>
        <v>-1.3645482902009189</v>
      </c>
      <c r="K28">
        <f t="shared" si="5"/>
        <v>-0.44389515177521743</v>
      </c>
      <c r="L28">
        <v>1</v>
      </c>
      <c r="M28">
        <f t="shared" si="6"/>
        <v>0.43245974311472812</v>
      </c>
      <c r="N28">
        <f t="shared" si="7"/>
        <v>1.9417700559999997E-2</v>
      </c>
      <c r="O28">
        <f t="shared" si="8"/>
        <v>1.4908195100999999E-2</v>
      </c>
      <c r="P28">
        <f t="shared" si="9"/>
        <v>-2.2890487000510686E-2</v>
      </c>
      <c r="V28">
        <v>-3.6000000000000099</v>
      </c>
      <c r="W28">
        <f t="shared" si="10"/>
        <v>-0.31594799999999951</v>
      </c>
      <c r="Y28">
        <v>0.24</v>
      </c>
      <c r="Z28">
        <f t="shared" si="11"/>
        <v>2.6097191999999998</v>
      </c>
    </row>
    <row r="29" spans="1:26" x14ac:dyDescent="0.3">
      <c r="A29">
        <v>1.3375638000000001</v>
      </c>
      <c r="B29">
        <v>0.77451000000000003</v>
      </c>
      <c r="C29">
        <f t="shared" si="0"/>
        <v>1.0359565387380001</v>
      </c>
      <c r="D29">
        <v>1.52E-2</v>
      </c>
      <c r="E29">
        <v>1.167E-2</v>
      </c>
      <c r="F29">
        <f t="shared" si="1"/>
        <v>267.51276000000001</v>
      </c>
      <c r="G29">
        <f t="shared" si="2"/>
        <v>-0.77451000000000003</v>
      </c>
      <c r="H29">
        <f t="shared" si="3"/>
        <v>-207.19130774760001</v>
      </c>
      <c r="I29">
        <v>1</v>
      </c>
      <c r="J29">
        <f t="shared" si="4"/>
        <v>-1.3185880128491496</v>
      </c>
      <c r="K29">
        <f t="shared" si="5"/>
        <v>-0.44721515177521742</v>
      </c>
      <c r="L29">
        <v>1</v>
      </c>
      <c r="M29">
        <f t="shared" si="6"/>
        <v>0.43485519277030238</v>
      </c>
      <c r="N29">
        <f t="shared" si="7"/>
        <v>2.0330969760000001E-2</v>
      </c>
      <c r="O29">
        <f t="shared" si="8"/>
        <v>1.5609369546E-2</v>
      </c>
      <c r="P29">
        <f t="shared" si="9"/>
        <v>-2.3580380301084957E-2</v>
      </c>
      <c r="V29">
        <v>-3.5000000000000102</v>
      </c>
      <c r="W29">
        <f t="shared" si="10"/>
        <v>-0.3211599999999995</v>
      </c>
      <c r="Y29">
        <v>0.25</v>
      </c>
      <c r="Z29">
        <f t="shared" si="11"/>
        <v>2.7372174999999999</v>
      </c>
    </row>
    <row r="30" spans="1:26" x14ac:dyDescent="0.3">
      <c r="A30">
        <v>1.3895006999999999</v>
      </c>
      <c r="B30">
        <v>0.77093999999999996</v>
      </c>
      <c r="C30">
        <f t="shared" si="0"/>
        <v>1.0712216696579999</v>
      </c>
      <c r="D30">
        <v>1.52E-2</v>
      </c>
      <c r="E30">
        <v>1.167E-2</v>
      </c>
      <c r="F30">
        <f t="shared" si="1"/>
        <v>277.90013999999996</v>
      </c>
      <c r="G30">
        <f t="shared" si="2"/>
        <v>-0.77093999999999996</v>
      </c>
      <c r="H30">
        <f t="shared" si="3"/>
        <v>-214.24433393159998</v>
      </c>
      <c r="I30">
        <v>1</v>
      </c>
      <c r="J30">
        <f t="shared" si="4"/>
        <v>-1.2804934384554685</v>
      </c>
      <c r="K30">
        <f t="shared" si="5"/>
        <v>-0.4507851517752175</v>
      </c>
      <c r="L30">
        <v>1</v>
      </c>
      <c r="M30">
        <f t="shared" si="6"/>
        <v>0.43684068198770099</v>
      </c>
      <c r="N30">
        <f t="shared" si="7"/>
        <v>2.112041064E-2</v>
      </c>
      <c r="O30">
        <f t="shared" si="8"/>
        <v>1.6215473168999999E-2</v>
      </c>
      <c r="P30">
        <f t="shared" si="9"/>
        <v>-2.3391414021483488E-2</v>
      </c>
      <c r="V30">
        <v>-3.4000000000000101</v>
      </c>
      <c r="W30">
        <f t="shared" si="10"/>
        <v>-0.3263719999999995</v>
      </c>
      <c r="Y30">
        <v>0.26</v>
      </c>
      <c r="Z30">
        <f t="shared" si="11"/>
        <v>2.8647157999999999</v>
      </c>
    </row>
    <row r="31" spans="1:26" x14ac:dyDescent="0.3">
      <c r="A31">
        <v>1.4399097999999999</v>
      </c>
      <c r="B31">
        <v>0.76810999999999996</v>
      </c>
      <c r="C31">
        <f t="shared" si="0"/>
        <v>1.1060091164779999</v>
      </c>
      <c r="D31">
        <v>1.52E-2</v>
      </c>
      <c r="E31">
        <v>1.167E-2</v>
      </c>
      <c r="F31">
        <f t="shared" si="1"/>
        <v>287.98195999999996</v>
      </c>
      <c r="G31">
        <f t="shared" si="2"/>
        <v>-0.76810999999999996</v>
      </c>
      <c r="H31">
        <f t="shared" si="3"/>
        <v>-221.20182329559998</v>
      </c>
      <c r="I31">
        <v>1</v>
      </c>
      <c r="J31">
        <f t="shared" si="4"/>
        <v>-1.2448574396969772</v>
      </c>
      <c r="K31">
        <f t="shared" si="5"/>
        <v>-0.4536151517752175</v>
      </c>
      <c r="L31">
        <v>1</v>
      </c>
      <c r="M31">
        <f t="shared" si="6"/>
        <v>0.43869803024299359</v>
      </c>
      <c r="N31">
        <f t="shared" si="7"/>
        <v>2.1886628959999998E-2</v>
      </c>
      <c r="O31">
        <f t="shared" si="8"/>
        <v>1.6803747365999998E-2</v>
      </c>
      <c r="P31">
        <f t="shared" si="9"/>
        <v>-2.3773254793776087E-2</v>
      </c>
      <c r="V31">
        <v>-3.30000000000001</v>
      </c>
      <c r="W31">
        <f t="shared" si="10"/>
        <v>-0.33158399999999955</v>
      </c>
      <c r="Y31">
        <v>0.27</v>
      </c>
      <c r="Z31">
        <f t="shared" si="11"/>
        <v>2.9922141</v>
      </c>
    </row>
    <row r="32" spans="1:26" x14ac:dyDescent="0.3">
      <c r="A32">
        <v>1.4903189999999999</v>
      </c>
      <c r="B32">
        <v>0.76490000000000002</v>
      </c>
      <c r="C32">
        <f t="shared" si="0"/>
        <v>1.1399450031</v>
      </c>
      <c r="D32">
        <v>1.52E-2</v>
      </c>
      <c r="E32">
        <v>1.167E-2</v>
      </c>
      <c r="F32">
        <f t="shared" si="1"/>
        <v>298.06380000000001</v>
      </c>
      <c r="G32">
        <f t="shared" si="2"/>
        <v>-0.76490000000000002</v>
      </c>
      <c r="H32">
        <f t="shared" si="3"/>
        <v>-227.98900062000001</v>
      </c>
      <c r="I32">
        <v>1</v>
      </c>
      <c r="J32">
        <f t="shared" si="4"/>
        <v>-1.2104477214318423</v>
      </c>
      <c r="K32">
        <f t="shared" si="5"/>
        <v>-0.45682515177521743</v>
      </c>
      <c r="L32">
        <v>1</v>
      </c>
      <c r="M32">
        <f t="shared" si="6"/>
        <v>0.44049146475897238</v>
      </c>
      <c r="N32">
        <f t="shared" si="7"/>
        <v>2.26528488E-2</v>
      </c>
      <c r="O32">
        <f t="shared" si="8"/>
        <v>1.7392022729999998E-2</v>
      </c>
      <c r="P32">
        <f t="shared" si="9"/>
        <v>-2.3711184513754952E-2</v>
      </c>
      <c r="V32">
        <v>-3.2000000000000099</v>
      </c>
      <c r="W32">
        <f t="shared" si="10"/>
        <v>-0.33679599999999954</v>
      </c>
    </row>
    <row r="33" spans="1:23" x14ac:dyDescent="0.3">
      <c r="A33">
        <v>1.5442925000000001</v>
      </c>
      <c r="B33">
        <v>0.76205999999999996</v>
      </c>
      <c r="C33">
        <f t="shared" si="0"/>
        <v>1.1768435425499999</v>
      </c>
      <c r="D33">
        <v>1.52E-2</v>
      </c>
      <c r="E33">
        <v>1.167E-2</v>
      </c>
      <c r="F33">
        <f t="shared" si="1"/>
        <v>308.85849999999999</v>
      </c>
      <c r="G33">
        <f t="shared" si="2"/>
        <v>-0.76205999999999996</v>
      </c>
      <c r="H33">
        <f t="shared" si="3"/>
        <v>-235.36870850999998</v>
      </c>
      <c r="I33">
        <v>1</v>
      </c>
      <c r="J33">
        <f t="shared" si="4"/>
        <v>-1.1748720357683948</v>
      </c>
      <c r="K33">
        <f t="shared" si="5"/>
        <v>-0.4596651517752175</v>
      </c>
      <c r="L33">
        <v>1</v>
      </c>
      <c r="M33">
        <f t="shared" si="6"/>
        <v>0.44234566949575127</v>
      </c>
      <c r="N33">
        <f t="shared" si="7"/>
        <v>2.3473246E-2</v>
      </c>
      <c r="O33">
        <f t="shared" si="8"/>
        <v>1.8021893475000002E-2</v>
      </c>
      <c r="P33">
        <f t="shared" si="9"/>
        <v>-2.4175657195533776E-2</v>
      </c>
      <c r="V33">
        <v>-3.1000000000000099</v>
      </c>
      <c r="W33">
        <f t="shared" si="10"/>
        <v>-0.34200799999999953</v>
      </c>
    </row>
    <row r="34" spans="1:23" x14ac:dyDescent="0.3">
      <c r="A34">
        <v>1.5952108</v>
      </c>
      <c r="B34">
        <v>0.75883</v>
      </c>
      <c r="C34">
        <f t="shared" si="0"/>
        <v>1.210493811364</v>
      </c>
      <c r="D34">
        <v>1.52E-2</v>
      </c>
      <c r="E34">
        <v>1.167E-2</v>
      </c>
      <c r="F34">
        <f t="shared" si="1"/>
        <v>319.04216000000002</v>
      </c>
      <c r="G34">
        <f t="shared" si="2"/>
        <v>-0.75883</v>
      </c>
      <c r="H34">
        <f t="shared" si="3"/>
        <v>-242.0987622728</v>
      </c>
      <c r="I34">
        <v>1</v>
      </c>
      <c r="J34">
        <f t="shared" si="4"/>
        <v>-1.1424320219206492</v>
      </c>
      <c r="K34">
        <f t="shared" si="5"/>
        <v>-0.46289515177521745</v>
      </c>
      <c r="L34">
        <v>1</v>
      </c>
      <c r="M34">
        <f t="shared" si="6"/>
        <v>0.44403644301749579</v>
      </c>
      <c r="N34">
        <f t="shared" si="7"/>
        <v>2.4247204160000001E-2</v>
      </c>
      <c r="O34">
        <f t="shared" si="8"/>
        <v>1.8616110036E-2</v>
      </c>
      <c r="P34">
        <f t="shared" si="9"/>
        <v>-2.4004605438278336E-2</v>
      </c>
      <c r="V34">
        <v>-3.0000000000000102</v>
      </c>
      <c r="W34">
        <f t="shared" si="10"/>
        <v>-0.34721999999999953</v>
      </c>
    </row>
    <row r="35" spans="1:23" x14ac:dyDescent="0.3">
      <c r="A35">
        <v>1.6456199</v>
      </c>
      <c r="B35">
        <v>0.75631000000000004</v>
      </c>
      <c r="C35">
        <f t="shared" si="0"/>
        <v>1.244598786569</v>
      </c>
      <c r="D35">
        <v>1.52E-2</v>
      </c>
      <c r="E35">
        <v>1.167E-2</v>
      </c>
      <c r="F35">
        <f t="shared" si="1"/>
        <v>329.12398000000002</v>
      </c>
      <c r="G35">
        <f t="shared" si="2"/>
        <v>-0.75631000000000004</v>
      </c>
      <c r="H35">
        <f t="shared" si="3"/>
        <v>-248.91975731380001</v>
      </c>
      <c r="I35">
        <v>1</v>
      </c>
      <c r="J35">
        <f t="shared" si="4"/>
        <v>-1.1113207602969375</v>
      </c>
      <c r="K35">
        <f t="shared" si="5"/>
        <v>-0.46541515177521742</v>
      </c>
      <c r="L35">
        <v>1</v>
      </c>
      <c r="M35">
        <f t="shared" si="6"/>
        <v>0.44565796197332364</v>
      </c>
      <c r="N35">
        <f t="shared" si="7"/>
        <v>2.5013422480000002E-2</v>
      </c>
      <c r="O35">
        <f t="shared" si="8"/>
        <v>1.9204384232999999E-2</v>
      </c>
      <c r="P35">
        <f t="shared" si="9"/>
        <v>-2.4460616911106219E-2</v>
      </c>
      <c r="V35">
        <v>-2.9000000000000101</v>
      </c>
      <c r="W35">
        <f t="shared" si="10"/>
        <v>-0.35243199999999952</v>
      </c>
    </row>
    <row r="36" spans="1:23" x14ac:dyDescent="0.3">
      <c r="A36">
        <v>1.6975566</v>
      </c>
      <c r="B36">
        <v>0.75327</v>
      </c>
      <c r="C36">
        <f t="shared" si="0"/>
        <v>1.2787184600820001</v>
      </c>
      <c r="D36">
        <v>1.52E-2</v>
      </c>
      <c r="E36">
        <v>1.167E-2</v>
      </c>
      <c r="F36">
        <f t="shared" si="1"/>
        <v>339.51132000000001</v>
      </c>
      <c r="G36">
        <f t="shared" si="2"/>
        <v>-0.75327</v>
      </c>
      <c r="H36">
        <f t="shared" si="3"/>
        <v>-255.74369201640002</v>
      </c>
      <c r="I36">
        <v>1</v>
      </c>
      <c r="J36">
        <f t="shared" si="4"/>
        <v>-1.0802479893875632</v>
      </c>
      <c r="K36">
        <f t="shared" si="5"/>
        <v>-0.46845515177521746</v>
      </c>
      <c r="L36">
        <v>1</v>
      </c>
      <c r="M36">
        <f t="shared" si="6"/>
        <v>0.44727747479312024</v>
      </c>
      <c r="N36">
        <f t="shared" si="7"/>
        <v>2.5802860319999999E-2</v>
      </c>
      <c r="O36">
        <f t="shared" si="8"/>
        <v>1.9810485521999998E-2</v>
      </c>
      <c r="P36">
        <f t="shared" si="9"/>
        <v>-2.4435668859902782E-2</v>
      </c>
      <c r="V36">
        <v>-2.80000000000001</v>
      </c>
      <c r="W36">
        <f t="shared" ref="W36:W67" si="12">V36*$S$5+$S$4</f>
        <v>-0.35764399999999952</v>
      </c>
    </row>
    <row r="37" spans="1:23" x14ac:dyDescent="0.3">
      <c r="A37">
        <v>1.7494932999999999</v>
      </c>
      <c r="B37">
        <v>0.75043000000000004</v>
      </c>
      <c r="C37">
        <f t="shared" si="0"/>
        <v>1.3128722571189999</v>
      </c>
      <c r="D37">
        <v>1.52E-2</v>
      </c>
      <c r="E37">
        <v>1.167E-2</v>
      </c>
      <c r="F37">
        <f t="shared" si="1"/>
        <v>349.89866000000001</v>
      </c>
      <c r="G37">
        <f t="shared" si="2"/>
        <v>-0.75043000000000004</v>
      </c>
      <c r="H37">
        <f t="shared" si="3"/>
        <v>-262.57445142379999</v>
      </c>
      <c r="I37">
        <v>1</v>
      </c>
      <c r="J37">
        <f t="shared" si="4"/>
        <v>-1.0501117092814465</v>
      </c>
      <c r="K37">
        <f t="shared" si="5"/>
        <v>-0.47129515177521741</v>
      </c>
      <c r="L37">
        <v>1</v>
      </c>
      <c r="M37">
        <f t="shared" si="6"/>
        <v>0.44884817771225105</v>
      </c>
      <c r="N37">
        <f t="shared" si="7"/>
        <v>2.659229816E-2</v>
      </c>
      <c r="O37">
        <f t="shared" si="8"/>
        <v>2.0416586811E-2</v>
      </c>
      <c r="P37">
        <f t="shared" si="9"/>
        <v>-2.4561910908033637E-2</v>
      </c>
      <c r="V37">
        <v>-2.7000000000000099</v>
      </c>
      <c r="W37">
        <f t="shared" si="12"/>
        <v>-0.36285599999999951</v>
      </c>
    </row>
    <row r="38" spans="1:23" x14ac:dyDescent="0.3">
      <c r="A38">
        <v>1.8039757000000001</v>
      </c>
      <c r="B38">
        <v>0.74773999999999996</v>
      </c>
      <c r="C38">
        <f t="shared" si="0"/>
        <v>1.348904789918</v>
      </c>
      <c r="D38">
        <v>1.52E-2</v>
      </c>
      <c r="E38">
        <v>1.167E-2</v>
      </c>
      <c r="F38">
        <f t="shared" si="1"/>
        <v>360.79514</v>
      </c>
      <c r="G38">
        <f t="shared" si="2"/>
        <v>-0.74773999999999996</v>
      </c>
      <c r="H38">
        <f t="shared" si="3"/>
        <v>-269.78095798359999</v>
      </c>
      <c r="I38">
        <v>1</v>
      </c>
      <c r="J38">
        <f t="shared" si="4"/>
        <v>-1.0194449609509095</v>
      </c>
      <c r="K38">
        <f t="shared" si="5"/>
        <v>-0.47398515177521749</v>
      </c>
      <c r="L38">
        <v>1</v>
      </c>
      <c r="M38">
        <f t="shared" si="6"/>
        <v>0.4504465286352386</v>
      </c>
      <c r="N38">
        <f t="shared" si="7"/>
        <v>2.742043064E-2</v>
      </c>
      <c r="O38">
        <f t="shared" si="8"/>
        <v>2.1052396418999999E-2</v>
      </c>
      <c r="P38">
        <f t="shared" si="9"/>
        <v>-2.4934203919021101E-2</v>
      </c>
      <c r="V38">
        <v>-2.6000000000000099</v>
      </c>
      <c r="W38">
        <f t="shared" si="12"/>
        <v>-0.36806799999999951</v>
      </c>
    </row>
    <row r="39" spans="1:23" x14ac:dyDescent="0.3">
      <c r="A39">
        <v>1.8564217999999999</v>
      </c>
      <c r="B39">
        <v>0.74500999999999995</v>
      </c>
      <c r="C39">
        <f t="shared" si="0"/>
        <v>1.3830528052179998</v>
      </c>
      <c r="D39">
        <v>1.52E-2</v>
      </c>
      <c r="E39">
        <v>1.167E-2</v>
      </c>
      <c r="F39">
        <f t="shared" si="1"/>
        <v>371.28435999999999</v>
      </c>
      <c r="G39">
        <f t="shared" si="2"/>
        <v>-0.74500999999999995</v>
      </c>
      <c r="H39">
        <f t="shared" si="3"/>
        <v>-276.61056104359994</v>
      </c>
      <c r="I39">
        <v>1</v>
      </c>
      <c r="J39">
        <f t="shared" si="4"/>
        <v>-0.9907870409593651</v>
      </c>
      <c r="K39">
        <f t="shared" si="5"/>
        <v>-0.4767151517752175</v>
      </c>
      <c r="L39">
        <v>1</v>
      </c>
      <c r="M39">
        <f t="shared" si="6"/>
        <v>0.45194017942519793</v>
      </c>
      <c r="N39">
        <f t="shared" si="7"/>
        <v>2.8217611359999999E-2</v>
      </c>
      <c r="O39">
        <f t="shared" si="8"/>
        <v>2.1664442406E-2</v>
      </c>
      <c r="P39">
        <f t="shared" si="9"/>
        <v>-2.5107081415980424E-2</v>
      </c>
      <c r="V39">
        <v>-2.5000000000000102</v>
      </c>
      <c r="W39">
        <f t="shared" si="12"/>
        <v>-0.3732799999999995</v>
      </c>
    </row>
    <row r="40" spans="1:23" x14ac:dyDescent="0.3">
      <c r="A40">
        <v>1.9098861</v>
      </c>
      <c r="B40">
        <v>0.74199000000000004</v>
      </c>
      <c r="C40">
        <f t="shared" si="0"/>
        <v>1.417116387339</v>
      </c>
      <c r="D40">
        <v>1.52E-2</v>
      </c>
      <c r="E40">
        <v>1.167E-2</v>
      </c>
      <c r="F40">
        <f t="shared" si="1"/>
        <v>381.97721999999999</v>
      </c>
      <c r="G40">
        <f t="shared" si="2"/>
        <v>-0.74199000000000004</v>
      </c>
      <c r="H40">
        <f t="shared" si="3"/>
        <v>-283.42327746780001</v>
      </c>
      <c r="I40">
        <v>1</v>
      </c>
      <c r="J40">
        <f t="shared" si="4"/>
        <v>-0.96239430566156359</v>
      </c>
      <c r="K40">
        <f t="shared" si="5"/>
        <v>-0.47973515177521742</v>
      </c>
      <c r="L40">
        <v>1</v>
      </c>
      <c r="M40">
        <f t="shared" si="6"/>
        <v>0.4534200087889193</v>
      </c>
      <c r="N40">
        <f t="shared" si="7"/>
        <v>2.9030268720000002E-2</v>
      </c>
      <c r="O40">
        <f t="shared" si="8"/>
        <v>2.2288370787000002E-2</v>
      </c>
      <c r="P40">
        <f t="shared" si="9"/>
        <v>-2.5003496520701891E-2</v>
      </c>
      <c r="V40">
        <v>-2.4000000000000101</v>
      </c>
      <c r="W40">
        <f t="shared" si="12"/>
        <v>-0.3784919999999995</v>
      </c>
    </row>
    <row r="41" spans="1:23" x14ac:dyDescent="0.3">
      <c r="A41">
        <v>1.9602952</v>
      </c>
      <c r="B41">
        <v>0.73917999999999995</v>
      </c>
      <c r="C41">
        <f t="shared" si="0"/>
        <v>1.449011005936</v>
      </c>
      <c r="D41">
        <v>1.52E-2</v>
      </c>
      <c r="E41">
        <v>1.167E-2</v>
      </c>
      <c r="F41">
        <f t="shared" si="1"/>
        <v>392.05903999999998</v>
      </c>
      <c r="G41">
        <f t="shared" si="2"/>
        <v>-0.73917999999999995</v>
      </c>
      <c r="H41">
        <f t="shared" si="3"/>
        <v>-289.80220118720001</v>
      </c>
      <c r="I41">
        <v>1</v>
      </c>
      <c r="J41">
        <f t="shared" si="4"/>
        <v>-0.93634283828766207</v>
      </c>
      <c r="K41">
        <f t="shared" si="5"/>
        <v>-0.48254515177521751</v>
      </c>
      <c r="L41">
        <v>1</v>
      </c>
      <c r="M41">
        <f t="shared" si="6"/>
        <v>0.45477781126844707</v>
      </c>
      <c r="N41">
        <f t="shared" si="7"/>
        <v>2.979648704E-2</v>
      </c>
      <c r="O41">
        <f t="shared" si="8"/>
        <v>2.2876644984000001E-2</v>
      </c>
      <c r="P41">
        <f t="shared" si="9"/>
        <v>-2.4905791517229568E-2</v>
      </c>
      <c r="V41">
        <v>-2.30000000000001</v>
      </c>
      <c r="W41">
        <f t="shared" si="12"/>
        <v>-0.38370399999999949</v>
      </c>
    </row>
    <row r="42" spans="1:23" x14ac:dyDescent="0.3">
      <c r="A42">
        <v>2.0122317999999999</v>
      </c>
      <c r="B42">
        <v>0.73653000000000002</v>
      </c>
      <c r="C42">
        <f t="shared" si="0"/>
        <v>1.4820690876539999</v>
      </c>
      <c r="D42">
        <v>1.52E-2</v>
      </c>
      <c r="E42">
        <v>1.167E-2</v>
      </c>
      <c r="F42">
        <f t="shared" si="1"/>
        <v>402.44635999999997</v>
      </c>
      <c r="G42">
        <f t="shared" si="2"/>
        <v>-0.73653000000000002</v>
      </c>
      <c r="H42">
        <f t="shared" si="3"/>
        <v>-296.41381753079997</v>
      </c>
      <c r="I42">
        <v>1</v>
      </c>
      <c r="J42">
        <f t="shared" si="4"/>
        <v>-0.91019345808511087</v>
      </c>
      <c r="K42">
        <f t="shared" si="5"/>
        <v>-0.48519515177521744</v>
      </c>
      <c r="L42">
        <v>1</v>
      </c>
      <c r="M42">
        <f t="shared" si="6"/>
        <v>0.45614071696460406</v>
      </c>
      <c r="N42">
        <f t="shared" si="7"/>
        <v>3.058592336E-2</v>
      </c>
      <c r="O42">
        <f t="shared" si="8"/>
        <v>2.3482745106E-2</v>
      </c>
      <c r="P42">
        <f t="shared" si="9"/>
        <v>-2.5014233655386627E-2</v>
      </c>
      <c r="V42">
        <v>-2.2000000000000099</v>
      </c>
      <c r="W42">
        <f t="shared" si="12"/>
        <v>-0.38891599999999948</v>
      </c>
    </row>
    <row r="43" spans="1:23" x14ac:dyDescent="0.3">
      <c r="A43">
        <v>2.0636594000000001</v>
      </c>
      <c r="B43">
        <v>0.73407</v>
      </c>
      <c r="C43">
        <f t="shared" si="0"/>
        <v>1.5148704557580002</v>
      </c>
      <c r="D43">
        <v>1.52E-2</v>
      </c>
      <c r="E43">
        <v>1.167E-2</v>
      </c>
      <c r="F43">
        <f t="shared" si="1"/>
        <v>412.73188000000005</v>
      </c>
      <c r="G43">
        <f t="shared" si="2"/>
        <v>-0.73407</v>
      </c>
      <c r="H43">
        <f t="shared" si="3"/>
        <v>-302.97409115160002</v>
      </c>
      <c r="I43">
        <v>1</v>
      </c>
      <c r="J43">
        <f t="shared" si="4"/>
        <v>-0.88495709781182486</v>
      </c>
      <c r="K43">
        <f t="shared" si="5"/>
        <v>-0.48765515177521745</v>
      </c>
      <c r="L43">
        <v>1</v>
      </c>
      <c r="M43">
        <f t="shared" si="6"/>
        <v>0.45745603606204771</v>
      </c>
      <c r="N43">
        <f t="shared" si="7"/>
        <v>3.1367622880000001E-2</v>
      </c>
      <c r="O43">
        <f t="shared" si="8"/>
        <v>2.4082905198E-2</v>
      </c>
      <c r="P43">
        <f t="shared" si="9"/>
        <v>-2.5251412364830257E-2</v>
      </c>
      <c r="V43">
        <v>-2.1000000000000099</v>
      </c>
      <c r="W43">
        <f t="shared" si="12"/>
        <v>-0.39412799999999953</v>
      </c>
    </row>
    <row r="44" spans="1:23" x14ac:dyDescent="0.3">
      <c r="A44">
        <v>2.1140686</v>
      </c>
      <c r="B44">
        <v>0.73128000000000004</v>
      </c>
      <c r="C44">
        <f t="shared" si="0"/>
        <v>1.5459760858080001</v>
      </c>
      <c r="D44">
        <v>1.52E-2</v>
      </c>
      <c r="E44">
        <v>1.167E-2</v>
      </c>
      <c r="F44">
        <f t="shared" si="1"/>
        <v>422.81371999999999</v>
      </c>
      <c r="G44">
        <f t="shared" si="2"/>
        <v>-0.73128000000000004</v>
      </c>
      <c r="H44">
        <f t="shared" si="3"/>
        <v>-309.1952171616</v>
      </c>
      <c r="I44">
        <v>1</v>
      </c>
      <c r="J44">
        <f t="shared" si="4"/>
        <v>-0.86082357518142927</v>
      </c>
      <c r="K44">
        <f t="shared" si="5"/>
        <v>-0.49044515177521741</v>
      </c>
      <c r="L44">
        <v>1</v>
      </c>
      <c r="M44">
        <f t="shared" si="6"/>
        <v>0.45871387526154395</v>
      </c>
      <c r="N44">
        <f t="shared" si="7"/>
        <v>3.213384272E-2</v>
      </c>
      <c r="O44">
        <f t="shared" si="8"/>
        <v>2.4671180562E-2</v>
      </c>
      <c r="P44">
        <f t="shared" si="9"/>
        <v>-2.5073746768326532E-2</v>
      </c>
      <c r="V44">
        <v>-2.0000000000000102</v>
      </c>
      <c r="W44">
        <f t="shared" si="12"/>
        <v>-0.39933999999999947</v>
      </c>
    </row>
    <row r="45" spans="1:23" x14ac:dyDescent="0.3">
      <c r="A45">
        <v>2.1644777999999998</v>
      </c>
      <c r="B45">
        <v>0.72867999999999999</v>
      </c>
      <c r="C45">
        <f t="shared" si="0"/>
        <v>1.5772116833039997</v>
      </c>
      <c r="D45">
        <v>1.52E-2</v>
      </c>
      <c r="E45">
        <v>1.167E-2</v>
      </c>
      <c r="F45">
        <f t="shared" si="1"/>
        <v>432.89555999999993</v>
      </c>
      <c r="G45">
        <f t="shared" si="2"/>
        <v>-0.72867999999999999</v>
      </c>
      <c r="H45">
        <f t="shared" si="3"/>
        <v>-315.44233666079992</v>
      </c>
      <c r="I45">
        <v>1</v>
      </c>
      <c r="J45">
        <f t="shared" si="4"/>
        <v>-0.83725878099705597</v>
      </c>
      <c r="K45">
        <f t="shared" si="5"/>
        <v>-0.49304515177521746</v>
      </c>
      <c r="L45">
        <v>1</v>
      </c>
      <c r="M45">
        <f t="shared" si="6"/>
        <v>0.45994207233443346</v>
      </c>
      <c r="N45">
        <f t="shared" si="7"/>
        <v>3.2900062559999999E-2</v>
      </c>
      <c r="O45">
        <f t="shared" si="8"/>
        <v>2.5259455925999996E-2</v>
      </c>
      <c r="P45">
        <f t="shared" si="9"/>
        <v>-2.5056439045215994E-2</v>
      </c>
      <c r="V45">
        <v>-1.9000000000000099</v>
      </c>
      <c r="W45">
        <f t="shared" si="12"/>
        <v>-0.40455199999999952</v>
      </c>
    </row>
    <row r="46" spans="1:23" x14ac:dyDescent="0.3">
      <c r="A46">
        <v>2.2184512000000001</v>
      </c>
      <c r="B46">
        <v>0.72618000000000005</v>
      </c>
      <c r="C46">
        <f t="shared" si="0"/>
        <v>1.6109948924160002</v>
      </c>
      <c r="D46">
        <v>1.52E-2</v>
      </c>
      <c r="E46">
        <v>1.167E-2</v>
      </c>
      <c r="F46">
        <f t="shared" si="1"/>
        <v>443.69024000000002</v>
      </c>
      <c r="G46">
        <f t="shared" si="2"/>
        <v>-0.72618000000000005</v>
      </c>
      <c r="H46">
        <f t="shared" si="3"/>
        <v>-322.19897848320005</v>
      </c>
      <c r="I46">
        <v>1</v>
      </c>
      <c r="J46">
        <f t="shared" si="4"/>
        <v>-0.81262861768392225</v>
      </c>
      <c r="K46">
        <f t="shared" si="5"/>
        <v>-0.49554515177521741</v>
      </c>
      <c r="L46">
        <v>1</v>
      </c>
      <c r="M46">
        <f t="shared" si="6"/>
        <v>0.46122579644631401</v>
      </c>
      <c r="N46">
        <f t="shared" si="7"/>
        <v>3.3720458240000001E-2</v>
      </c>
      <c r="O46">
        <f t="shared" si="8"/>
        <v>2.5889325503999999E-2</v>
      </c>
      <c r="P46">
        <f t="shared" si="9"/>
        <v>-2.52904284150966E-2</v>
      </c>
      <c r="V46">
        <v>-1.80000000000001</v>
      </c>
      <c r="W46">
        <f t="shared" si="12"/>
        <v>-0.40976399999999952</v>
      </c>
    </row>
    <row r="47" spans="1:23" x14ac:dyDescent="0.3">
      <c r="A47">
        <v>2.2693694</v>
      </c>
      <c r="B47">
        <v>0.72345000000000004</v>
      </c>
      <c r="C47">
        <f t="shared" si="0"/>
        <v>1.64177529243</v>
      </c>
      <c r="D47">
        <v>1.52E-2</v>
      </c>
      <c r="E47">
        <v>1.167E-2</v>
      </c>
      <c r="F47">
        <f t="shared" si="1"/>
        <v>453.87387999999999</v>
      </c>
      <c r="G47">
        <f t="shared" si="2"/>
        <v>-0.72345000000000004</v>
      </c>
      <c r="H47">
        <f t="shared" si="3"/>
        <v>-328.35505848600002</v>
      </c>
      <c r="I47">
        <v>1</v>
      </c>
      <c r="J47">
        <f t="shared" si="4"/>
        <v>-0.78993591689045051</v>
      </c>
      <c r="K47">
        <f t="shared" si="5"/>
        <v>-0.49827515177521742</v>
      </c>
      <c r="L47">
        <v>1</v>
      </c>
      <c r="M47">
        <f t="shared" si="6"/>
        <v>0.46240854001166976</v>
      </c>
      <c r="N47">
        <f t="shared" si="7"/>
        <v>3.4494414879999998E-2</v>
      </c>
      <c r="O47">
        <f t="shared" si="8"/>
        <v>2.6483540898000001E-2</v>
      </c>
      <c r="P47">
        <f t="shared" si="9"/>
        <v>-2.5111344014452336E-2</v>
      </c>
      <c r="V47">
        <v>-1.7000000000000199</v>
      </c>
      <c r="W47">
        <f t="shared" si="12"/>
        <v>-0.41497599999999901</v>
      </c>
    </row>
    <row r="48" spans="1:23" x14ac:dyDescent="0.3">
      <c r="A48">
        <v>2.3197787999999999</v>
      </c>
      <c r="B48">
        <v>0.72102999999999995</v>
      </c>
      <c r="C48">
        <f t="shared" si="0"/>
        <v>1.6726301081639998</v>
      </c>
      <c r="D48">
        <v>1.52E-2</v>
      </c>
      <c r="E48">
        <v>1.167E-2</v>
      </c>
      <c r="F48">
        <f t="shared" si="1"/>
        <v>463.95576</v>
      </c>
      <c r="G48">
        <f t="shared" si="2"/>
        <v>-0.72102999999999995</v>
      </c>
      <c r="H48">
        <f t="shared" si="3"/>
        <v>-334.52602163279994</v>
      </c>
      <c r="I48">
        <v>1</v>
      </c>
      <c r="J48">
        <f t="shared" si="4"/>
        <v>-0.76796607612907497</v>
      </c>
      <c r="K48">
        <f t="shared" si="5"/>
        <v>-0.50069515177521751</v>
      </c>
      <c r="L48">
        <v>1</v>
      </c>
      <c r="M48">
        <f t="shared" si="6"/>
        <v>0.46355360811215263</v>
      </c>
      <c r="N48">
        <f t="shared" si="7"/>
        <v>3.5260637759999998E-2</v>
      </c>
      <c r="O48">
        <f t="shared" si="8"/>
        <v>2.7071818596E-2</v>
      </c>
      <c r="P48">
        <f t="shared" si="9"/>
        <v>-2.5190912692935118E-2</v>
      </c>
      <c r="V48">
        <v>-1.6000000000000201</v>
      </c>
      <c r="W48">
        <f t="shared" si="12"/>
        <v>-0.42018799999999901</v>
      </c>
    </row>
    <row r="49" spans="1:23" x14ac:dyDescent="0.3">
      <c r="A49">
        <v>2.3706969999999998</v>
      </c>
      <c r="B49">
        <v>0.71862000000000004</v>
      </c>
      <c r="C49">
        <f t="shared" si="0"/>
        <v>1.7036302781399999</v>
      </c>
      <c r="D49">
        <v>1.52E-2</v>
      </c>
      <c r="E49">
        <v>1.167E-2</v>
      </c>
      <c r="F49">
        <f t="shared" si="1"/>
        <v>474.13939999999997</v>
      </c>
      <c r="G49">
        <f t="shared" si="2"/>
        <v>-0.71862000000000004</v>
      </c>
      <c r="H49">
        <f t="shared" si="3"/>
        <v>-340.72605562799998</v>
      </c>
      <c r="I49">
        <v>1</v>
      </c>
      <c r="J49">
        <f t="shared" si="4"/>
        <v>-0.74625390769687494</v>
      </c>
      <c r="K49">
        <f t="shared" si="5"/>
        <v>-0.50310515177521742</v>
      </c>
      <c r="L49">
        <v>1</v>
      </c>
      <c r="M49">
        <f t="shared" si="6"/>
        <v>0.46468524633083891</v>
      </c>
      <c r="N49">
        <f t="shared" si="7"/>
        <v>3.6034594399999995E-2</v>
      </c>
      <c r="O49">
        <f t="shared" si="8"/>
        <v>2.7666033989999998E-2</v>
      </c>
      <c r="P49">
        <f t="shared" si="9"/>
        <v>-2.5280722945621482E-2</v>
      </c>
      <c r="V49">
        <v>-1.50000000000002</v>
      </c>
      <c r="W49">
        <f t="shared" si="12"/>
        <v>-0.425399999999999</v>
      </c>
    </row>
    <row r="50" spans="1:23" x14ac:dyDescent="0.3">
      <c r="A50">
        <v>2.4216152000000002</v>
      </c>
      <c r="B50">
        <v>0.71606000000000003</v>
      </c>
      <c r="C50">
        <f t="shared" si="0"/>
        <v>1.7340217801120001</v>
      </c>
      <c r="D50">
        <v>1.52E-2</v>
      </c>
      <c r="E50">
        <v>1.167E-2</v>
      </c>
      <c r="F50">
        <f t="shared" si="1"/>
        <v>484.32304000000005</v>
      </c>
      <c r="G50">
        <f t="shared" si="2"/>
        <v>-0.71606000000000003</v>
      </c>
      <c r="H50">
        <f t="shared" si="3"/>
        <v>-346.80435602240004</v>
      </c>
      <c r="I50">
        <v>1</v>
      </c>
      <c r="J50">
        <f t="shared" si="4"/>
        <v>-0.72500315688667027</v>
      </c>
      <c r="K50">
        <f t="shared" si="5"/>
        <v>-0.50566515177521743</v>
      </c>
      <c r="L50">
        <v>1</v>
      </c>
      <c r="M50">
        <f t="shared" si="6"/>
        <v>0.46579283546306677</v>
      </c>
      <c r="N50">
        <f t="shared" si="7"/>
        <v>3.6808551040000005E-2</v>
      </c>
      <c r="O50">
        <f t="shared" si="8"/>
        <v>2.8260249384000003E-2</v>
      </c>
      <c r="P50">
        <f t="shared" si="9"/>
        <v>-2.5196484111849351E-2</v>
      </c>
      <c r="V50">
        <v>-1.4000000000000199</v>
      </c>
      <c r="W50">
        <f t="shared" si="12"/>
        <v>-0.430611999999999</v>
      </c>
    </row>
    <row r="51" spans="1:23" x14ac:dyDescent="0.3">
      <c r="A51">
        <v>2.4730427000000001</v>
      </c>
      <c r="B51">
        <v>0.71343000000000001</v>
      </c>
      <c r="C51">
        <f t="shared" si="0"/>
        <v>1.7643428534610002</v>
      </c>
      <c r="D51">
        <v>1.52E-2</v>
      </c>
      <c r="E51">
        <v>1.167E-2</v>
      </c>
      <c r="F51">
        <f t="shared" si="1"/>
        <v>494.60854</v>
      </c>
      <c r="G51">
        <f t="shared" si="2"/>
        <v>-0.71343000000000001</v>
      </c>
      <c r="H51">
        <f t="shared" si="3"/>
        <v>-352.86857069220002</v>
      </c>
      <c r="I51">
        <v>1</v>
      </c>
      <c r="J51">
        <f t="shared" si="4"/>
        <v>-0.70398865756592321</v>
      </c>
      <c r="K51">
        <f t="shared" si="5"/>
        <v>-0.50829515177521745</v>
      </c>
      <c r="L51">
        <v>1</v>
      </c>
      <c r="M51">
        <f t="shared" si="6"/>
        <v>0.4668881111676641</v>
      </c>
      <c r="N51">
        <f t="shared" si="7"/>
        <v>3.7590249040000003E-2</v>
      </c>
      <c r="O51">
        <f t="shared" si="8"/>
        <v>2.8860408309E-2</v>
      </c>
      <c r="P51">
        <f t="shared" si="9"/>
        <v>-2.5043616741446655E-2</v>
      </c>
      <c r="V51">
        <v>-1.30000000000002</v>
      </c>
      <c r="W51">
        <f t="shared" si="12"/>
        <v>-0.43582399999999899</v>
      </c>
    </row>
    <row r="52" spans="1:23" x14ac:dyDescent="0.3">
      <c r="A52">
        <v>2.5244702000000001</v>
      </c>
      <c r="B52">
        <v>0.71109999999999995</v>
      </c>
      <c r="C52">
        <f t="shared" si="0"/>
        <v>1.79515075922</v>
      </c>
      <c r="D52">
        <v>1.52E-2</v>
      </c>
      <c r="E52">
        <v>1.167E-2</v>
      </c>
      <c r="F52">
        <f t="shared" si="1"/>
        <v>504.89404000000002</v>
      </c>
      <c r="G52">
        <f t="shared" si="2"/>
        <v>-0.71109999999999995</v>
      </c>
      <c r="H52">
        <f t="shared" si="3"/>
        <v>-359.03015184399999</v>
      </c>
      <c r="I52">
        <v>1</v>
      </c>
      <c r="J52">
        <f t="shared" si="4"/>
        <v>-0.68340669350462513</v>
      </c>
      <c r="K52">
        <f t="shared" si="5"/>
        <v>-0.5106251517752175</v>
      </c>
      <c r="L52">
        <v>1</v>
      </c>
      <c r="M52">
        <f t="shared" si="6"/>
        <v>0.46796084313453895</v>
      </c>
      <c r="N52">
        <f t="shared" si="7"/>
        <v>3.837194704E-2</v>
      </c>
      <c r="O52">
        <f t="shared" si="8"/>
        <v>2.9460567234E-2</v>
      </c>
      <c r="P52">
        <f t="shared" si="9"/>
        <v>-2.516820563332145E-2</v>
      </c>
      <c r="V52">
        <v>-1.2000000000000199</v>
      </c>
      <c r="W52">
        <f t="shared" si="12"/>
        <v>-0.44103599999999898</v>
      </c>
    </row>
    <row r="53" spans="1:23" x14ac:dyDescent="0.3">
      <c r="A53">
        <v>2.5748793999999999</v>
      </c>
      <c r="B53">
        <v>0.70862000000000003</v>
      </c>
      <c r="C53">
        <f t="shared" si="0"/>
        <v>1.824611040428</v>
      </c>
      <c r="D53">
        <v>1.52E-2</v>
      </c>
      <c r="E53">
        <v>1.167E-2</v>
      </c>
      <c r="F53">
        <f t="shared" si="1"/>
        <v>514.97587999999996</v>
      </c>
      <c r="G53">
        <f t="shared" si="2"/>
        <v>-0.70862000000000003</v>
      </c>
      <c r="H53">
        <f t="shared" si="3"/>
        <v>-364.9222080856</v>
      </c>
      <c r="I53">
        <v>1</v>
      </c>
      <c r="J53">
        <f t="shared" si="4"/>
        <v>-0.66363521436664796</v>
      </c>
      <c r="K53">
        <f t="shared" si="5"/>
        <v>-0.51310515177521743</v>
      </c>
      <c r="L53">
        <v>1</v>
      </c>
      <c r="M53">
        <f t="shared" si="6"/>
        <v>0.46899133262721032</v>
      </c>
      <c r="N53">
        <f t="shared" si="7"/>
        <v>3.9138166879999998E-2</v>
      </c>
      <c r="O53">
        <f t="shared" si="8"/>
        <v>3.0048842597999999E-2</v>
      </c>
      <c r="P53">
        <f t="shared" si="9"/>
        <v>-2.5073190329992893E-2</v>
      </c>
      <c r="V53">
        <v>-1.1000000000000201</v>
      </c>
      <c r="W53">
        <f t="shared" si="12"/>
        <v>-0.44624799999999898</v>
      </c>
    </row>
    <row r="54" spans="1:23" x14ac:dyDescent="0.3">
      <c r="A54">
        <v>2.6257978999999998</v>
      </c>
      <c r="B54">
        <v>0.70638000000000001</v>
      </c>
      <c r="C54">
        <f t="shared" si="0"/>
        <v>1.8548111206019999</v>
      </c>
      <c r="D54">
        <v>1.52E-2</v>
      </c>
      <c r="E54">
        <v>1.167E-2</v>
      </c>
      <c r="F54">
        <f t="shared" si="1"/>
        <v>525.15958000000001</v>
      </c>
      <c r="G54">
        <f t="shared" si="2"/>
        <v>-0.70638000000000001</v>
      </c>
      <c r="H54">
        <f t="shared" si="3"/>
        <v>-370.96222412039998</v>
      </c>
      <c r="I54">
        <v>1</v>
      </c>
      <c r="J54">
        <f t="shared" si="4"/>
        <v>-0.64405310067281207</v>
      </c>
      <c r="K54">
        <f t="shared" si="5"/>
        <v>-0.51534515177521745</v>
      </c>
      <c r="L54">
        <v>1</v>
      </c>
      <c r="M54">
        <f t="shared" si="6"/>
        <v>0.47001195239293309</v>
      </c>
      <c r="N54">
        <f t="shared" si="7"/>
        <v>3.9912128079999998E-2</v>
      </c>
      <c r="O54">
        <f t="shared" si="8"/>
        <v>3.0643061492999998E-2</v>
      </c>
      <c r="P54">
        <f t="shared" si="9"/>
        <v>-2.5221990190715634E-2</v>
      </c>
      <c r="V54">
        <v>-1.00000000000002</v>
      </c>
      <c r="W54">
        <f t="shared" si="12"/>
        <v>-0.45145999999999897</v>
      </c>
    </row>
    <row r="55" spans="1:23" x14ac:dyDescent="0.3">
      <c r="A55">
        <v>2.6767161000000002</v>
      </c>
      <c r="B55">
        <v>0.70350000000000001</v>
      </c>
      <c r="C55">
        <f t="shared" si="0"/>
        <v>1.8830697763500002</v>
      </c>
      <c r="D55">
        <v>1.52E-2</v>
      </c>
      <c r="E55">
        <v>1.167E-2</v>
      </c>
      <c r="F55">
        <f t="shared" si="1"/>
        <v>535.34321999999997</v>
      </c>
      <c r="G55">
        <f t="shared" si="2"/>
        <v>-0.70350000000000001</v>
      </c>
      <c r="H55">
        <f t="shared" si="3"/>
        <v>-376.61395527000002</v>
      </c>
      <c r="I55">
        <v>1</v>
      </c>
      <c r="J55">
        <f t="shared" si="4"/>
        <v>-0.62484720506999103</v>
      </c>
      <c r="K55">
        <f t="shared" si="5"/>
        <v>-0.51822515177521744</v>
      </c>
      <c r="L55">
        <v>1</v>
      </c>
      <c r="M55">
        <f t="shared" si="6"/>
        <v>0.47101296367175211</v>
      </c>
      <c r="N55">
        <f t="shared" si="7"/>
        <v>4.0686084720000001E-2</v>
      </c>
      <c r="O55">
        <f t="shared" si="8"/>
        <v>3.1237276887000003E-2</v>
      </c>
      <c r="P55">
        <f t="shared" si="9"/>
        <v>-2.4711173503534668E-2</v>
      </c>
      <c r="V55">
        <v>-0.90000000000002001</v>
      </c>
      <c r="W55">
        <f t="shared" si="12"/>
        <v>-0.45667199999999897</v>
      </c>
    </row>
    <row r="56" spans="1:23" x14ac:dyDescent="0.3">
      <c r="A56">
        <v>2.727125</v>
      </c>
      <c r="B56">
        <v>0.70128000000000001</v>
      </c>
      <c r="C56">
        <f t="shared" si="0"/>
        <v>1.9124782200000001</v>
      </c>
      <c r="D56">
        <v>1.52E-2</v>
      </c>
      <c r="E56">
        <v>1.167E-2</v>
      </c>
      <c r="F56">
        <f t="shared" si="1"/>
        <v>545.42499999999995</v>
      </c>
      <c r="G56">
        <f t="shared" si="2"/>
        <v>-0.70128000000000001</v>
      </c>
      <c r="H56">
        <f t="shared" si="3"/>
        <v>-382.49564400000003</v>
      </c>
      <c r="I56">
        <v>1</v>
      </c>
      <c r="J56">
        <f t="shared" si="4"/>
        <v>-0.6061899717040492</v>
      </c>
      <c r="K56">
        <f t="shared" si="5"/>
        <v>-0.52044515177521744</v>
      </c>
      <c r="L56">
        <v>1</v>
      </c>
      <c r="M56">
        <f t="shared" si="6"/>
        <v>0.47198537867478496</v>
      </c>
      <c r="N56">
        <f t="shared" si="7"/>
        <v>4.1452299999999997E-2</v>
      </c>
      <c r="O56">
        <f t="shared" si="8"/>
        <v>3.1825548750000002E-2</v>
      </c>
      <c r="P56">
        <f t="shared" si="9"/>
        <v>-2.481807564956752E-2</v>
      </c>
      <c r="V56">
        <v>-0.80000000000002003</v>
      </c>
      <c r="W56">
        <f t="shared" si="12"/>
        <v>-0.46188399999999896</v>
      </c>
    </row>
    <row r="57" spans="1:23" x14ac:dyDescent="0.3">
      <c r="A57">
        <v>2.7816076999999999</v>
      </c>
      <c r="B57">
        <v>0.69869000000000003</v>
      </c>
      <c r="C57">
        <f t="shared" si="0"/>
        <v>1.9434814839130001</v>
      </c>
      <c r="D57">
        <v>1.52E-2</v>
      </c>
      <c r="E57">
        <v>1.167E-2</v>
      </c>
      <c r="F57">
        <f t="shared" si="1"/>
        <v>556.32154000000003</v>
      </c>
      <c r="G57">
        <f t="shared" si="2"/>
        <v>-0.69869000000000003</v>
      </c>
      <c r="H57">
        <f t="shared" si="3"/>
        <v>-388.69629678260003</v>
      </c>
      <c r="I57">
        <v>1</v>
      </c>
      <c r="J57">
        <f t="shared" si="4"/>
        <v>-0.586408842535448</v>
      </c>
      <c r="K57">
        <f t="shared" si="5"/>
        <v>-0.52303515177521742</v>
      </c>
      <c r="L57">
        <v>1</v>
      </c>
      <c r="M57">
        <f t="shared" si="6"/>
        <v>0.47301637112705247</v>
      </c>
      <c r="N57">
        <f t="shared" si="7"/>
        <v>4.228043704E-2</v>
      </c>
      <c r="O57">
        <f t="shared" si="8"/>
        <v>3.2461361858999997E-2</v>
      </c>
      <c r="P57">
        <f t="shared" si="9"/>
        <v>-2.4723018250835047E-2</v>
      </c>
      <c r="V57">
        <v>-0.70000000000002005</v>
      </c>
      <c r="W57">
        <f t="shared" si="12"/>
        <v>-0.46709599999999896</v>
      </c>
    </row>
    <row r="58" spans="1:23" x14ac:dyDescent="0.3">
      <c r="A58">
        <v>2.8325260999999999</v>
      </c>
      <c r="B58">
        <v>0.69618999999999998</v>
      </c>
      <c r="C58">
        <f t="shared" si="0"/>
        <v>1.9719763455589998</v>
      </c>
      <c r="D58">
        <v>1.52E-2</v>
      </c>
      <c r="E58">
        <v>1.167E-2</v>
      </c>
      <c r="F58">
        <f t="shared" si="1"/>
        <v>566.50522000000001</v>
      </c>
      <c r="G58">
        <f t="shared" si="2"/>
        <v>-0.69618999999999998</v>
      </c>
      <c r="H58">
        <f t="shared" si="3"/>
        <v>-394.39526911179996</v>
      </c>
      <c r="I58">
        <v>1</v>
      </c>
      <c r="J58">
        <f t="shared" si="4"/>
        <v>-0.56826898408168347</v>
      </c>
      <c r="K58">
        <f t="shared" si="5"/>
        <v>-0.52553515177521748</v>
      </c>
      <c r="L58">
        <v>1</v>
      </c>
      <c r="M58">
        <f t="shared" si="6"/>
        <v>0.47396182054966268</v>
      </c>
      <c r="N58">
        <f t="shared" si="7"/>
        <v>4.3054396719999999E-2</v>
      </c>
      <c r="O58">
        <f t="shared" si="8"/>
        <v>3.3055579586999999E-2</v>
      </c>
      <c r="P58">
        <f t="shared" si="9"/>
        <v>-2.4536645081445201E-2</v>
      </c>
      <c r="V58">
        <v>-0.60000000000001996</v>
      </c>
      <c r="W58">
        <f t="shared" si="12"/>
        <v>-0.47230799999999901</v>
      </c>
    </row>
    <row r="59" spans="1:23" x14ac:dyDescent="0.3">
      <c r="A59">
        <v>2.8844628999999999</v>
      </c>
      <c r="B59">
        <v>0.69384000000000001</v>
      </c>
      <c r="C59">
        <f t="shared" si="0"/>
        <v>2.0013557385360001</v>
      </c>
      <c r="D59">
        <v>1.52E-2</v>
      </c>
      <c r="E59">
        <v>1.167E-2</v>
      </c>
      <c r="F59">
        <f t="shared" si="1"/>
        <v>576.89257999999995</v>
      </c>
      <c r="G59">
        <f t="shared" si="2"/>
        <v>-0.69384000000000001</v>
      </c>
      <c r="H59">
        <f t="shared" si="3"/>
        <v>-400.27114770720004</v>
      </c>
      <c r="I59">
        <v>1</v>
      </c>
      <c r="J59">
        <f t="shared" si="4"/>
        <v>-0.55009919964981491</v>
      </c>
      <c r="K59">
        <f t="shared" si="5"/>
        <v>-0.52788515177521744</v>
      </c>
      <c r="L59">
        <v>1</v>
      </c>
      <c r="M59">
        <f t="shared" si="6"/>
        <v>0.47490882971425169</v>
      </c>
      <c r="N59">
        <f t="shared" si="7"/>
        <v>4.3843836079999997E-2</v>
      </c>
      <c r="O59">
        <f t="shared" si="8"/>
        <v>3.3661682042999998E-2</v>
      </c>
      <c r="P59">
        <f t="shared" si="9"/>
        <v>-2.4529196062034242E-2</v>
      </c>
      <c r="V59">
        <v>-0.50000000000001998</v>
      </c>
      <c r="W59">
        <f t="shared" si="12"/>
        <v>-0.477519999999999</v>
      </c>
    </row>
    <row r="60" spans="1:23" x14ac:dyDescent="0.3">
      <c r="A60">
        <v>2.9379270000000002</v>
      </c>
      <c r="B60">
        <v>0.69140999999999997</v>
      </c>
      <c r="C60">
        <f t="shared" si="0"/>
        <v>2.0313121070700002</v>
      </c>
      <c r="D60">
        <v>1.52E-2</v>
      </c>
      <c r="E60">
        <v>1.167E-2</v>
      </c>
      <c r="F60">
        <f t="shared" si="1"/>
        <v>587.58540000000005</v>
      </c>
      <c r="G60">
        <f t="shared" si="2"/>
        <v>-0.69140999999999997</v>
      </c>
      <c r="H60">
        <f t="shared" si="3"/>
        <v>-406.26242141400002</v>
      </c>
      <c r="I60">
        <v>1</v>
      </c>
      <c r="J60">
        <f t="shared" si="4"/>
        <v>-0.53173368182568381</v>
      </c>
      <c r="K60">
        <f t="shared" si="5"/>
        <v>-0.53031515177521749</v>
      </c>
      <c r="L60">
        <v>1</v>
      </c>
      <c r="M60">
        <f t="shared" si="6"/>
        <v>0.47586604050324538</v>
      </c>
      <c r="N60">
        <f t="shared" si="7"/>
        <v>4.4656490400000005E-2</v>
      </c>
      <c r="O60">
        <f t="shared" si="8"/>
        <v>3.4285608090000003E-2</v>
      </c>
      <c r="P60">
        <f t="shared" si="9"/>
        <v>-2.4492987218027902E-2</v>
      </c>
      <c r="V60">
        <v>-0.40000000000002001</v>
      </c>
      <c r="W60">
        <f t="shared" si="12"/>
        <v>-0.482731999999999</v>
      </c>
    </row>
    <row r="61" spans="1:23" x14ac:dyDescent="0.3">
      <c r="A61">
        <v>2.9903727999999998</v>
      </c>
      <c r="B61">
        <v>0.68845000000000001</v>
      </c>
      <c r="C61">
        <f t="shared" si="0"/>
        <v>2.0587221541599998</v>
      </c>
      <c r="D61">
        <v>1.52E-2</v>
      </c>
      <c r="E61">
        <v>1.167E-2</v>
      </c>
      <c r="F61">
        <f t="shared" si="1"/>
        <v>598.07456000000002</v>
      </c>
      <c r="G61">
        <f t="shared" si="2"/>
        <v>-0.68845000000000001</v>
      </c>
      <c r="H61">
        <f t="shared" si="3"/>
        <v>-411.74443083199998</v>
      </c>
      <c r="I61">
        <v>1</v>
      </c>
      <c r="J61">
        <f t="shared" si="4"/>
        <v>-0.51403985052944645</v>
      </c>
      <c r="K61">
        <f t="shared" si="5"/>
        <v>-0.53327515177521745</v>
      </c>
      <c r="L61">
        <v>1</v>
      </c>
      <c r="M61">
        <f t="shared" si="6"/>
        <v>0.47678824299040529</v>
      </c>
      <c r="N61">
        <f t="shared" si="7"/>
        <v>4.5453666559999995E-2</v>
      </c>
      <c r="O61">
        <f t="shared" si="8"/>
        <v>3.4897650576E-2</v>
      </c>
      <c r="P61">
        <f t="shared" si="9"/>
        <v>-2.3864408351187832E-2</v>
      </c>
      <c r="V61">
        <v>-0.30000000000001997</v>
      </c>
      <c r="W61">
        <f t="shared" si="12"/>
        <v>-0.48794399999999899</v>
      </c>
    </row>
    <row r="62" spans="1:23" x14ac:dyDescent="0.3">
      <c r="A62">
        <v>3.0407820000000001</v>
      </c>
      <c r="B62">
        <v>0.68623999999999996</v>
      </c>
      <c r="C62">
        <f t="shared" si="0"/>
        <v>2.0867062396799998</v>
      </c>
      <c r="D62">
        <v>1.52E-2</v>
      </c>
      <c r="E62">
        <v>1.167E-2</v>
      </c>
      <c r="F62">
        <f t="shared" si="1"/>
        <v>608.15640000000008</v>
      </c>
      <c r="G62">
        <f t="shared" si="2"/>
        <v>-0.68623999999999996</v>
      </c>
      <c r="H62">
        <f t="shared" si="3"/>
        <v>-417.34124793599995</v>
      </c>
      <c r="I62">
        <v>1</v>
      </c>
      <c r="J62">
        <f t="shared" si="4"/>
        <v>-0.49732319325358842</v>
      </c>
      <c r="K62">
        <f t="shared" si="5"/>
        <v>-0.53548515177521749</v>
      </c>
      <c r="L62">
        <v>1</v>
      </c>
      <c r="M62">
        <f t="shared" si="6"/>
        <v>0.47765951516762301</v>
      </c>
      <c r="N62">
        <f t="shared" si="7"/>
        <v>4.62198864E-2</v>
      </c>
      <c r="O62">
        <f t="shared" si="8"/>
        <v>3.5485925940000003E-2</v>
      </c>
      <c r="P62">
        <f t="shared" si="9"/>
        <v>-2.3880175732405515E-2</v>
      </c>
      <c r="V62">
        <v>-0.20000000000002</v>
      </c>
      <c r="W62">
        <f t="shared" si="12"/>
        <v>-0.49315599999999898</v>
      </c>
    </row>
    <row r="63" spans="1:23" x14ac:dyDescent="0.3">
      <c r="A63">
        <v>3.0917004000000001</v>
      </c>
      <c r="B63">
        <v>0.68383000000000005</v>
      </c>
      <c r="C63">
        <f t="shared" si="0"/>
        <v>2.1141974845320002</v>
      </c>
      <c r="D63">
        <v>1.52E-2</v>
      </c>
      <c r="E63">
        <v>1.167E-2</v>
      </c>
      <c r="F63">
        <f t="shared" si="1"/>
        <v>618.34008000000006</v>
      </c>
      <c r="G63">
        <f t="shared" si="2"/>
        <v>-0.68383000000000005</v>
      </c>
      <c r="H63">
        <f t="shared" si="3"/>
        <v>-422.83949690640003</v>
      </c>
      <c r="I63">
        <v>1</v>
      </c>
      <c r="J63">
        <f t="shared" si="4"/>
        <v>-0.48071668161702324</v>
      </c>
      <c r="K63">
        <f t="shared" si="5"/>
        <v>-0.53789515177521741</v>
      </c>
      <c r="L63">
        <v>1</v>
      </c>
      <c r="M63">
        <f t="shared" si="6"/>
        <v>0.47852504655412076</v>
      </c>
      <c r="N63">
        <f t="shared" si="7"/>
        <v>4.6993846079999999E-2</v>
      </c>
      <c r="O63">
        <f t="shared" si="8"/>
        <v>3.6080143667999998E-2</v>
      </c>
      <c r="P63">
        <f t="shared" si="9"/>
        <v>-2.3703884526903349E-2</v>
      </c>
      <c r="V63">
        <v>-0.10000000000002</v>
      </c>
      <c r="W63">
        <f t="shared" si="12"/>
        <v>-0.49836799999999898</v>
      </c>
    </row>
    <row r="64" spans="1:23" x14ac:dyDescent="0.3">
      <c r="A64">
        <v>3.1426186999999999</v>
      </c>
      <c r="B64">
        <v>0.68152000000000001</v>
      </c>
      <c r="C64">
        <f t="shared" si="0"/>
        <v>2.1417574964239998</v>
      </c>
      <c r="D64">
        <v>1.52E-2</v>
      </c>
      <c r="E64">
        <v>1.167E-2</v>
      </c>
      <c r="F64">
        <f t="shared" si="1"/>
        <v>628.52373999999998</v>
      </c>
      <c r="G64">
        <f t="shared" si="2"/>
        <v>-0.68152000000000001</v>
      </c>
      <c r="H64">
        <f t="shared" si="3"/>
        <v>-428.35149928479996</v>
      </c>
      <c r="I64">
        <v>1</v>
      </c>
      <c r="J64">
        <f t="shared" si="4"/>
        <v>-0.4643814791910521</v>
      </c>
      <c r="K64">
        <f t="shared" si="5"/>
        <v>-0.54020515177521744</v>
      </c>
      <c r="L64">
        <v>1</v>
      </c>
      <c r="M64">
        <f t="shared" si="6"/>
        <v>0.47937643730456236</v>
      </c>
      <c r="N64">
        <f t="shared" si="7"/>
        <v>4.7767804239999996E-2</v>
      </c>
      <c r="O64">
        <f t="shared" si="8"/>
        <v>3.6674360228999996E-2</v>
      </c>
      <c r="P64">
        <f t="shared" si="9"/>
        <v>-2.3613449998344915E-2</v>
      </c>
      <c r="V64">
        <v>-2.0428103653102899E-14</v>
      </c>
      <c r="W64">
        <f t="shared" si="12"/>
        <v>-0.50357999999999892</v>
      </c>
    </row>
    <row r="65" spans="1:23" x14ac:dyDescent="0.3">
      <c r="A65">
        <v>3.1935370999999999</v>
      </c>
      <c r="B65">
        <v>0.67920999999999998</v>
      </c>
      <c r="C65">
        <f t="shared" si="0"/>
        <v>2.1690823336909997</v>
      </c>
      <c r="D65">
        <v>1.52E-2</v>
      </c>
      <c r="E65">
        <v>1.167E-2</v>
      </c>
      <c r="F65">
        <f t="shared" si="1"/>
        <v>638.70741999999996</v>
      </c>
      <c r="G65">
        <f t="shared" si="2"/>
        <v>-0.67920999999999998</v>
      </c>
      <c r="H65">
        <f t="shared" si="3"/>
        <v>-433.81646673819995</v>
      </c>
      <c r="I65">
        <v>1</v>
      </c>
      <c r="J65">
        <f t="shared" si="4"/>
        <v>-0.44830880113433696</v>
      </c>
      <c r="K65">
        <f t="shared" si="5"/>
        <v>-0.54251515177521747</v>
      </c>
      <c r="L65">
        <v>1</v>
      </c>
      <c r="M65">
        <f t="shared" si="6"/>
        <v>0.48021414528487838</v>
      </c>
      <c r="N65">
        <f t="shared" si="7"/>
        <v>4.8541763920000001E-2</v>
      </c>
      <c r="O65">
        <f t="shared" si="8"/>
        <v>3.7268577956999997E-2</v>
      </c>
      <c r="P65">
        <f t="shared" si="9"/>
        <v>-2.3509335386660904E-2</v>
      </c>
      <c r="V65">
        <v>9.9999999999980105E-2</v>
      </c>
      <c r="W65">
        <f t="shared" si="12"/>
        <v>-0.50879199999999902</v>
      </c>
    </row>
    <row r="66" spans="1:23" x14ac:dyDescent="0.3">
      <c r="A66">
        <v>3.2449645999999999</v>
      </c>
      <c r="B66">
        <v>0.67644000000000004</v>
      </c>
      <c r="C66">
        <f t="shared" si="0"/>
        <v>2.1950238540239999</v>
      </c>
      <c r="D66">
        <v>1.52E-2</v>
      </c>
      <c r="E66">
        <v>1.167E-2</v>
      </c>
      <c r="F66">
        <f t="shared" si="1"/>
        <v>648.99292000000003</v>
      </c>
      <c r="G66">
        <f t="shared" si="2"/>
        <v>-0.67644000000000004</v>
      </c>
      <c r="H66">
        <f t="shared" si="3"/>
        <v>-439.00477080479999</v>
      </c>
      <c r="I66">
        <v>1</v>
      </c>
      <c r="J66">
        <f t="shared" si="4"/>
        <v>-0.43233347142846074</v>
      </c>
      <c r="K66">
        <f t="shared" si="5"/>
        <v>-0.54528515177521741</v>
      </c>
      <c r="L66">
        <v>1</v>
      </c>
      <c r="M66">
        <f t="shared" si="6"/>
        <v>0.48104677946914864</v>
      </c>
      <c r="N66">
        <f t="shared" si="7"/>
        <v>4.9323461919999999E-2</v>
      </c>
      <c r="O66">
        <f t="shared" si="8"/>
        <v>3.7868736882000001E-2</v>
      </c>
      <c r="P66">
        <f t="shared" si="9"/>
        <v>-2.295382649593123E-2</v>
      </c>
      <c r="V66">
        <v>0.19999999999998</v>
      </c>
      <c r="W66">
        <f t="shared" si="12"/>
        <v>-0.51400399999999902</v>
      </c>
    </row>
    <row r="67" spans="1:23" x14ac:dyDescent="0.3">
      <c r="A67">
        <v>3.2963917999999999</v>
      </c>
      <c r="B67">
        <v>0.67430999999999996</v>
      </c>
      <c r="C67">
        <f t="shared" si="0"/>
        <v>2.2227899546579999</v>
      </c>
      <c r="D67">
        <v>1.52E-2</v>
      </c>
      <c r="E67">
        <v>1.167E-2</v>
      </c>
      <c r="F67">
        <f t="shared" si="1"/>
        <v>659.27836000000002</v>
      </c>
      <c r="G67">
        <f t="shared" si="2"/>
        <v>-0.67430999999999996</v>
      </c>
      <c r="H67">
        <f t="shared" si="3"/>
        <v>-444.55799093159999</v>
      </c>
      <c r="I67">
        <v>1</v>
      </c>
      <c r="J67">
        <f t="shared" si="4"/>
        <v>-0.4166094360922919</v>
      </c>
      <c r="K67">
        <f t="shared" si="5"/>
        <v>-0.54741515177521749</v>
      </c>
      <c r="L67">
        <v>1</v>
      </c>
      <c r="M67">
        <f t="shared" si="6"/>
        <v>0.48186631619086978</v>
      </c>
      <c r="N67">
        <f t="shared" si="7"/>
        <v>5.010515536E-2</v>
      </c>
      <c r="O67">
        <f t="shared" si="8"/>
        <v>3.8468892306000001E-2</v>
      </c>
      <c r="P67">
        <f t="shared" si="9"/>
        <v>-2.3025212081652292E-2</v>
      </c>
      <c r="V67">
        <v>0.29999999999998</v>
      </c>
      <c r="W67">
        <f t="shared" si="12"/>
        <v>-0.51921599999999901</v>
      </c>
    </row>
    <row r="68" spans="1:23" x14ac:dyDescent="0.3">
      <c r="A68">
        <v>3.3534207</v>
      </c>
      <c r="B68">
        <v>0.67157999999999995</v>
      </c>
      <c r="C68">
        <f t="shared" ref="C68:C131" si="13">A68*B68</f>
        <v>2.252090273706</v>
      </c>
      <c r="D68">
        <v>1.52E-2</v>
      </c>
      <c r="E68">
        <v>1.167E-2</v>
      </c>
      <c r="F68">
        <f t="shared" ref="F68:F131" si="14">A68*200</f>
        <v>670.68413999999996</v>
      </c>
      <c r="G68">
        <f t="shared" ref="G68:G131" si="15">-B68</f>
        <v>-0.67157999999999995</v>
      </c>
      <c r="H68">
        <f t="shared" ref="H68:H131" si="16">-C68*200</f>
        <v>-450.41805474120002</v>
      </c>
      <c r="I68">
        <v>1</v>
      </c>
      <c r="J68">
        <f t="shared" ref="J68:J131" si="17">LN(F68/1000)</f>
        <v>-0.39945698309207572</v>
      </c>
      <c r="K68">
        <f t="shared" ref="K68:K131" si="18">((-G68)-$N$2)</f>
        <v>-0.5501451517752175</v>
      </c>
      <c r="L68">
        <v>1</v>
      </c>
      <c r="M68">
        <f t="shared" ref="M68:M131" si="19">-1*($S$4+($S$5*J68))</f>
        <v>0.48276030204124104</v>
      </c>
      <c r="N68">
        <f t="shared" ref="N68:N131" si="20">D68*A68</f>
        <v>5.0971994639999997E-2</v>
      </c>
      <c r="O68">
        <f t="shared" ref="O68:O131" si="21">E68*A68</f>
        <v>3.9134419568999997E-2</v>
      </c>
      <c r="P68">
        <f t="shared" ref="P68:P131" si="22">-K68-M68-N68-O68</f>
        <v>-2.2721564475023534E-2</v>
      </c>
      <c r="V68">
        <v>0.39999999999997998</v>
      </c>
      <c r="W68">
        <f t="shared" ref="W68:W99" si="23">V68*$S$5+$S$4</f>
        <v>-0.52442799999999901</v>
      </c>
    </row>
    <row r="69" spans="1:23" x14ac:dyDescent="0.3">
      <c r="A69">
        <v>3.4043388999999999</v>
      </c>
      <c r="B69">
        <v>0.66937999999999998</v>
      </c>
      <c r="C69">
        <f t="shared" si="13"/>
        <v>2.2787963728819998</v>
      </c>
      <c r="D69">
        <v>1.52E-2</v>
      </c>
      <c r="E69">
        <v>1.167E-2</v>
      </c>
      <c r="F69">
        <f t="shared" si="14"/>
        <v>680.86778000000004</v>
      </c>
      <c r="G69">
        <f t="shared" si="15"/>
        <v>-0.66937999999999998</v>
      </c>
      <c r="H69">
        <f t="shared" si="16"/>
        <v>-455.75927457639995</v>
      </c>
      <c r="I69">
        <v>1</v>
      </c>
      <c r="J69">
        <f t="shared" si="17"/>
        <v>-0.38438714733672436</v>
      </c>
      <c r="K69">
        <f t="shared" si="18"/>
        <v>-0.55234515177521748</v>
      </c>
      <c r="L69">
        <v>1</v>
      </c>
      <c r="M69">
        <f t="shared" si="19"/>
        <v>0.48354574188080995</v>
      </c>
      <c r="N69">
        <f t="shared" si="20"/>
        <v>5.1745951280000001E-2</v>
      </c>
      <c r="O69">
        <f t="shared" si="21"/>
        <v>3.9728634962999998E-2</v>
      </c>
      <c r="P69">
        <f t="shared" si="22"/>
        <v>-2.2675176348592473E-2</v>
      </c>
      <c r="V69">
        <v>0.49999999999998002</v>
      </c>
      <c r="W69">
        <f t="shared" si="23"/>
        <v>-0.529639999999999</v>
      </c>
    </row>
    <row r="70" spans="1:23" x14ac:dyDescent="0.3">
      <c r="A70">
        <v>3.4552567999999999</v>
      </c>
      <c r="B70">
        <v>0.66676000000000002</v>
      </c>
      <c r="C70">
        <f t="shared" si="13"/>
        <v>2.3038270239680001</v>
      </c>
      <c r="D70">
        <v>1.52E-2</v>
      </c>
      <c r="E70">
        <v>1.167E-2</v>
      </c>
      <c r="F70">
        <f t="shared" si="14"/>
        <v>691.05135999999993</v>
      </c>
      <c r="G70">
        <f t="shared" si="15"/>
        <v>-0.66676000000000002</v>
      </c>
      <c r="H70">
        <f t="shared" si="16"/>
        <v>-460.7654047936</v>
      </c>
      <c r="I70">
        <v>1</v>
      </c>
      <c r="J70">
        <f t="shared" si="17"/>
        <v>-0.36954113091435786</v>
      </c>
      <c r="K70">
        <f t="shared" si="18"/>
        <v>-0.55496515177521744</v>
      </c>
      <c r="L70">
        <v>1</v>
      </c>
      <c r="M70">
        <f t="shared" si="19"/>
        <v>0.48431951625674369</v>
      </c>
      <c r="N70">
        <f t="shared" si="20"/>
        <v>5.2519903360000002E-2</v>
      </c>
      <c r="O70">
        <f t="shared" si="21"/>
        <v>4.0322846855999996E-2</v>
      </c>
      <c r="P70">
        <f t="shared" si="22"/>
        <v>-2.2197114697526249E-2</v>
      </c>
      <c r="V70">
        <v>0.59999999999997999</v>
      </c>
      <c r="W70">
        <f t="shared" si="23"/>
        <v>-0.53485199999999899</v>
      </c>
    </row>
    <row r="71" spans="1:23" x14ac:dyDescent="0.3">
      <c r="A71">
        <v>3.5071938</v>
      </c>
      <c r="B71">
        <v>0.66437999999999997</v>
      </c>
      <c r="C71">
        <f t="shared" si="13"/>
        <v>2.330109416844</v>
      </c>
      <c r="D71">
        <v>1.52E-2</v>
      </c>
      <c r="E71">
        <v>1.167E-2</v>
      </c>
      <c r="F71">
        <f t="shared" si="14"/>
        <v>701.43876</v>
      </c>
      <c r="G71">
        <f t="shared" si="15"/>
        <v>-0.66437999999999997</v>
      </c>
      <c r="H71">
        <f t="shared" si="16"/>
        <v>-466.02188336879999</v>
      </c>
      <c r="I71">
        <v>1</v>
      </c>
      <c r="J71">
        <f t="shared" si="17"/>
        <v>-0.35462168189612897</v>
      </c>
      <c r="K71">
        <f t="shared" si="18"/>
        <v>-0.55734515177521748</v>
      </c>
      <c r="L71">
        <v>1</v>
      </c>
      <c r="M71">
        <f t="shared" si="19"/>
        <v>0.48509711793957377</v>
      </c>
      <c r="N71">
        <f t="shared" si="20"/>
        <v>5.3309345760000001E-2</v>
      </c>
      <c r="O71">
        <f t="shared" si="21"/>
        <v>4.0928951646000002E-2</v>
      </c>
      <c r="P71">
        <f t="shared" si="22"/>
        <v>-2.1990263570356293E-2</v>
      </c>
      <c r="V71">
        <v>0.69999999999997997</v>
      </c>
      <c r="W71">
        <f t="shared" si="23"/>
        <v>-0.54006399999999899</v>
      </c>
    </row>
    <row r="72" spans="1:23" x14ac:dyDescent="0.3">
      <c r="A72">
        <v>3.5586215999999999</v>
      </c>
      <c r="B72">
        <v>0.66195000000000004</v>
      </c>
      <c r="C72">
        <f t="shared" si="13"/>
        <v>2.3556295681199999</v>
      </c>
      <c r="D72">
        <v>1.52E-2</v>
      </c>
      <c r="E72">
        <v>1.167E-2</v>
      </c>
      <c r="F72">
        <f t="shared" si="14"/>
        <v>711.72432000000003</v>
      </c>
      <c r="G72">
        <f t="shared" si="15"/>
        <v>-0.66195000000000004</v>
      </c>
      <c r="H72">
        <f t="shared" si="16"/>
        <v>-471.12591362399996</v>
      </c>
      <c r="I72">
        <v>1</v>
      </c>
      <c r="J72">
        <f t="shared" si="17"/>
        <v>-0.34006463355919114</v>
      </c>
      <c r="K72">
        <f t="shared" si="18"/>
        <v>-0.55977515177521742</v>
      </c>
      <c r="L72">
        <v>1</v>
      </c>
      <c r="M72">
        <f t="shared" si="19"/>
        <v>0.48585583129889498</v>
      </c>
      <c r="N72">
        <f t="shared" si="20"/>
        <v>5.4091048320000001E-2</v>
      </c>
      <c r="O72">
        <f t="shared" si="21"/>
        <v>4.1529114072000002E-2</v>
      </c>
      <c r="P72">
        <f t="shared" si="22"/>
        <v>-2.1700841915677567E-2</v>
      </c>
      <c r="V72">
        <v>0.79999999999997995</v>
      </c>
      <c r="W72">
        <f t="shared" si="23"/>
        <v>-0.54527599999999898</v>
      </c>
    </row>
    <row r="73" spans="1:23" x14ac:dyDescent="0.3">
      <c r="A73">
        <v>3.6095397999999999</v>
      </c>
      <c r="B73">
        <v>0.65939000000000003</v>
      </c>
      <c r="C73">
        <f t="shared" si="13"/>
        <v>2.3800944487220002</v>
      </c>
      <c r="D73">
        <v>1.52E-2</v>
      </c>
      <c r="E73">
        <v>1.167E-2</v>
      </c>
      <c r="F73">
        <f t="shared" si="14"/>
        <v>721.90796</v>
      </c>
      <c r="G73">
        <f t="shared" si="15"/>
        <v>-0.65939000000000003</v>
      </c>
      <c r="H73">
        <f t="shared" si="16"/>
        <v>-476.01888974440004</v>
      </c>
      <c r="I73">
        <v>1</v>
      </c>
      <c r="J73">
        <f t="shared" si="17"/>
        <v>-0.32585762743985447</v>
      </c>
      <c r="K73">
        <f t="shared" si="18"/>
        <v>-0.56233515177521742</v>
      </c>
      <c r="L73">
        <v>1</v>
      </c>
      <c r="M73">
        <f t="shared" si="19"/>
        <v>0.48659630045783481</v>
      </c>
      <c r="N73">
        <f t="shared" si="20"/>
        <v>5.4865004959999998E-2</v>
      </c>
      <c r="O73">
        <f t="shared" si="21"/>
        <v>4.2123329465999997E-2</v>
      </c>
      <c r="P73">
        <f t="shared" si="22"/>
        <v>-2.1249483108617379E-2</v>
      </c>
      <c r="V73">
        <v>0.89999999999998004</v>
      </c>
      <c r="W73">
        <f t="shared" si="23"/>
        <v>-0.55048799999999898</v>
      </c>
    </row>
    <row r="74" spans="1:23" x14ac:dyDescent="0.3">
      <c r="A74">
        <v>3.6604583000000002</v>
      </c>
      <c r="B74">
        <v>0.65688999999999997</v>
      </c>
      <c r="C74">
        <f t="shared" si="13"/>
        <v>2.4045184526869998</v>
      </c>
      <c r="D74">
        <v>1.52E-2</v>
      </c>
      <c r="E74">
        <v>1.167E-2</v>
      </c>
      <c r="F74">
        <f t="shared" si="14"/>
        <v>732.09166000000005</v>
      </c>
      <c r="G74">
        <f t="shared" si="15"/>
        <v>-0.65688999999999997</v>
      </c>
      <c r="H74">
        <f t="shared" si="16"/>
        <v>-480.90369053739994</v>
      </c>
      <c r="I74">
        <v>1</v>
      </c>
      <c r="J74">
        <f t="shared" si="17"/>
        <v>-0.31184955428078237</v>
      </c>
      <c r="K74">
        <f t="shared" si="18"/>
        <v>-0.56483515177521748</v>
      </c>
      <c r="L74">
        <v>1</v>
      </c>
      <c r="M74">
        <f t="shared" si="19"/>
        <v>0.48732640123088566</v>
      </c>
      <c r="N74">
        <f t="shared" si="20"/>
        <v>5.5638966160000004E-2</v>
      </c>
      <c r="O74">
        <f t="shared" si="21"/>
        <v>4.2717548361000002E-2</v>
      </c>
      <c r="P74">
        <f t="shared" si="22"/>
        <v>-2.0847763976668189E-2</v>
      </c>
      <c r="V74">
        <v>0.99999999999998002</v>
      </c>
      <c r="W74">
        <f t="shared" si="23"/>
        <v>-0.55569999999999897</v>
      </c>
    </row>
    <row r="75" spans="1:23" x14ac:dyDescent="0.3">
      <c r="A75">
        <v>3.7108672</v>
      </c>
      <c r="B75">
        <v>0.65490999999999999</v>
      </c>
      <c r="C75">
        <f t="shared" si="13"/>
        <v>2.4302840379520001</v>
      </c>
      <c r="D75">
        <v>1.52E-2</v>
      </c>
      <c r="E75">
        <v>1.167E-2</v>
      </c>
      <c r="F75">
        <f t="shared" si="14"/>
        <v>742.17344000000003</v>
      </c>
      <c r="G75">
        <f t="shared" si="15"/>
        <v>-0.65490999999999999</v>
      </c>
      <c r="H75">
        <f t="shared" si="16"/>
        <v>-486.05680759040001</v>
      </c>
      <c r="I75">
        <v>1</v>
      </c>
      <c r="J75">
        <f t="shared" si="17"/>
        <v>-0.29817231649851605</v>
      </c>
      <c r="K75">
        <f t="shared" si="18"/>
        <v>-0.56681515177521746</v>
      </c>
      <c r="L75">
        <v>1</v>
      </c>
      <c r="M75">
        <f t="shared" si="19"/>
        <v>0.48803925886409738</v>
      </c>
      <c r="N75">
        <f t="shared" si="20"/>
        <v>5.640518144E-2</v>
      </c>
      <c r="O75">
        <f t="shared" si="21"/>
        <v>4.3305820224000001E-2</v>
      </c>
      <c r="P75">
        <f t="shared" si="22"/>
        <v>-2.0935108752879919E-2</v>
      </c>
      <c r="V75">
        <v>1.0999999999999699</v>
      </c>
      <c r="W75">
        <f t="shared" si="23"/>
        <v>-0.56091199999999841</v>
      </c>
    </row>
    <row r="76" spans="1:23" x14ac:dyDescent="0.3">
      <c r="A76">
        <v>3.7628042000000002</v>
      </c>
      <c r="B76">
        <v>0.65225</v>
      </c>
      <c r="C76">
        <f t="shared" si="13"/>
        <v>2.4542890394499999</v>
      </c>
      <c r="D76">
        <v>1.52E-2</v>
      </c>
      <c r="E76">
        <v>1.167E-2</v>
      </c>
      <c r="F76">
        <f t="shared" si="14"/>
        <v>752.56083999999998</v>
      </c>
      <c r="G76">
        <f t="shared" si="15"/>
        <v>-0.65225</v>
      </c>
      <c r="H76">
        <f t="shared" si="16"/>
        <v>-490.85780789</v>
      </c>
      <c r="I76">
        <v>1</v>
      </c>
      <c r="J76">
        <f t="shared" si="17"/>
        <v>-0.28427343512899278</v>
      </c>
      <c r="K76">
        <f t="shared" si="18"/>
        <v>-0.56947515177521746</v>
      </c>
      <c r="L76">
        <v>1</v>
      </c>
      <c r="M76">
        <f t="shared" si="19"/>
        <v>0.48876366856107695</v>
      </c>
      <c r="N76">
        <f t="shared" si="20"/>
        <v>5.719462384E-2</v>
      </c>
      <c r="O76">
        <f t="shared" si="21"/>
        <v>4.3911925014E-2</v>
      </c>
      <c r="P76">
        <f t="shared" si="22"/>
        <v>-2.0395065639859489E-2</v>
      </c>
      <c r="V76">
        <v>1.19999999999997</v>
      </c>
      <c r="W76">
        <f t="shared" si="23"/>
        <v>-0.56612399999999852</v>
      </c>
    </row>
    <row r="77" spans="1:23" x14ac:dyDescent="0.3">
      <c r="A77">
        <v>3.8137222</v>
      </c>
      <c r="B77">
        <v>0.64990999999999999</v>
      </c>
      <c r="C77">
        <f t="shared" si="13"/>
        <v>2.4785761950019998</v>
      </c>
      <c r="D77">
        <v>1.52E-2</v>
      </c>
      <c r="E77">
        <v>1.167E-2</v>
      </c>
      <c r="F77">
        <f t="shared" si="14"/>
        <v>762.74443999999994</v>
      </c>
      <c r="G77">
        <f t="shared" si="15"/>
        <v>-0.64990999999999999</v>
      </c>
      <c r="H77">
        <f t="shared" si="16"/>
        <v>-495.71523900039995</v>
      </c>
      <c r="I77">
        <v>1</v>
      </c>
      <c r="J77">
        <f t="shared" si="17"/>
        <v>-0.2708322448252331</v>
      </c>
      <c r="K77">
        <f t="shared" si="18"/>
        <v>-0.57181515177521747</v>
      </c>
      <c r="L77">
        <v>1</v>
      </c>
      <c r="M77">
        <f t="shared" si="19"/>
        <v>0.48946422339970885</v>
      </c>
      <c r="N77">
        <f t="shared" si="20"/>
        <v>5.7968577440000002E-2</v>
      </c>
      <c r="O77">
        <f t="shared" si="21"/>
        <v>4.4506138074000001E-2</v>
      </c>
      <c r="P77">
        <f t="shared" si="22"/>
        <v>-2.0123787138491389E-2</v>
      </c>
      <c r="V77">
        <v>1.2999999999999701</v>
      </c>
      <c r="W77">
        <f t="shared" si="23"/>
        <v>-0.57133599999999851</v>
      </c>
    </row>
    <row r="78" spans="1:23" x14ac:dyDescent="0.3">
      <c r="A78">
        <v>3.8651496999999999</v>
      </c>
      <c r="B78">
        <v>0.64737</v>
      </c>
      <c r="C78">
        <f t="shared" si="13"/>
        <v>2.5021819612890002</v>
      </c>
      <c r="D78">
        <v>1.52E-2</v>
      </c>
      <c r="E78">
        <v>1.167E-2</v>
      </c>
      <c r="F78">
        <f t="shared" si="14"/>
        <v>773.02994000000001</v>
      </c>
      <c r="G78">
        <f t="shared" si="15"/>
        <v>-0.64737</v>
      </c>
      <c r="H78">
        <f t="shared" si="16"/>
        <v>-500.43639225780004</v>
      </c>
      <c r="I78">
        <v>1</v>
      </c>
      <c r="J78">
        <f t="shared" si="17"/>
        <v>-0.25743749893262741</v>
      </c>
      <c r="K78">
        <f t="shared" si="18"/>
        <v>-0.57435515177521745</v>
      </c>
      <c r="L78">
        <v>1</v>
      </c>
      <c r="M78">
        <f t="shared" si="19"/>
        <v>0.49016235755563148</v>
      </c>
      <c r="N78">
        <f t="shared" si="20"/>
        <v>5.8750275439999999E-2</v>
      </c>
      <c r="O78">
        <f t="shared" si="21"/>
        <v>4.5106296998999998E-2</v>
      </c>
      <c r="P78">
        <f t="shared" si="22"/>
        <v>-1.9663778219414021E-2</v>
      </c>
      <c r="V78">
        <v>1.3999999999999699</v>
      </c>
      <c r="W78">
        <f t="shared" si="23"/>
        <v>-0.57654799999999851</v>
      </c>
    </row>
    <row r="79" spans="1:23" x14ac:dyDescent="0.3">
      <c r="A79">
        <v>3.9160680999999999</v>
      </c>
      <c r="B79">
        <v>0.64502000000000004</v>
      </c>
      <c r="C79">
        <f t="shared" si="13"/>
        <v>2.5259422458620002</v>
      </c>
      <c r="D79">
        <v>1.52E-2</v>
      </c>
      <c r="E79">
        <v>1.167E-2</v>
      </c>
      <c r="F79">
        <f t="shared" si="14"/>
        <v>783.21361999999999</v>
      </c>
      <c r="G79">
        <f t="shared" si="15"/>
        <v>-0.64502000000000004</v>
      </c>
      <c r="H79">
        <f t="shared" si="16"/>
        <v>-505.18844917240006</v>
      </c>
      <c r="I79">
        <v>1</v>
      </c>
      <c r="J79">
        <f t="shared" si="17"/>
        <v>-0.24434979772296858</v>
      </c>
      <c r="K79">
        <f t="shared" si="18"/>
        <v>-0.57670515177521742</v>
      </c>
      <c r="L79">
        <v>1</v>
      </c>
      <c r="M79">
        <f t="shared" si="19"/>
        <v>0.49084448854267893</v>
      </c>
      <c r="N79">
        <f t="shared" si="20"/>
        <v>5.9524235119999998E-2</v>
      </c>
      <c r="O79">
        <f t="shared" si="21"/>
        <v>4.5700514727E-2</v>
      </c>
      <c r="P79">
        <f t="shared" si="22"/>
        <v>-1.9364086614461505E-2</v>
      </c>
      <c r="V79">
        <v>1.49999999999997</v>
      </c>
      <c r="W79">
        <f t="shared" si="23"/>
        <v>-0.5817599999999985</v>
      </c>
    </row>
    <row r="80" spans="1:23" x14ac:dyDescent="0.3">
      <c r="A80">
        <v>3.9674955999999999</v>
      </c>
      <c r="B80">
        <v>0.64273000000000002</v>
      </c>
      <c r="C80">
        <f t="shared" si="13"/>
        <v>2.5500284469880001</v>
      </c>
      <c r="D80">
        <v>1.52E-2</v>
      </c>
      <c r="E80">
        <v>1.167E-2</v>
      </c>
      <c r="F80">
        <f t="shared" si="14"/>
        <v>793.49911999999995</v>
      </c>
      <c r="G80">
        <f t="shared" si="15"/>
        <v>-0.64273000000000002</v>
      </c>
      <c r="H80">
        <f t="shared" si="16"/>
        <v>-510.00568939760001</v>
      </c>
      <c r="I80">
        <v>1</v>
      </c>
      <c r="J80">
        <f t="shared" si="17"/>
        <v>-0.23130284802700027</v>
      </c>
      <c r="K80">
        <f t="shared" si="18"/>
        <v>-0.57899515177521743</v>
      </c>
      <c r="L80">
        <v>1</v>
      </c>
      <c r="M80">
        <f t="shared" si="19"/>
        <v>0.49152449556083277</v>
      </c>
      <c r="N80">
        <f t="shared" si="20"/>
        <v>6.0305933119999995E-2</v>
      </c>
      <c r="O80">
        <f t="shared" si="21"/>
        <v>4.6300673651999996E-2</v>
      </c>
      <c r="P80">
        <f t="shared" si="22"/>
        <v>-1.9135950557615335E-2</v>
      </c>
      <c r="V80">
        <v>1.5999999999999699</v>
      </c>
      <c r="W80">
        <f t="shared" si="23"/>
        <v>-0.58697199999999849</v>
      </c>
    </row>
    <row r="81" spans="1:23" x14ac:dyDescent="0.3">
      <c r="A81">
        <v>4.0194324000000003</v>
      </c>
      <c r="B81">
        <v>0.64012999999999998</v>
      </c>
      <c r="C81">
        <f t="shared" si="13"/>
        <v>2.5729592622120001</v>
      </c>
      <c r="D81">
        <v>1.52E-2</v>
      </c>
      <c r="E81">
        <v>1.167E-2</v>
      </c>
      <c r="F81">
        <f t="shared" si="14"/>
        <v>803.88648000000012</v>
      </c>
      <c r="G81">
        <f t="shared" si="15"/>
        <v>-0.64012999999999998</v>
      </c>
      <c r="H81">
        <f t="shared" si="16"/>
        <v>-514.59185244240007</v>
      </c>
      <c r="I81">
        <v>1</v>
      </c>
      <c r="J81">
        <f t="shared" si="17"/>
        <v>-0.21829721380183675</v>
      </c>
      <c r="K81">
        <f t="shared" si="18"/>
        <v>-0.58159515177521748</v>
      </c>
      <c r="L81">
        <v>1</v>
      </c>
      <c r="M81">
        <f t="shared" si="19"/>
        <v>0.49220234921664829</v>
      </c>
      <c r="N81">
        <f t="shared" si="20"/>
        <v>6.1095372480000007E-2</v>
      </c>
      <c r="O81">
        <f t="shared" si="21"/>
        <v>4.6906776108000002E-2</v>
      </c>
      <c r="P81">
        <f t="shared" si="22"/>
        <v>-1.8609346029430825E-2</v>
      </c>
      <c r="V81">
        <v>1.69999999999997</v>
      </c>
      <c r="W81">
        <f t="shared" si="23"/>
        <v>-0.59218399999999849</v>
      </c>
    </row>
    <row r="82" spans="1:23" x14ac:dyDescent="0.3">
      <c r="A82">
        <v>4.0728967000000003</v>
      </c>
      <c r="B82">
        <v>0.63788</v>
      </c>
      <c r="C82">
        <f t="shared" si="13"/>
        <v>2.5980193469960002</v>
      </c>
      <c r="D82">
        <v>1.52E-2</v>
      </c>
      <c r="E82">
        <v>1.167E-2</v>
      </c>
      <c r="F82">
        <f t="shared" si="14"/>
        <v>814.57934</v>
      </c>
      <c r="G82">
        <f t="shared" si="15"/>
        <v>-0.63788</v>
      </c>
      <c r="H82">
        <f t="shared" si="16"/>
        <v>-519.60386939919999</v>
      </c>
      <c r="I82">
        <v>1</v>
      </c>
      <c r="J82">
        <f t="shared" si="17"/>
        <v>-0.20508344623037747</v>
      </c>
      <c r="K82">
        <f t="shared" si="18"/>
        <v>-0.58384515177521745</v>
      </c>
      <c r="L82">
        <v>1</v>
      </c>
      <c r="M82">
        <f t="shared" si="19"/>
        <v>0.49289105078247275</v>
      </c>
      <c r="N82">
        <f t="shared" si="20"/>
        <v>6.1908029840000003E-2</v>
      </c>
      <c r="O82">
        <f t="shared" si="21"/>
        <v>4.7530704489E-2</v>
      </c>
      <c r="P82">
        <f t="shared" si="22"/>
        <v>-1.8484633336255302E-2</v>
      </c>
      <c r="V82">
        <v>1.7999999999999701</v>
      </c>
      <c r="W82">
        <f t="shared" si="23"/>
        <v>-0.59739599999999848</v>
      </c>
    </row>
    <row r="83" spans="1:23" x14ac:dyDescent="0.3">
      <c r="A83">
        <v>4.1233062</v>
      </c>
      <c r="B83">
        <v>0.63505</v>
      </c>
      <c r="C83">
        <f t="shared" si="13"/>
        <v>2.61850560231</v>
      </c>
      <c r="D83">
        <v>1.52E-2</v>
      </c>
      <c r="E83">
        <v>1.167E-2</v>
      </c>
      <c r="F83">
        <f t="shared" si="14"/>
        <v>824.66124000000002</v>
      </c>
      <c r="G83">
        <f t="shared" si="15"/>
        <v>-0.63505</v>
      </c>
      <c r="H83">
        <f t="shared" si="16"/>
        <v>-523.70112046199995</v>
      </c>
      <c r="I83">
        <v>1</v>
      </c>
      <c r="J83">
        <f t="shared" si="17"/>
        <v>-0.19278259515600463</v>
      </c>
      <c r="K83">
        <f t="shared" si="18"/>
        <v>-0.58667515177521745</v>
      </c>
      <c r="L83">
        <v>1</v>
      </c>
      <c r="M83">
        <f t="shared" si="19"/>
        <v>0.49353217114046904</v>
      </c>
      <c r="N83">
        <f t="shared" si="20"/>
        <v>6.2674254240000005E-2</v>
      </c>
      <c r="O83">
        <f t="shared" si="21"/>
        <v>4.8118983354E-2</v>
      </c>
      <c r="P83">
        <f t="shared" si="22"/>
        <v>-1.7650256959251598E-2</v>
      </c>
      <c r="V83">
        <v>1.8999999999999699</v>
      </c>
      <c r="W83">
        <f t="shared" si="23"/>
        <v>-0.60260799999999848</v>
      </c>
    </row>
    <row r="84" spans="1:23" x14ac:dyDescent="0.3">
      <c r="A84">
        <v>4.1762611999999999</v>
      </c>
      <c r="B84">
        <v>0.63278000000000001</v>
      </c>
      <c r="C84">
        <f t="shared" si="13"/>
        <v>2.6426545621359998</v>
      </c>
      <c r="D84">
        <v>1.52E-2</v>
      </c>
      <c r="E84">
        <v>1.167E-2</v>
      </c>
      <c r="F84">
        <f t="shared" si="14"/>
        <v>835.25224000000003</v>
      </c>
      <c r="G84">
        <f t="shared" si="15"/>
        <v>-0.63278000000000001</v>
      </c>
      <c r="H84">
        <f t="shared" si="16"/>
        <v>-528.53091242719995</v>
      </c>
      <c r="I84">
        <v>1</v>
      </c>
      <c r="J84">
        <f t="shared" si="17"/>
        <v>-0.18002151591708038</v>
      </c>
      <c r="K84">
        <f t="shared" si="18"/>
        <v>-0.58894515177521745</v>
      </c>
      <c r="L84">
        <v>1</v>
      </c>
      <c r="M84">
        <f t="shared" si="19"/>
        <v>0.4941972785904018</v>
      </c>
      <c r="N84">
        <f t="shared" si="20"/>
        <v>6.3479170239999994E-2</v>
      </c>
      <c r="O84">
        <f t="shared" si="21"/>
        <v>4.8736968203999996E-2</v>
      </c>
      <c r="P84">
        <f t="shared" si="22"/>
        <v>-1.7468265259184344E-2</v>
      </c>
      <c r="V84">
        <v>1.99999999999997</v>
      </c>
      <c r="W84">
        <f t="shared" si="23"/>
        <v>-0.60781999999999847</v>
      </c>
    </row>
    <row r="85" spans="1:23" x14ac:dyDescent="0.3">
      <c r="A85">
        <v>4.2266703999999997</v>
      </c>
      <c r="B85">
        <v>0.63026000000000004</v>
      </c>
      <c r="C85">
        <f t="shared" si="13"/>
        <v>2.6639012863040001</v>
      </c>
      <c r="D85">
        <v>1.52E-2</v>
      </c>
      <c r="E85">
        <v>1.167E-2</v>
      </c>
      <c r="F85">
        <f t="shared" si="14"/>
        <v>845.33407999999997</v>
      </c>
      <c r="G85">
        <f t="shared" si="15"/>
        <v>-0.63026000000000004</v>
      </c>
      <c r="H85">
        <f t="shared" si="16"/>
        <v>-532.7802572608</v>
      </c>
      <c r="I85">
        <v>1</v>
      </c>
      <c r="J85">
        <f t="shared" si="17"/>
        <v>-0.1680233688127632</v>
      </c>
      <c r="K85">
        <f t="shared" si="18"/>
        <v>-0.59146515177521741</v>
      </c>
      <c r="L85">
        <v>1</v>
      </c>
      <c r="M85">
        <f t="shared" si="19"/>
        <v>0.49482262201747879</v>
      </c>
      <c r="N85">
        <f t="shared" si="20"/>
        <v>6.4245390079999992E-2</v>
      </c>
      <c r="O85">
        <f t="shared" si="21"/>
        <v>4.9325243567999999E-2</v>
      </c>
      <c r="P85">
        <f t="shared" si="22"/>
        <v>-1.6928103890261365E-2</v>
      </c>
      <c r="V85">
        <v>2.0999999999999699</v>
      </c>
      <c r="W85">
        <f t="shared" si="23"/>
        <v>-0.61303199999999847</v>
      </c>
    </row>
    <row r="86" spans="1:23" x14ac:dyDescent="0.3">
      <c r="A86">
        <v>4.2775884</v>
      </c>
      <c r="B86">
        <v>0.62800999999999996</v>
      </c>
      <c r="C86">
        <f t="shared" si="13"/>
        <v>2.6863682910839999</v>
      </c>
      <c r="D86">
        <v>1.52E-2</v>
      </c>
      <c r="E86">
        <v>1.167E-2</v>
      </c>
      <c r="F86">
        <f t="shared" si="14"/>
        <v>855.51768000000004</v>
      </c>
      <c r="G86">
        <f t="shared" si="15"/>
        <v>-0.62800999999999996</v>
      </c>
      <c r="H86">
        <f t="shared" si="16"/>
        <v>-537.27365821679996</v>
      </c>
      <c r="I86">
        <v>1</v>
      </c>
      <c r="J86">
        <f t="shared" si="17"/>
        <v>-0.1560485195864024</v>
      </c>
      <c r="K86">
        <f t="shared" si="18"/>
        <v>-0.5937151517752175</v>
      </c>
      <c r="L86">
        <v>1</v>
      </c>
      <c r="M86">
        <f t="shared" si="19"/>
        <v>0.49544675115915671</v>
      </c>
      <c r="N86">
        <f t="shared" si="20"/>
        <v>6.5019343679999994E-2</v>
      </c>
      <c r="O86">
        <f t="shared" si="21"/>
        <v>4.9919456628E-2</v>
      </c>
      <c r="P86">
        <f t="shared" si="22"/>
        <v>-1.6670399691939203E-2</v>
      </c>
      <c r="V86">
        <v>2.19999999999997</v>
      </c>
      <c r="W86">
        <f t="shared" si="23"/>
        <v>-0.61824399999999846</v>
      </c>
    </row>
    <row r="87" spans="1:23" x14ac:dyDescent="0.3">
      <c r="A87">
        <v>4.3285068000000004</v>
      </c>
      <c r="B87">
        <v>0.62551999999999996</v>
      </c>
      <c r="C87">
        <f t="shared" si="13"/>
        <v>2.7075675735360001</v>
      </c>
      <c r="D87">
        <v>1.52E-2</v>
      </c>
      <c r="E87">
        <v>1.167E-2</v>
      </c>
      <c r="F87">
        <f t="shared" si="14"/>
        <v>865.70136000000014</v>
      </c>
      <c r="G87">
        <f t="shared" si="15"/>
        <v>-0.62551999999999996</v>
      </c>
      <c r="H87">
        <f t="shared" si="16"/>
        <v>-541.51351470719999</v>
      </c>
      <c r="I87">
        <v>1</v>
      </c>
      <c r="J87">
        <f t="shared" si="17"/>
        <v>-0.14421527977862333</v>
      </c>
      <c r="K87">
        <f t="shared" si="18"/>
        <v>-0.59620515177521749</v>
      </c>
      <c r="L87">
        <v>1</v>
      </c>
      <c r="M87">
        <f t="shared" si="19"/>
        <v>0.49606349961793816</v>
      </c>
      <c r="N87">
        <f t="shared" si="20"/>
        <v>6.5793303360000013E-2</v>
      </c>
      <c r="O87">
        <f t="shared" si="21"/>
        <v>5.0513674356000002E-2</v>
      </c>
      <c r="P87">
        <f t="shared" si="22"/>
        <v>-1.6165325558720689E-2</v>
      </c>
      <c r="V87">
        <v>2.2999999999999701</v>
      </c>
      <c r="W87">
        <f t="shared" si="23"/>
        <v>-0.62345599999999846</v>
      </c>
    </row>
    <row r="88" spans="1:23" x14ac:dyDescent="0.3">
      <c r="A88">
        <v>4.3829893000000002</v>
      </c>
      <c r="B88">
        <v>0.62317999999999996</v>
      </c>
      <c r="C88">
        <f t="shared" si="13"/>
        <v>2.7313912719740001</v>
      </c>
      <c r="D88">
        <v>1.52E-2</v>
      </c>
      <c r="E88">
        <v>1.167E-2</v>
      </c>
      <c r="F88">
        <f t="shared" si="14"/>
        <v>876.59786000000008</v>
      </c>
      <c r="G88">
        <f t="shared" si="15"/>
        <v>-0.62317999999999996</v>
      </c>
      <c r="H88">
        <f t="shared" si="16"/>
        <v>-546.2782543948</v>
      </c>
      <c r="I88">
        <v>1</v>
      </c>
      <c r="J88">
        <f t="shared" si="17"/>
        <v>-0.13170693225069324</v>
      </c>
      <c r="K88">
        <f t="shared" si="18"/>
        <v>-0.5985451517752175</v>
      </c>
      <c r="L88">
        <v>1</v>
      </c>
      <c r="M88">
        <f t="shared" si="19"/>
        <v>0.49671543469109392</v>
      </c>
      <c r="N88">
        <f t="shared" si="20"/>
        <v>6.6621437360000008E-2</v>
      </c>
      <c r="O88">
        <f t="shared" si="21"/>
        <v>5.1149485131000004E-2</v>
      </c>
      <c r="P88">
        <f t="shared" si="22"/>
        <v>-1.5941205406876428E-2</v>
      </c>
      <c r="V88">
        <v>2.3999999999999702</v>
      </c>
      <c r="W88">
        <f t="shared" si="23"/>
        <v>-0.62866799999999845</v>
      </c>
    </row>
    <row r="89" spans="1:23" x14ac:dyDescent="0.3">
      <c r="A89">
        <v>4.4364536000000001</v>
      </c>
      <c r="B89">
        <v>0.62048000000000003</v>
      </c>
      <c r="C89">
        <f t="shared" si="13"/>
        <v>2.7527307297280004</v>
      </c>
      <c r="D89">
        <v>1.52E-2</v>
      </c>
      <c r="E89">
        <v>1.167E-2</v>
      </c>
      <c r="F89">
        <f t="shared" si="14"/>
        <v>887.29071999999996</v>
      </c>
      <c r="G89">
        <f t="shared" si="15"/>
        <v>-0.62048000000000003</v>
      </c>
      <c r="H89">
        <f t="shared" si="16"/>
        <v>-550.54614594560007</v>
      </c>
      <c r="I89">
        <v>1</v>
      </c>
      <c r="J89">
        <f t="shared" si="17"/>
        <v>-0.11958259389045468</v>
      </c>
      <c r="K89">
        <f t="shared" si="18"/>
        <v>-0.60124515177521742</v>
      </c>
      <c r="L89">
        <v>1</v>
      </c>
      <c r="M89">
        <f t="shared" si="19"/>
        <v>0.49734735520642953</v>
      </c>
      <c r="N89">
        <f t="shared" si="20"/>
        <v>6.7434094720000004E-2</v>
      </c>
      <c r="O89">
        <f t="shared" si="21"/>
        <v>5.1773413512000002E-2</v>
      </c>
      <c r="P89">
        <f t="shared" si="22"/>
        <v>-1.5309711663212114E-2</v>
      </c>
      <c r="V89">
        <v>2.4999999999999698</v>
      </c>
      <c r="W89">
        <f t="shared" si="23"/>
        <v>-0.63387999999999844</v>
      </c>
    </row>
    <row r="90" spans="1:23" x14ac:dyDescent="0.3">
      <c r="A90">
        <v>4.4878812999999997</v>
      </c>
      <c r="B90">
        <v>0.61804000000000003</v>
      </c>
      <c r="C90">
        <f t="shared" si="13"/>
        <v>2.7736901586520002</v>
      </c>
      <c r="D90">
        <v>1.52E-2</v>
      </c>
      <c r="E90">
        <v>1.167E-2</v>
      </c>
      <c r="F90">
        <f t="shared" si="14"/>
        <v>897.57625999999993</v>
      </c>
      <c r="G90">
        <f t="shared" si="15"/>
        <v>-0.61804000000000003</v>
      </c>
      <c r="H90">
        <f t="shared" si="16"/>
        <v>-554.73803173040005</v>
      </c>
      <c r="I90">
        <v>1</v>
      </c>
      <c r="J90">
        <f t="shared" si="17"/>
        <v>-0.10805719287006328</v>
      </c>
      <c r="K90">
        <f t="shared" si="18"/>
        <v>-0.60368515177521742</v>
      </c>
      <c r="L90">
        <v>1</v>
      </c>
      <c r="M90">
        <f t="shared" si="19"/>
        <v>0.49794805910761231</v>
      </c>
      <c r="N90">
        <f t="shared" si="20"/>
        <v>6.8215795759999989E-2</v>
      </c>
      <c r="O90">
        <f t="shared" si="21"/>
        <v>5.2373574770999999E-2</v>
      </c>
      <c r="P90">
        <f t="shared" si="22"/>
        <v>-1.4852277863394873E-2</v>
      </c>
      <c r="V90">
        <v>2.5999999999999699</v>
      </c>
      <c r="W90">
        <f t="shared" si="23"/>
        <v>-0.63909199999999844</v>
      </c>
    </row>
    <row r="91" spans="1:23" x14ac:dyDescent="0.3">
      <c r="A91">
        <v>4.5387993</v>
      </c>
      <c r="B91">
        <v>0.61575000000000002</v>
      </c>
      <c r="C91">
        <f t="shared" si="13"/>
        <v>2.7947656689750002</v>
      </c>
      <c r="D91">
        <v>1.52E-2</v>
      </c>
      <c r="E91">
        <v>1.167E-2</v>
      </c>
      <c r="F91">
        <f t="shared" si="14"/>
        <v>907.75986</v>
      </c>
      <c r="G91">
        <f t="shared" si="15"/>
        <v>-0.61575000000000002</v>
      </c>
      <c r="H91">
        <f t="shared" si="16"/>
        <v>-558.9531337950001</v>
      </c>
      <c r="I91">
        <v>1</v>
      </c>
      <c r="J91">
        <f t="shared" si="17"/>
        <v>-9.677540672520156E-2</v>
      </c>
      <c r="K91">
        <f t="shared" si="18"/>
        <v>-0.60597515177521744</v>
      </c>
      <c r="L91">
        <v>1</v>
      </c>
      <c r="M91">
        <f t="shared" si="19"/>
        <v>0.49853606580148252</v>
      </c>
      <c r="N91">
        <f t="shared" si="20"/>
        <v>6.8989749360000005E-2</v>
      </c>
      <c r="O91">
        <f t="shared" si="21"/>
        <v>5.2967787831E-2</v>
      </c>
      <c r="P91">
        <f t="shared" si="22"/>
        <v>-1.451845121726509E-2</v>
      </c>
      <c r="V91">
        <v>2.69999999999997</v>
      </c>
      <c r="W91">
        <f t="shared" si="23"/>
        <v>-0.64430399999999843</v>
      </c>
    </row>
    <row r="92" spans="1:23" x14ac:dyDescent="0.3">
      <c r="A92">
        <v>4.5892084999999998</v>
      </c>
      <c r="B92">
        <v>0.61326999999999998</v>
      </c>
      <c r="C92">
        <f t="shared" si="13"/>
        <v>2.8144238967949997</v>
      </c>
      <c r="D92">
        <v>1.52E-2</v>
      </c>
      <c r="E92">
        <v>1.167E-2</v>
      </c>
      <c r="F92">
        <f t="shared" si="14"/>
        <v>917.84169999999995</v>
      </c>
      <c r="G92">
        <f t="shared" si="15"/>
        <v>-0.61326999999999998</v>
      </c>
      <c r="H92">
        <f t="shared" si="16"/>
        <v>-562.88477935899994</v>
      </c>
      <c r="I92">
        <v>1</v>
      </c>
      <c r="J92">
        <f t="shared" si="17"/>
        <v>-8.5730343318293822E-2</v>
      </c>
      <c r="K92">
        <f t="shared" si="18"/>
        <v>-0.60845515177521747</v>
      </c>
      <c r="L92">
        <v>1</v>
      </c>
      <c r="M92">
        <f t="shared" si="19"/>
        <v>0.49911173450625057</v>
      </c>
      <c r="N92">
        <f t="shared" si="20"/>
        <v>6.9755969200000004E-2</v>
      </c>
      <c r="O92">
        <f t="shared" si="21"/>
        <v>5.3556063194999996E-2</v>
      </c>
      <c r="P92">
        <f t="shared" si="22"/>
        <v>-1.3968615126033097E-2</v>
      </c>
      <c r="V92">
        <v>2.7999999999999701</v>
      </c>
      <c r="W92">
        <f t="shared" si="23"/>
        <v>-0.64951599999999843</v>
      </c>
    </row>
    <row r="93" spans="1:23" x14ac:dyDescent="0.3">
      <c r="A93">
        <v>4.6406362000000003</v>
      </c>
      <c r="B93">
        <v>0.61087999999999998</v>
      </c>
      <c r="C93">
        <f t="shared" si="13"/>
        <v>2.8348718418560002</v>
      </c>
      <c r="D93">
        <v>1.52E-2</v>
      </c>
      <c r="E93">
        <v>1.167E-2</v>
      </c>
      <c r="F93">
        <f t="shared" si="14"/>
        <v>928.12724000000003</v>
      </c>
      <c r="G93">
        <f t="shared" si="15"/>
        <v>-0.61087999999999998</v>
      </c>
      <c r="H93">
        <f t="shared" si="16"/>
        <v>-566.97436837120006</v>
      </c>
      <c r="I93">
        <v>1</v>
      </c>
      <c r="J93">
        <f t="shared" si="17"/>
        <v>-7.4586443525971532E-2</v>
      </c>
      <c r="K93">
        <f t="shared" si="18"/>
        <v>-0.61084515177521748</v>
      </c>
      <c r="L93">
        <v>1</v>
      </c>
      <c r="M93">
        <f t="shared" si="19"/>
        <v>0.49969255456342637</v>
      </c>
      <c r="N93">
        <f t="shared" si="20"/>
        <v>7.0537670240000003E-2</v>
      </c>
      <c r="O93">
        <f t="shared" si="21"/>
        <v>5.4156224454E-2</v>
      </c>
      <c r="P93">
        <f t="shared" si="22"/>
        <v>-1.3541297482208899E-2</v>
      </c>
      <c r="V93">
        <v>2.8999999999999702</v>
      </c>
      <c r="W93">
        <f t="shared" si="23"/>
        <v>-0.65472799999999842</v>
      </c>
    </row>
    <row r="94" spans="1:23" x14ac:dyDescent="0.3">
      <c r="A94">
        <v>4.6915547000000002</v>
      </c>
      <c r="B94">
        <v>0.60846999999999996</v>
      </c>
      <c r="C94">
        <f t="shared" si="13"/>
        <v>2.8546702883089998</v>
      </c>
      <c r="D94">
        <v>1.52E-2</v>
      </c>
      <c r="E94">
        <v>1.167E-2</v>
      </c>
      <c r="F94">
        <f t="shared" si="14"/>
        <v>938.31094000000007</v>
      </c>
      <c r="G94">
        <f t="shared" si="15"/>
        <v>-0.60846999999999996</v>
      </c>
      <c r="H94">
        <f t="shared" si="16"/>
        <v>-570.93405766180001</v>
      </c>
      <c r="I94">
        <v>1</v>
      </c>
      <c r="J94">
        <f t="shared" si="17"/>
        <v>-6.3673892370110799E-2</v>
      </c>
      <c r="K94">
        <f t="shared" si="18"/>
        <v>-0.6132551517752175</v>
      </c>
      <c r="L94">
        <v>1</v>
      </c>
      <c r="M94">
        <f t="shared" si="19"/>
        <v>0.50026131672966989</v>
      </c>
      <c r="N94">
        <f t="shared" si="20"/>
        <v>7.1311631440000009E-2</v>
      </c>
      <c r="O94">
        <f t="shared" si="21"/>
        <v>5.4750443348999998E-2</v>
      </c>
      <c r="P94">
        <f t="shared" si="22"/>
        <v>-1.3068239743452399E-2</v>
      </c>
      <c r="V94">
        <v>2.9999999999999698</v>
      </c>
      <c r="W94">
        <f t="shared" si="23"/>
        <v>-0.65993999999999842</v>
      </c>
    </row>
    <row r="95" spans="1:23" x14ac:dyDescent="0.3">
      <c r="A95">
        <v>4.7429819000000002</v>
      </c>
      <c r="B95">
        <v>0.60601000000000005</v>
      </c>
      <c r="C95">
        <f t="shared" si="13"/>
        <v>2.8742944612190002</v>
      </c>
      <c r="D95">
        <v>1.52E-2</v>
      </c>
      <c r="E95">
        <v>1.167E-2</v>
      </c>
      <c r="F95">
        <f t="shared" si="14"/>
        <v>948.59638000000007</v>
      </c>
      <c r="G95">
        <f t="shared" si="15"/>
        <v>-0.60601000000000005</v>
      </c>
      <c r="H95">
        <f t="shared" si="16"/>
        <v>-574.85889224380003</v>
      </c>
      <c r="I95">
        <v>1</v>
      </c>
      <c r="J95">
        <f t="shared" si="17"/>
        <v>-5.277188169605318E-2</v>
      </c>
      <c r="K95">
        <f t="shared" si="18"/>
        <v>-0.61571515177521741</v>
      </c>
      <c r="L95">
        <v>1</v>
      </c>
      <c r="M95">
        <f t="shared" si="19"/>
        <v>0.50082952952600168</v>
      </c>
      <c r="N95">
        <f t="shared" si="20"/>
        <v>7.2093324880000004E-2</v>
      </c>
      <c r="O95">
        <f t="shared" si="21"/>
        <v>5.5350598772999998E-2</v>
      </c>
      <c r="P95">
        <f t="shared" si="22"/>
        <v>-1.2558301403784278E-2</v>
      </c>
      <c r="V95">
        <v>3.0999999999999699</v>
      </c>
      <c r="W95">
        <f t="shared" si="23"/>
        <v>-0.66515199999999841</v>
      </c>
    </row>
    <row r="96" spans="1:23" x14ac:dyDescent="0.3">
      <c r="A96">
        <v>4.7959370000000003</v>
      </c>
      <c r="B96">
        <v>0.60343000000000002</v>
      </c>
      <c r="C96">
        <f t="shared" si="13"/>
        <v>2.8940122639100001</v>
      </c>
      <c r="D96">
        <v>1.52E-2</v>
      </c>
      <c r="E96">
        <v>1.167E-2</v>
      </c>
      <c r="F96">
        <f t="shared" si="14"/>
        <v>959.18740000000003</v>
      </c>
      <c r="G96">
        <f t="shared" si="15"/>
        <v>-0.60343000000000002</v>
      </c>
      <c r="H96">
        <f t="shared" si="16"/>
        <v>-578.80245278200005</v>
      </c>
      <c r="I96">
        <v>1</v>
      </c>
      <c r="J96">
        <f t="shared" si="17"/>
        <v>-4.1668811301732028E-2</v>
      </c>
      <c r="K96">
        <f t="shared" si="18"/>
        <v>-0.61829515177521743</v>
      </c>
      <c r="L96">
        <v>1</v>
      </c>
      <c r="M96">
        <f t="shared" si="19"/>
        <v>0.50140822155495379</v>
      </c>
      <c r="N96">
        <f t="shared" si="20"/>
        <v>7.2898242400000007E-2</v>
      </c>
      <c r="O96">
        <f t="shared" si="21"/>
        <v>5.5968584790000005E-2</v>
      </c>
      <c r="P96">
        <f t="shared" si="22"/>
        <v>-1.1979896969736371E-2</v>
      </c>
      <c r="V96">
        <v>3.19999999999997</v>
      </c>
      <c r="W96">
        <f t="shared" si="23"/>
        <v>-0.67036399999999841</v>
      </c>
    </row>
    <row r="97" spans="1:23" x14ac:dyDescent="0.3">
      <c r="A97">
        <v>4.8468555000000002</v>
      </c>
      <c r="B97">
        <v>0.60109000000000001</v>
      </c>
      <c r="C97">
        <f t="shared" si="13"/>
        <v>2.9133963724950003</v>
      </c>
      <c r="D97">
        <v>1.52E-2</v>
      </c>
      <c r="E97">
        <v>1.167E-2</v>
      </c>
      <c r="F97">
        <f t="shared" si="14"/>
        <v>969.37110000000007</v>
      </c>
      <c r="G97">
        <f t="shared" si="15"/>
        <v>-0.60109000000000001</v>
      </c>
      <c r="H97">
        <f t="shared" si="16"/>
        <v>-582.67927449900003</v>
      </c>
      <c r="I97">
        <v>1</v>
      </c>
      <c r="J97">
        <f t="shared" si="17"/>
        <v>-3.1107768270258598E-2</v>
      </c>
      <c r="K97">
        <f t="shared" si="18"/>
        <v>-0.62063515177521744</v>
      </c>
      <c r="L97">
        <v>1</v>
      </c>
      <c r="M97">
        <f t="shared" si="19"/>
        <v>0.50195866311775417</v>
      </c>
      <c r="N97">
        <f t="shared" si="20"/>
        <v>7.36722036E-2</v>
      </c>
      <c r="O97">
        <f t="shared" si="21"/>
        <v>5.6562803685000003E-2</v>
      </c>
      <c r="P97">
        <f t="shared" si="22"/>
        <v>-1.1558518627536728E-2</v>
      </c>
      <c r="V97">
        <v>3.2999999999999701</v>
      </c>
      <c r="W97">
        <f t="shared" si="23"/>
        <v>-0.6755759999999984</v>
      </c>
    </row>
    <row r="98" spans="1:23" x14ac:dyDescent="0.3">
      <c r="A98">
        <v>4.8972645999999997</v>
      </c>
      <c r="B98">
        <v>0.59875999999999996</v>
      </c>
      <c r="C98">
        <f t="shared" si="13"/>
        <v>2.9322861518959997</v>
      </c>
      <c r="D98">
        <v>1.52E-2</v>
      </c>
      <c r="E98">
        <v>1.167E-2</v>
      </c>
      <c r="F98">
        <f t="shared" si="14"/>
        <v>979.45291999999995</v>
      </c>
      <c r="G98">
        <f t="shared" si="15"/>
        <v>-0.59875999999999996</v>
      </c>
      <c r="H98">
        <f t="shared" si="16"/>
        <v>-586.45723037919993</v>
      </c>
      <c r="I98">
        <v>1</v>
      </c>
      <c r="J98">
        <f t="shared" si="17"/>
        <v>-2.0761108092176014E-2</v>
      </c>
      <c r="K98">
        <f t="shared" si="18"/>
        <v>-0.6229651517752175</v>
      </c>
      <c r="L98">
        <v>1</v>
      </c>
      <c r="M98">
        <f t="shared" si="19"/>
        <v>0.50249793104623586</v>
      </c>
      <c r="N98">
        <f t="shared" si="20"/>
        <v>7.4438421919999997E-2</v>
      </c>
      <c r="O98">
        <f t="shared" si="21"/>
        <v>5.7151077881999995E-2</v>
      </c>
      <c r="P98">
        <f t="shared" si="22"/>
        <v>-1.1122279073018354E-2</v>
      </c>
      <c r="V98">
        <v>3.3999999999999702</v>
      </c>
      <c r="W98">
        <f t="shared" si="23"/>
        <v>-0.68078799999999851</v>
      </c>
    </row>
    <row r="99" spans="1:23" x14ac:dyDescent="0.3">
      <c r="A99">
        <v>4.9502196999999999</v>
      </c>
      <c r="B99">
        <v>0.59624999999999995</v>
      </c>
      <c r="C99">
        <f t="shared" si="13"/>
        <v>2.9515684961249997</v>
      </c>
      <c r="D99">
        <v>1.52E-2</v>
      </c>
      <c r="E99">
        <v>1.167E-2</v>
      </c>
      <c r="F99">
        <f t="shared" si="14"/>
        <v>990.04394000000002</v>
      </c>
      <c r="G99">
        <f t="shared" si="15"/>
        <v>-0.59624999999999995</v>
      </c>
      <c r="H99">
        <f t="shared" si="16"/>
        <v>-590.31369922499994</v>
      </c>
      <c r="I99">
        <v>1</v>
      </c>
      <c r="J99">
        <f t="shared" si="17"/>
        <v>-1.0005953000050947E-2</v>
      </c>
      <c r="K99">
        <f t="shared" si="18"/>
        <v>-0.62547515177521751</v>
      </c>
      <c r="L99">
        <v>1</v>
      </c>
      <c r="M99">
        <f t="shared" si="19"/>
        <v>0.5030584897296374</v>
      </c>
      <c r="N99">
        <f t="shared" si="20"/>
        <v>7.5243339440000001E-2</v>
      </c>
      <c r="O99">
        <f t="shared" si="21"/>
        <v>5.7769063898999995E-2</v>
      </c>
      <c r="P99">
        <f t="shared" si="22"/>
        <v>-1.0595741293419891E-2</v>
      </c>
      <c r="V99">
        <v>3.4999999999999698</v>
      </c>
      <c r="W99">
        <f t="shared" si="23"/>
        <v>-0.68599999999999839</v>
      </c>
    </row>
    <row r="100" spans="1:23" x14ac:dyDescent="0.3">
      <c r="A100">
        <v>5.0016470000000002</v>
      </c>
      <c r="B100">
        <v>0.59397999999999995</v>
      </c>
      <c r="C100">
        <f t="shared" si="13"/>
        <v>2.97087828506</v>
      </c>
      <c r="D100">
        <v>1.52E-2</v>
      </c>
      <c r="E100">
        <v>1.167E-2</v>
      </c>
      <c r="F100">
        <f t="shared" si="14"/>
        <v>1000.3294000000001</v>
      </c>
      <c r="G100">
        <f t="shared" si="15"/>
        <v>-0.59397999999999995</v>
      </c>
      <c r="H100">
        <f t="shared" si="16"/>
        <v>-594.17565701199999</v>
      </c>
      <c r="I100">
        <v>1</v>
      </c>
      <c r="J100">
        <f t="shared" si="17"/>
        <v>3.2934575973087141E-4</v>
      </c>
      <c r="K100">
        <f t="shared" si="18"/>
        <v>-0.6277451517752175</v>
      </c>
      <c r="L100">
        <v>1</v>
      </c>
      <c r="M100">
        <f t="shared" si="19"/>
        <v>0.5035971655009972</v>
      </c>
      <c r="N100">
        <f t="shared" si="20"/>
        <v>7.6025034399999997E-2</v>
      </c>
      <c r="O100">
        <f t="shared" si="21"/>
        <v>5.8369220489999998E-2</v>
      </c>
      <c r="P100">
        <f t="shared" si="22"/>
        <v>-1.0246268615779694E-2</v>
      </c>
      <c r="V100">
        <v>3.5999999999999699</v>
      </c>
      <c r="W100">
        <f t="shared" ref="W100:W131" si="24">V100*$S$5+$S$4</f>
        <v>-0.69121199999999849</v>
      </c>
    </row>
    <row r="101" spans="1:23" x14ac:dyDescent="0.3">
      <c r="A101">
        <v>5.0520562</v>
      </c>
      <c r="B101">
        <v>0.59152000000000005</v>
      </c>
      <c r="C101">
        <f t="shared" si="13"/>
        <v>2.9883922834240004</v>
      </c>
      <c r="D101">
        <v>1.52E-2</v>
      </c>
      <c r="E101">
        <v>1.167E-2</v>
      </c>
      <c r="F101">
        <f t="shared" si="14"/>
        <v>1010.41124</v>
      </c>
      <c r="G101">
        <f t="shared" si="15"/>
        <v>-0.59152000000000005</v>
      </c>
      <c r="H101">
        <f t="shared" si="16"/>
        <v>-597.67845668480004</v>
      </c>
      <c r="I101">
        <v>1</v>
      </c>
      <c r="J101">
        <f t="shared" si="17"/>
        <v>1.0357416299474766E-2</v>
      </c>
      <c r="K101">
        <f t="shared" si="18"/>
        <v>-0.63020515177521741</v>
      </c>
      <c r="L101">
        <v>1</v>
      </c>
      <c r="M101">
        <f t="shared" si="19"/>
        <v>0.50411982853752868</v>
      </c>
      <c r="N101">
        <f t="shared" si="20"/>
        <v>7.6791254239999995E-2</v>
      </c>
      <c r="O101">
        <f t="shared" si="21"/>
        <v>5.8957495854000001E-2</v>
      </c>
      <c r="P101">
        <f t="shared" si="22"/>
        <v>-9.6634268563112677E-3</v>
      </c>
      <c r="V101">
        <v>3.69999999999997</v>
      </c>
      <c r="W101">
        <f t="shared" si="24"/>
        <v>-0.69642399999999849</v>
      </c>
    </row>
    <row r="102" spans="1:23" x14ac:dyDescent="0.3">
      <c r="A102">
        <v>5.1080664000000002</v>
      </c>
      <c r="B102">
        <v>0.58899999999999997</v>
      </c>
      <c r="C102">
        <f t="shared" si="13"/>
        <v>3.0086511096000002</v>
      </c>
      <c r="D102">
        <v>1.52E-2</v>
      </c>
      <c r="E102">
        <v>1.167E-2</v>
      </c>
      <c r="F102">
        <f t="shared" si="14"/>
        <v>1021.61328</v>
      </c>
      <c r="G102">
        <f t="shared" si="15"/>
        <v>-0.58899999999999997</v>
      </c>
      <c r="H102">
        <f t="shared" si="16"/>
        <v>-601.73022192000008</v>
      </c>
      <c r="I102">
        <v>1</v>
      </c>
      <c r="J102">
        <f t="shared" si="17"/>
        <v>2.1383024868617997E-2</v>
      </c>
      <c r="K102">
        <f t="shared" si="18"/>
        <v>-0.63272515177521749</v>
      </c>
      <c r="L102">
        <v>1</v>
      </c>
      <c r="M102">
        <f t="shared" si="19"/>
        <v>0.5046944832561524</v>
      </c>
      <c r="N102">
        <f t="shared" si="20"/>
        <v>7.7642609279999997E-2</v>
      </c>
      <c r="O102">
        <f t="shared" si="21"/>
        <v>5.9611134888000003E-2</v>
      </c>
      <c r="P102">
        <f t="shared" si="22"/>
        <v>-9.2230756489349169E-3</v>
      </c>
      <c r="V102">
        <v>3.7999999999999701</v>
      </c>
      <c r="W102">
        <f t="shared" si="24"/>
        <v>-0.70163599999999848</v>
      </c>
    </row>
    <row r="103" spans="1:23" x14ac:dyDescent="0.3">
      <c r="A103">
        <v>5.1584751000000004</v>
      </c>
      <c r="B103">
        <v>0.58621000000000001</v>
      </c>
      <c r="C103">
        <f t="shared" si="13"/>
        <v>3.0239496883710002</v>
      </c>
      <c r="D103">
        <v>1.52E-2</v>
      </c>
      <c r="E103">
        <v>1.167E-2</v>
      </c>
      <c r="F103">
        <f t="shared" si="14"/>
        <v>1031.6950200000001</v>
      </c>
      <c r="G103">
        <f t="shared" si="15"/>
        <v>-0.58621000000000001</v>
      </c>
      <c r="H103">
        <f t="shared" si="16"/>
        <v>-604.78993767420002</v>
      </c>
      <c r="I103">
        <v>1</v>
      </c>
      <c r="J103">
        <f t="shared" si="17"/>
        <v>3.1203100127954818E-2</v>
      </c>
      <c r="K103">
        <f t="shared" si="18"/>
        <v>-0.63551515177521745</v>
      </c>
      <c r="L103">
        <v>1</v>
      </c>
      <c r="M103">
        <f t="shared" si="19"/>
        <v>0.50520630557866908</v>
      </c>
      <c r="N103">
        <f t="shared" si="20"/>
        <v>7.8408821520000005E-2</v>
      </c>
      <c r="O103">
        <f t="shared" si="21"/>
        <v>6.0199404417000002E-2</v>
      </c>
      <c r="P103">
        <f t="shared" si="22"/>
        <v>-8.2993797404516401E-3</v>
      </c>
      <c r="V103">
        <v>3.8999999999999599</v>
      </c>
      <c r="W103">
        <f t="shared" si="24"/>
        <v>-0.70684799999999792</v>
      </c>
    </row>
    <row r="104" spans="1:23" x14ac:dyDescent="0.3">
      <c r="A104">
        <v>5.2093936000000003</v>
      </c>
      <c r="B104">
        <v>0.58386000000000005</v>
      </c>
      <c r="C104">
        <f t="shared" si="13"/>
        <v>3.0415565472960004</v>
      </c>
      <c r="D104">
        <v>1.52E-2</v>
      </c>
      <c r="E104">
        <v>1.167E-2</v>
      </c>
      <c r="F104">
        <f t="shared" si="14"/>
        <v>1041.8787200000002</v>
      </c>
      <c r="G104">
        <f t="shared" si="15"/>
        <v>-0.58386000000000005</v>
      </c>
      <c r="H104">
        <f t="shared" si="16"/>
        <v>-608.31130945920006</v>
      </c>
      <c r="I104">
        <v>1</v>
      </c>
      <c r="J104">
        <f t="shared" si="17"/>
        <v>4.1025545002450189E-2</v>
      </c>
      <c r="K104">
        <f t="shared" si="18"/>
        <v>-0.63786515177521741</v>
      </c>
      <c r="L104">
        <v>1</v>
      </c>
      <c r="M104">
        <f t="shared" si="19"/>
        <v>0.50571825140552773</v>
      </c>
      <c r="N104">
        <f t="shared" si="20"/>
        <v>7.9182782720000011E-2</v>
      </c>
      <c r="O104">
        <f t="shared" si="21"/>
        <v>6.0793623312E-2</v>
      </c>
      <c r="P104">
        <f t="shared" si="22"/>
        <v>-7.8295056623103321E-3</v>
      </c>
      <c r="V104">
        <v>3.99999999999996</v>
      </c>
      <c r="W104">
        <f t="shared" si="24"/>
        <v>-0.71205999999999792</v>
      </c>
    </row>
    <row r="105" spans="1:23" x14ac:dyDescent="0.3">
      <c r="A105">
        <v>5.2613301000000003</v>
      </c>
      <c r="B105">
        <v>0.58174000000000003</v>
      </c>
      <c r="C105">
        <f t="shared" si="13"/>
        <v>3.0607261723740002</v>
      </c>
      <c r="D105">
        <v>1.52E-2</v>
      </c>
      <c r="E105">
        <v>1.167E-2</v>
      </c>
      <c r="F105">
        <f t="shared" si="14"/>
        <v>1052.26602</v>
      </c>
      <c r="G105">
        <f t="shared" si="15"/>
        <v>-0.58174000000000003</v>
      </c>
      <c r="H105">
        <f t="shared" si="16"/>
        <v>-612.14523447480008</v>
      </c>
      <c r="I105">
        <v>1</v>
      </c>
      <c r="J105">
        <f t="shared" si="17"/>
        <v>5.094595307153927E-2</v>
      </c>
      <c r="K105">
        <f t="shared" si="18"/>
        <v>-0.63998515177521742</v>
      </c>
      <c r="L105">
        <v>1</v>
      </c>
      <c r="M105">
        <f t="shared" si="19"/>
        <v>0.5062353030740887</v>
      </c>
      <c r="N105">
        <f t="shared" si="20"/>
        <v>7.997221752E-2</v>
      </c>
      <c r="O105">
        <f t="shared" si="21"/>
        <v>6.1399722267000002E-2</v>
      </c>
      <c r="P105">
        <f t="shared" si="22"/>
        <v>-7.6220910858712868E-3</v>
      </c>
      <c r="V105">
        <v>4.0999999999999996</v>
      </c>
      <c r="W105">
        <f t="shared" si="24"/>
        <v>-0.71727200000000002</v>
      </c>
    </row>
    <row r="106" spans="1:23" x14ac:dyDescent="0.3">
      <c r="A106">
        <v>5.3163223000000004</v>
      </c>
      <c r="B106">
        <v>0.57894000000000001</v>
      </c>
      <c r="C106">
        <f t="shared" si="13"/>
        <v>3.0778316323620003</v>
      </c>
      <c r="D106">
        <v>1.52E-2</v>
      </c>
      <c r="E106">
        <v>1.167E-2</v>
      </c>
      <c r="F106">
        <f t="shared" si="14"/>
        <v>1063.2644600000001</v>
      </c>
      <c r="G106">
        <f t="shared" si="15"/>
        <v>-0.57894000000000001</v>
      </c>
      <c r="H106">
        <f t="shared" si="16"/>
        <v>-615.56632647240008</v>
      </c>
      <c r="I106">
        <v>1</v>
      </c>
      <c r="J106">
        <f t="shared" si="17"/>
        <v>6.1343854871026816E-2</v>
      </c>
      <c r="K106">
        <f t="shared" si="18"/>
        <v>-0.64278515177521744</v>
      </c>
      <c r="L106">
        <v>1</v>
      </c>
      <c r="M106">
        <f t="shared" si="19"/>
        <v>0.5067772417158779</v>
      </c>
      <c r="N106">
        <f t="shared" si="20"/>
        <v>8.0808098960000005E-2</v>
      </c>
      <c r="O106">
        <f t="shared" si="21"/>
        <v>6.2041481241E-2</v>
      </c>
      <c r="P106">
        <f t="shared" si="22"/>
        <v>-6.8416701416604622E-3</v>
      </c>
      <c r="V106">
        <v>4.2</v>
      </c>
      <c r="W106">
        <f t="shared" si="24"/>
        <v>-0.72248400000000002</v>
      </c>
    </row>
    <row r="107" spans="1:23" x14ac:dyDescent="0.3">
      <c r="A107">
        <v>5.3687680999999996</v>
      </c>
      <c r="B107">
        <v>0.57650999999999997</v>
      </c>
      <c r="C107">
        <f t="shared" si="13"/>
        <v>3.0951484973309995</v>
      </c>
      <c r="D107">
        <v>1.52E-2</v>
      </c>
      <c r="E107">
        <v>1.167E-2</v>
      </c>
      <c r="F107">
        <f t="shared" si="14"/>
        <v>1073.75362</v>
      </c>
      <c r="G107">
        <f t="shared" si="15"/>
        <v>-0.57650999999999997</v>
      </c>
      <c r="H107">
        <f t="shared" si="16"/>
        <v>-619.02969946619987</v>
      </c>
      <c r="I107">
        <v>1</v>
      </c>
      <c r="J107">
        <f t="shared" si="17"/>
        <v>7.116056567269391E-2</v>
      </c>
      <c r="K107">
        <f t="shared" si="18"/>
        <v>-0.64521515177521749</v>
      </c>
      <c r="L107">
        <v>1</v>
      </c>
      <c r="M107">
        <f t="shared" si="19"/>
        <v>0.50728888868286082</v>
      </c>
      <c r="N107">
        <f t="shared" si="20"/>
        <v>8.1605275119999987E-2</v>
      </c>
      <c r="O107">
        <f t="shared" si="21"/>
        <v>6.2653523726999991E-2</v>
      </c>
      <c r="P107">
        <f t="shared" si="22"/>
        <v>-6.3325357546433064E-3</v>
      </c>
      <c r="V107">
        <v>4.3</v>
      </c>
      <c r="W107">
        <f t="shared" si="24"/>
        <v>-0.72769600000000001</v>
      </c>
    </row>
    <row r="108" spans="1:23" x14ac:dyDescent="0.3">
      <c r="A108">
        <v>5.4227411999999999</v>
      </c>
      <c r="B108">
        <v>0.57394999999999996</v>
      </c>
      <c r="C108">
        <f t="shared" si="13"/>
        <v>3.1123823117399998</v>
      </c>
      <c r="D108">
        <v>1.52E-2</v>
      </c>
      <c r="E108">
        <v>1.167E-2</v>
      </c>
      <c r="F108">
        <f t="shared" si="14"/>
        <v>1084.5482400000001</v>
      </c>
      <c r="G108">
        <f t="shared" si="15"/>
        <v>-0.57394999999999996</v>
      </c>
      <c r="H108">
        <f t="shared" si="16"/>
        <v>-622.47646234799993</v>
      </c>
      <c r="I108">
        <v>1</v>
      </c>
      <c r="J108">
        <f t="shared" si="17"/>
        <v>8.1163531623328067E-2</v>
      </c>
      <c r="K108">
        <f t="shared" si="18"/>
        <v>-0.64777515177521749</v>
      </c>
      <c r="L108">
        <v>1</v>
      </c>
      <c r="M108">
        <f t="shared" si="19"/>
        <v>0.50781024326820789</v>
      </c>
      <c r="N108">
        <f t="shared" si="20"/>
        <v>8.2425666240000001E-2</v>
      </c>
      <c r="O108">
        <f t="shared" si="21"/>
        <v>6.3283389804000001E-2</v>
      </c>
      <c r="P108">
        <f t="shared" si="22"/>
        <v>-5.7441475369904016E-3</v>
      </c>
      <c r="V108">
        <v>4.4000000000000004</v>
      </c>
      <c r="W108">
        <f t="shared" si="24"/>
        <v>-0.732908</v>
      </c>
    </row>
    <row r="109" spans="1:23" x14ac:dyDescent="0.3">
      <c r="A109">
        <v>5.4731509000000003</v>
      </c>
      <c r="B109">
        <v>0.57177999999999995</v>
      </c>
      <c r="C109">
        <f t="shared" si="13"/>
        <v>3.1294382216019998</v>
      </c>
      <c r="D109">
        <v>1.52E-2</v>
      </c>
      <c r="E109">
        <v>1.167E-2</v>
      </c>
      <c r="F109">
        <f t="shared" si="14"/>
        <v>1094.6301800000001</v>
      </c>
      <c r="G109">
        <f t="shared" si="15"/>
        <v>-0.57177999999999995</v>
      </c>
      <c r="H109">
        <f t="shared" si="16"/>
        <v>-625.8876443204</v>
      </c>
      <c r="I109">
        <v>1</v>
      </c>
      <c r="J109">
        <f t="shared" si="17"/>
        <v>9.0416571063283199E-2</v>
      </c>
      <c r="K109">
        <f t="shared" si="18"/>
        <v>-0.6499451517752175</v>
      </c>
      <c r="L109">
        <v>1</v>
      </c>
      <c r="M109">
        <f t="shared" si="19"/>
        <v>0.50829251168381839</v>
      </c>
      <c r="N109">
        <f t="shared" si="20"/>
        <v>8.3191893680000004E-2</v>
      </c>
      <c r="O109">
        <f t="shared" si="21"/>
        <v>6.3871671003000008E-2</v>
      </c>
      <c r="P109">
        <f t="shared" si="22"/>
        <v>-5.4109245916009047E-3</v>
      </c>
      <c r="V109">
        <v>4.5</v>
      </c>
      <c r="W109">
        <f t="shared" si="24"/>
        <v>-0.73812</v>
      </c>
    </row>
    <row r="110" spans="1:23" x14ac:dyDescent="0.3">
      <c r="A110">
        <v>5.5261054999999999</v>
      </c>
      <c r="B110">
        <v>0.56920000000000004</v>
      </c>
      <c r="C110">
        <f t="shared" si="13"/>
        <v>3.1454592506000001</v>
      </c>
      <c r="D110">
        <v>1.52E-2</v>
      </c>
      <c r="E110">
        <v>1.167E-2</v>
      </c>
      <c r="F110">
        <f t="shared" si="14"/>
        <v>1105.2211</v>
      </c>
      <c r="G110">
        <f t="shared" si="15"/>
        <v>-0.56920000000000004</v>
      </c>
      <c r="H110">
        <f t="shared" si="16"/>
        <v>-629.09185012</v>
      </c>
      <c r="I110">
        <v>1</v>
      </c>
      <c r="J110">
        <f t="shared" si="17"/>
        <v>0.10004540545201999</v>
      </c>
      <c r="K110">
        <f t="shared" si="18"/>
        <v>-0.65252515177521742</v>
      </c>
      <c r="L110">
        <v>1</v>
      </c>
      <c r="M110">
        <f t="shared" si="19"/>
        <v>0.50879436653215926</v>
      </c>
      <c r="N110">
        <f t="shared" si="20"/>
        <v>8.3996803600000003E-2</v>
      </c>
      <c r="O110">
        <f t="shared" si="21"/>
        <v>6.4489651184999996E-2</v>
      </c>
      <c r="P110">
        <f t="shared" si="22"/>
        <v>-4.7556695419418427E-3</v>
      </c>
      <c r="V110">
        <v>4.5999999999999996</v>
      </c>
      <c r="W110">
        <f t="shared" si="24"/>
        <v>-0.74333199999999999</v>
      </c>
    </row>
    <row r="111" spans="1:23" x14ac:dyDescent="0.3">
      <c r="A111">
        <v>5.5785517999999996</v>
      </c>
      <c r="B111">
        <v>0.56655</v>
      </c>
      <c r="C111">
        <f t="shared" si="13"/>
        <v>3.1605285222899999</v>
      </c>
      <c r="D111">
        <v>1.52E-2</v>
      </c>
      <c r="E111">
        <v>1.167E-2</v>
      </c>
      <c r="F111">
        <f t="shared" si="14"/>
        <v>1115.71036</v>
      </c>
      <c r="G111">
        <f t="shared" si="15"/>
        <v>-0.56655</v>
      </c>
      <c r="H111">
        <f t="shared" si="16"/>
        <v>-632.10570445799999</v>
      </c>
      <c r="I111">
        <v>1</v>
      </c>
      <c r="J111">
        <f t="shared" si="17"/>
        <v>0.10949129622415003</v>
      </c>
      <c r="K111">
        <f t="shared" si="18"/>
        <v>-0.65517515177521746</v>
      </c>
      <c r="L111">
        <v>1</v>
      </c>
      <c r="M111">
        <f t="shared" si="19"/>
        <v>0.50928668635920271</v>
      </c>
      <c r="N111">
        <f t="shared" si="20"/>
        <v>8.4793987359999989E-2</v>
      </c>
      <c r="O111">
        <f t="shared" si="21"/>
        <v>6.5101699505999991E-2</v>
      </c>
      <c r="P111">
        <f t="shared" si="22"/>
        <v>-4.0072214499852349E-3</v>
      </c>
      <c r="V111">
        <v>4.7</v>
      </c>
      <c r="W111">
        <f t="shared" si="24"/>
        <v>-0.7485440000000001</v>
      </c>
    </row>
    <row r="112" spans="1:23" x14ac:dyDescent="0.3">
      <c r="A112">
        <v>5.6294702000000001</v>
      </c>
      <c r="B112">
        <v>0.56406000000000001</v>
      </c>
      <c r="C112">
        <f t="shared" si="13"/>
        <v>3.1753589610119999</v>
      </c>
      <c r="D112">
        <v>1.52E-2</v>
      </c>
      <c r="E112">
        <v>1.167E-2</v>
      </c>
      <c r="F112">
        <f t="shared" si="14"/>
        <v>1125.8940400000001</v>
      </c>
      <c r="G112">
        <f t="shared" si="15"/>
        <v>-0.56406000000000001</v>
      </c>
      <c r="H112">
        <f t="shared" si="16"/>
        <v>-635.07179220239993</v>
      </c>
      <c r="I112">
        <v>1</v>
      </c>
      <c r="J112">
        <f t="shared" si="17"/>
        <v>0.11857742226999365</v>
      </c>
      <c r="K112">
        <f t="shared" si="18"/>
        <v>-0.65766515177521745</v>
      </c>
      <c r="L112">
        <v>1</v>
      </c>
      <c r="M112">
        <f t="shared" si="19"/>
        <v>0.50976025524871205</v>
      </c>
      <c r="N112">
        <f t="shared" si="20"/>
        <v>8.5567947039999995E-2</v>
      </c>
      <c r="O112">
        <f t="shared" si="21"/>
        <v>6.5695917234000006E-2</v>
      </c>
      <c r="P112">
        <f t="shared" si="22"/>
        <v>-3.3589677474945984E-3</v>
      </c>
      <c r="V112">
        <v>4.8</v>
      </c>
      <c r="W112">
        <f t="shared" si="24"/>
        <v>-0.75375600000000009</v>
      </c>
    </row>
    <row r="113" spans="1:23" x14ac:dyDescent="0.3">
      <c r="A113">
        <v>5.6819154999999997</v>
      </c>
      <c r="B113">
        <v>0.56164000000000003</v>
      </c>
      <c r="C113">
        <f t="shared" si="13"/>
        <v>3.1911910214199999</v>
      </c>
      <c r="D113">
        <v>1.52E-2</v>
      </c>
      <c r="E113">
        <v>1.167E-2</v>
      </c>
      <c r="F113">
        <f t="shared" si="14"/>
        <v>1136.3831</v>
      </c>
      <c r="G113">
        <f t="shared" si="15"/>
        <v>-0.56164000000000003</v>
      </c>
      <c r="H113">
        <f t="shared" si="16"/>
        <v>-638.23820428399995</v>
      </c>
      <c r="I113">
        <v>1</v>
      </c>
      <c r="J113">
        <f t="shared" si="17"/>
        <v>0.12785049936320236</v>
      </c>
      <c r="K113">
        <f t="shared" si="18"/>
        <v>-0.66008515177521743</v>
      </c>
      <c r="L113">
        <v>1</v>
      </c>
      <c r="M113">
        <f t="shared" si="19"/>
        <v>0.51024356802681015</v>
      </c>
      <c r="N113">
        <f t="shared" si="20"/>
        <v>8.63651156E-2</v>
      </c>
      <c r="O113">
        <f t="shared" si="21"/>
        <v>6.6307953884999993E-2</v>
      </c>
      <c r="P113">
        <f t="shared" si="22"/>
        <v>-2.8314857365927121E-3</v>
      </c>
      <c r="V113">
        <v>4.9000000000000004</v>
      </c>
      <c r="W113">
        <f t="shared" si="24"/>
        <v>-0.75896800000000009</v>
      </c>
    </row>
    <row r="114" spans="1:23" x14ac:dyDescent="0.3">
      <c r="A114">
        <v>5.7343618000000003</v>
      </c>
      <c r="B114">
        <v>0.55940999999999996</v>
      </c>
      <c r="C114">
        <f t="shared" si="13"/>
        <v>3.207859334538</v>
      </c>
      <c r="D114">
        <v>1.52E-2</v>
      </c>
      <c r="E114">
        <v>1.167E-2</v>
      </c>
      <c r="F114">
        <f t="shared" si="14"/>
        <v>1146.8723600000001</v>
      </c>
      <c r="G114">
        <f t="shared" si="15"/>
        <v>-0.55940999999999996</v>
      </c>
      <c r="H114">
        <f t="shared" si="16"/>
        <v>-641.5718669076</v>
      </c>
      <c r="I114">
        <v>1</v>
      </c>
      <c r="J114">
        <f t="shared" si="17"/>
        <v>0.13703855035079182</v>
      </c>
      <c r="K114">
        <f t="shared" si="18"/>
        <v>-0.66231515177521749</v>
      </c>
      <c r="L114">
        <v>1</v>
      </c>
      <c r="M114">
        <f t="shared" si="19"/>
        <v>0.51072244924428334</v>
      </c>
      <c r="N114">
        <f t="shared" si="20"/>
        <v>8.7162299360000001E-2</v>
      </c>
      <c r="O114">
        <f t="shared" si="21"/>
        <v>6.6920002206000001E-2</v>
      </c>
      <c r="P114">
        <f t="shared" si="22"/>
        <v>-2.4895990350658481E-3</v>
      </c>
      <c r="V114">
        <v>5</v>
      </c>
      <c r="W114">
        <f t="shared" si="24"/>
        <v>-0.76418000000000008</v>
      </c>
    </row>
    <row r="115" spans="1:23" x14ac:dyDescent="0.3">
      <c r="A115">
        <v>5.7857890999999997</v>
      </c>
      <c r="B115">
        <v>0.55689</v>
      </c>
      <c r="C115">
        <f t="shared" si="13"/>
        <v>3.222048091899</v>
      </c>
      <c r="D115">
        <v>1.52E-2</v>
      </c>
      <c r="E115">
        <v>1.167E-2</v>
      </c>
      <c r="F115">
        <f t="shared" si="14"/>
        <v>1157.1578199999999</v>
      </c>
      <c r="G115">
        <f t="shared" si="15"/>
        <v>-0.55689</v>
      </c>
      <c r="H115">
        <f t="shared" si="16"/>
        <v>-644.40961837980001</v>
      </c>
      <c r="I115">
        <v>1</v>
      </c>
      <c r="J115">
        <f t="shared" si="17"/>
        <v>0.1459668434036743</v>
      </c>
      <c r="K115">
        <f t="shared" si="18"/>
        <v>-0.66483515177521746</v>
      </c>
      <c r="L115">
        <v>1</v>
      </c>
      <c r="M115">
        <f t="shared" si="19"/>
        <v>0.51118779187819952</v>
      </c>
      <c r="N115">
        <f t="shared" si="20"/>
        <v>8.7943994319999996E-2</v>
      </c>
      <c r="O115">
        <f t="shared" si="21"/>
        <v>6.7520158796999991E-2</v>
      </c>
      <c r="P115">
        <f t="shared" si="22"/>
        <v>-1.8167932199820436E-3</v>
      </c>
      <c r="V115">
        <v>5.0999999999999996</v>
      </c>
      <c r="W115">
        <f t="shared" si="24"/>
        <v>-0.76939200000000008</v>
      </c>
    </row>
    <row r="116" spans="1:23" x14ac:dyDescent="0.3">
      <c r="A116">
        <v>5.8377255999999997</v>
      </c>
      <c r="B116">
        <v>0.5544</v>
      </c>
      <c r="C116">
        <f t="shared" si="13"/>
        <v>3.23643507264</v>
      </c>
      <c r="D116">
        <v>1.52E-2</v>
      </c>
      <c r="E116">
        <v>1.167E-2</v>
      </c>
      <c r="F116">
        <f t="shared" si="14"/>
        <v>1167.54512</v>
      </c>
      <c r="G116">
        <f t="shared" si="15"/>
        <v>-0.5544</v>
      </c>
      <c r="H116">
        <f t="shared" si="16"/>
        <v>-647.28701452799999</v>
      </c>
      <c r="I116">
        <v>1</v>
      </c>
      <c r="J116">
        <f t="shared" si="17"/>
        <v>0.15490335649509376</v>
      </c>
      <c r="K116">
        <f t="shared" si="18"/>
        <v>-0.66732515177521745</v>
      </c>
      <c r="L116">
        <v>1</v>
      </c>
      <c r="M116">
        <f t="shared" si="19"/>
        <v>0.51165356294052433</v>
      </c>
      <c r="N116">
        <f t="shared" si="20"/>
        <v>8.8733429119999999E-2</v>
      </c>
      <c r="O116">
        <f t="shared" si="21"/>
        <v>6.8126257752E-2</v>
      </c>
      <c r="P116">
        <f t="shared" si="22"/>
        <v>-1.1880980373068784E-3</v>
      </c>
      <c r="V116">
        <v>5.2</v>
      </c>
      <c r="W116">
        <f t="shared" si="24"/>
        <v>-0.77460400000000007</v>
      </c>
    </row>
    <row r="117" spans="1:23" x14ac:dyDescent="0.3">
      <c r="A117">
        <v>5.8927173000000002</v>
      </c>
      <c r="B117">
        <v>0.55189999999999995</v>
      </c>
      <c r="C117">
        <f t="shared" si="13"/>
        <v>3.2521906778699998</v>
      </c>
      <c r="D117">
        <v>1.52E-2</v>
      </c>
      <c r="E117">
        <v>1.167E-2</v>
      </c>
      <c r="F117">
        <f t="shared" si="14"/>
        <v>1178.5434600000001</v>
      </c>
      <c r="G117">
        <f t="shared" si="15"/>
        <v>-0.55189999999999995</v>
      </c>
      <c r="H117">
        <f t="shared" si="16"/>
        <v>-650.43813557399994</v>
      </c>
      <c r="I117">
        <v>1</v>
      </c>
      <c r="J117">
        <f t="shared" si="17"/>
        <v>0.16427932010060292</v>
      </c>
      <c r="K117">
        <f t="shared" si="18"/>
        <v>-0.66982515177521751</v>
      </c>
      <c r="L117">
        <v>1</v>
      </c>
      <c r="M117">
        <f t="shared" si="19"/>
        <v>0.51214223816364346</v>
      </c>
      <c r="N117">
        <f t="shared" si="20"/>
        <v>8.956930296E-2</v>
      </c>
      <c r="O117">
        <f t="shared" si="21"/>
        <v>6.8768010891E-2</v>
      </c>
      <c r="P117">
        <f t="shared" si="22"/>
        <v>-6.5440023942595071E-4</v>
      </c>
      <c r="V117">
        <v>5.3</v>
      </c>
      <c r="W117">
        <f t="shared" si="24"/>
        <v>-0.77981600000000006</v>
      </c>
    </row>
    <row r="118" spans="1:23" x14ac:dyDescent="0.3">
      <c r="A118">
        <v>5.9436356999999997</v>
      </c>
      <c r="B118">
        <v>0.54917000000000005</v>
      </c>
      <c r="C118">
        <f t="shared" si="13"/>
        <v>3.2640664173689999</v>
      </c>
      <c r="D118">
        <v>1.52E-2</v>
      </c>
      <c r="E118">
        <v>1.167E-2</v>
      </c>
      <c r="F118">
        <f t="shared" si="14"/>
        <v>1188.72714</v>
      </c>
      <c r="G118">
        <f t="shared" si="15"/>
        <v>-0.54917000000000005</v>
      </c>
      <c r="H118">
        <f t="shared" si="16"/>
        <v>-652.81328347379997</v>
      </c>
      <c r="I118">
        <v>1</v>
      </c>
      <c r="J118">
        <f t="shared" si="17"/>
        <v>0.17288310440864699</v>
      </c>
      <c r="K118">
        <f t="shared" si="18"/>
        <v>-0.67255515177521741</v>
      </c>
      <c r="L118">
        <v>1</v>
      </c>
      <c r="M118">
        <f t="shared" si="19"/>
        <v>0.51259066740177872</v>
      </c>
      <c r="N118">
        <f t="shared" si="20"/>
        <v>9.0343262639999991E-2</v>
      </c>
      <c r="O118">
        <f t="shared" si="21"/>
        <v>6.9362228619000002E-2</v>
      </c>
      <c r="P118">
        <f t="shared" si="22"/>
        <v>2.5899311443869366E-4</v>
      </c>
      <c r="V118">
        <v>5.4</v>
      </c>
      <c r="W118">
        <f t="shared" si="24"/>
        <v>-0.78502800000000006</v>
      </c>
    </row>
    <row r="119" spans="1:23" x14ac:dyDescent="0.3">
      <c r="A119">
        <v>5.9945541999999996</v>
      </c>
      <c r="B119">
        <v>0.54698000000000002</v>
      </c>
      <c r="C119">
        <f t="shared" si="13"/>
        <v>3.2789012563159998</v>
      </c>
      <c r="D119">
        <v>1.52E-2</v>
      </c>
      <c r="E119">
        <v>1.167E-2</v>
      </c>
      <c r="F119">
        <f t="shared" si="14"/>
        <v>1198.91084</v>
      </c>
      <c r="G119">
        <f t="shared" si="15"/>
        <v>-0.54698000000000002</v>
      </c>
      <c r="H119">
        <f t="shared" si="16"/>
        <v>-655.78025126319994</v>
      </c>
      <c r="I119">
        <v>1</v>
      </c>
      <c r="J119">
        <f t="shared" si="17"/>
        <v>0.18141351131208197</v>
      </c>
      <c r="K119">
        <f t="shared" si="18"/>
        <v>-0.67474515177521743</v>
      </c>
      <c r="L119">
        <v>1</v>
      </c>
      <c r="M119">
        <f t="shared" si="19"/>
        <v>0.51303527220958578</v>
      </c>
      <c r="N119">
        <f t="shared" si="20"/>
        <v>9.1117223839999997E-2</v>
      </c>
      <c r="O119">
        <f t="shared" si="21"/>
        <v>6.9956447514E-2</v>
      </c>
      <c r="P119">
        <f t="shared" si="22"/>
        <v>6.3620821163165586E-4</v>
      </c>
      <c r="V119">
        <v>5.5</v>
      </c>
      <c r="W119">
        <f t="shared" si="24"/>
        <v>-0.79024000000000005</v>
      </c>
    </row>
    <row r="120" spans="1:23" x14ac:dyDescent="0.3">
      <c r="A120">
        <v>6.0459819000000001</v>
      </c>
      <c r="B120">
        <v>0.54461000000000004</v>
      </c>
      <c r="C120">
        <f t="shared" si="13"/>
        <v>3.2927022025590005</v>
      </c>
      <c r="D120">
        <v>1.52E-2</v>
      </c>
      <c r="E120">
        <v>1.167E-2</v>
      </c>
      <c r="F120">
        <f t="shared" si="14"/>
        <v>1209.1963800000001</v>
      </c>
      <c r="G120">
        <f t="shared" si="15"/>
        <v>-0.54461000000000004</v>
      </c>
      <c r="H120">
        <f t="shared" si="16"/>
        <v>-658.54044051180006</v>
      </c>
      <c r="I120">
        <v>1</v>
      </c>
      <c r="J120">
        <f t="shared" si="17"/>
        <v>0.18995599020383203</v>
      </c>
      <c r="K120">
        <f t="shared" si="18"/>
        <v>-0.67711515177521742</v>
      </c>
      <c r="L120">
        <v>1</v>
      </c>
      <c r="M120">
        <f t="shared" si="19"/>
        <v>0.51348050620942376</v>
      </c>
      <c r="N120">
        <f t="shared" si="20"/>
        <v>9.1898924879999996E-2</v>
      </c>
      <c r="O120">
        <f t="shared" si="21"/>
        <v>7.0556608773000004E-2</v>
      </c>
      <c r="P120">
        <f t="shared" si="22"/>
        <v>1.1791119127936567E-3</v>
      </c>
      <c r="V120">
        <v>5.6</v>
      </c>
      <c r="W120">
        <f t="shared" si="24"/>
        <v>-0.79545200000000005</v>
      </c>
    </row>
    <row r="121" spans="1:23" x14ac:dyDescent="0.3">
      <c r="A121">
        <v>6.0974092000000004</v>
      </c>
      <c r="B121">
        <v>0.54222000000000004</v>
      </c>
      <c r="C121">
        <f t="shared" si="13"/>
        <v>3.3061372164240006</v>
      </c>
      <c r="D121">
        <v>1.52E-2</v>
      </c>
      <c r="E121">
        <v>1.167E-2</v>
      </c>
      <c r="F121">
        <f t="shared" si="14"/>
        <v>1219.4818400000001</v>
      </c>
      <c r="G121">
        <f t="shared" si="15"/>
        <v>-0.54222000000000004</v>
      </c>
      <c r="H121">
        <f t="shared" si="16"/>
        <v>-661.22744328480007</v>
      </c>
      <c r="I121">
        <v>1</v>
      </c>
      <c r="J121">
        <f t="shared" si="17"/>
        <v>0.19842604721404722</v>
      </c>
      <c r="K121">
        <f t="shared" si="18"/>
        <v>-0.67950515177521742</v>
      </c>
      <c r="L121">
        <v>1</v>
      </c>
      <c r="M121">
        <f t="shared" si="19"/>
        <v>0.51392196558079617</v>
      </c>
      <c r="N121">
        <f t="shared" si="20"/>
        <v>9.2680619840000006E-2</v>
      </c>
      <c r="O121">
        <f t="shared" si="21"/>
        <v>7.1156765364000008E-2</v>
      </c>
      <c r="P121">
        <f t="shared" si="22"/>
        <v>1.7458009904212368E-3</v>
      </c>
      <c r="V121">
        <v>5.7</v>
      </c>
      <c r="W121">
        <f t="shared" si="24"/>
        <v>-0.80066400000000004</v>
      </c>
    </row>
    <row r="122" spans="1:23" x14ac:dyDescent="0.3">
      <c r="A122">
        <v>6.1483276</v>
      </c>
      <c r="B122">
        <v>0.53995000000000004</v>
      </c>
      <c r="C122">
        <f t="shared" si="13"/>
        <v>3.31978948762</v>
      </c>
      <c r="D122">
        <v>1.52E-2</v>
      </c>
      <c r="E122">
        <v>1.167E-2</v>
      </c>
      <c r="F122">
        <f t="shared" si="14"/>
        <v>1229.66552</v>
      </c>
      <c r="G122">
        <f t="shared" si="15"/>
        <v>-0.53995000000000004</v>
      </c>
      <c r="H122">
        <f t="shared" si="16"/>
        <v>-663.95789752400003</v>
      </c>
      <c r="I122">
        <v>1</v>
      </c>
      <c r="J122">
        <f t="shared" si="17"/>
        <v>0.206742197443961</v>
      </c>
      <c r="K122">
        <f t="shared" si="18"/>
        <v>-0.68177515177521741</v>
      </c>
      <c r="L122">
        <v>1</v>
      </c>
      <c r="M122">
        <f t="shared" si="19"/>
        <v>0.51435540333077923</v>
      </c>
      <c r="N122">
        <f t="shared" si="20"/>
        <v>9.3454579519999997E-2</v>
      </c>
      <c r="O122">
        <f t="shared" si="21"/>
        <v>7.1750983091999995E-2</v>
      </c>
      <c r="P122">
        <f t="shared" si="22"/>
        <v>2.2141858324381952E-3</v>
      </c>
      <c r="V122">
        <v>5.8</v>
      </c>
      <c r="W122">
        <f t="shared" si="24"/>
        <v>-0.80587600000000004</v>
      </c>
    </row>
    <row r="123" spans="1:23" x14ac:dyDescent="0.3">
      <c r="A123">
        <v>6.2023013000000002</v>
      </c>
      <c r="B123">
        <v>0.53724000000000005</v>
      </c>
      <c r="C123">
        <f t="shared" si="13"/>
        <v>3.3321243504120006</v>
      </c>
      <c r="D123">
        <v>1.52E-2</v>
      </c>
      <c r="E123">
        <v>1.167E-2</v>
      </c>
      <c r="F123">
        <f t="shared" si="14"/>
        <v>1240.4602600000001</v>
      </c>
      <c r="G123">
        <f t="shared" si="15"/>
        <v>-0.53724000000000005</v>
      </c>
      <c r="H123">
        <f t="shared" si="16"/>
        <v>-666.42487008240016</v>
      </c>
      <c r="I123">
        <v>1</v>
      </c>
      <c r="J123">
        <f t="shared" si="17"/>
        <v>0.21548248816700338</v>
      </c>
      <c r="K123">
        <f t="shared" si="18"/>
        <v>-0.6844851517752174</v>
      </c>
      <c r="L123">
        <v>1</v>
      </c>
      <c r="M123">
        <f t="shared" si="19"/>
        <v>0.51481094728326426</v>
      </c>
      <c r="N123">
        <f t="shared" si="20"/>
        <v>9.4274979760000002E-2</v>
      </c>
      <c r="O123">
        <f t="shared" si="21"/>
        <v>7.2380856170999999E-2</v>
      </c>
      <c r="P123">
        <f t="shared" si="22"/>
        <v>3.0183685609531385E-3</v>
      </c>
      <c r="V123">
        <v>5.9</v>
      </c>
      <c r="W123">
        <f t="shared" si="24"/>
        <v>-0.81108800000000003</v>
      </c>
    </row>
    <row r="124" spans="1:23" x14ac:dyDescent="0.3">
      <c r="A124">
        <v>6.2557650999999996</v>
      </c>
      <c r="B124">
        <v>0.53496999999999995</v>
      </c>
      <c r="C124">
        <f t="shared" si="13"/>
        <v>3.3466466555469996</v>
      </c>
      <c r="D124">
        <v>1.52E-2</v>
      </c>
      <c r="E124">
        <v>1.167E-2</v>
      </c>
      <c r="F124">
        <f t="shared" si="14"/>
        <v>1251.15302</v>
      </c>
      <c r="G124">
        <f t="shared" si="15"/>
        <v>-0.53496999999999995</v>
      </c>
      <c r="H124">
        <f t="shared" si="16"/>
        <v>-669.32933110939996</v>
      </c>
      <c r="I124">
        <v>1</v>
      </c>
      <c r="J124">
        <f t="shared" si="17"/>
        <v>0.22406554215000338</v>
      </c>
      <c r="K124">
        <f t="shared" si="18"/>
        <v>-0.68675515177521751</v>
      </c>
      <c r="L124">
        <v>1</v>
      </c>
      <c r="M124">
        <f t="shared" si="19"/>
        <v>0.51525829605685824</v>
      </c>
      <c r="N124">
        <f t="shared" si="20"/>
        <v>9.5087629519999994E-2</v>
      </c>
      <c r="O124">
        <f t="shared" si="21"/>
        <v>7.3004778716999993E-2</v>
      </c>
      <c r="P124">
        <f t="shared" si="22"/>
        <v>3.4044474813592768E-3</v>
      </c>
      <c r="V124">
        <v>6</v>
      </c>
      <c r="W124">
        <f t="shared" si="24"/>
        <v>-0.81630000000000003</v>
      </c>
    </row>
    <row r="125" spans="1:23" x14ac:dyDescent="0.3">
      <c r="A125">
        <v>6.3077021000000002</v>
      </c>
      <c r="B125">
        <v>0.53210000000000002</v>
      </c>
      <c r="C125">
        <f t="shared" si="13"/>
        <v>3.3563282874100002</v>
      </c>
      <c r="D125">
        <v>1.52E-2</v>
      </c>
      <c r="E125">
        <v>1.167E-2</v>
      </c>
      <c r="F125">
        <f t="shared" si="14"/>
        <v>1261.54042</v>
      </c>
      <c r="G125">
        <f t="shared" si="15"/>
        <v>-0.53210000000000002</v>
      </c>
      <c r="H125">
        <f t="shared" si="16"/>
        <v>-671.26565748200005</v>
      </c>
      <c r="I125">
        <v>1</v>
      </c>
      <c r="J125">
        <f t="shared" si="17"/>
        <v>0.23233352980643535</v>
      </c>
      <c r="K125">
        <f t="shared" si="18"/>
        <v>-0.68962515177521744</v>
      </c>
      <c r="L125">
        <v>1</v>
      </c>
      <c r="M125">
        <f t="shared" si="19"/>
        <v>0.51568922357351143</v>
      </c>
      <c r="N125">
        <f t="shared" si="20"/>
        <v>9.5877071920000001E-2</v>
      </c>
      <c r="O125">
        <f t="shared" si="21"/>
        <v>7.3610883506999999E-2</v>
      </c>
      <c r="P125">
        <f t="shared" si="22"/>
        <v>4.4479727747060022E-3</v>
      </c>
      <c r="V125">
        <v>6.1</v>
      </c>
      <c r="W125">
        <f t="shared" si="24"/>
        <v>-0.82151200000000002</v>
      </c>
    </row>
    <row r="126" spans="1:23" x14ac:dyDescent="0.3">
      <c r="A126">
        <v>6.3581113</v>
      </c>
      <c r="B126">
        <v>0.52978999999999998</v>
      </c>
      <c r="C126">
        <f t="shared" si="13"/>
        <v>3.3684637856270001</v>
      </c>
      <c r="D126">
        <v>1.52E-2</v>
      </c>
      <c r="E126">
        <v>1.167E-2</v>
      </c>
      <c r="F126">
        <f t="shared" si="14"/>
        <v>1271.6222600000001</v>
      </c>
      <c r="G126">
        <f t="shared" si="15"/>
        <v>-0.52978999999999998</v>
      </c>
      <c r="H126">
        <f t="shared" si="16"/>
        <v>-673.69275712540002</v>
      </c>
      <c r="I126">
        <v>1</v>
      </c>
      <c r="J126">
        <f t="shared" si="17"/>
        <v>0.24029345540616678</v>
      </c>
      <c r="K126">
        <f t="shared" si="18"/>
        <v>-0.69193515177521747</v>
      </c>
      <c r="L126">
        <v>1</v>
      </c>
      <c r="M126">
        <f t="shared" si="19"/>
        <v>0.51610409489576947</v>
      </c>
      <c r="N126">
        <f t="shared" si="20"/>
        <v>9.664329176E-2</v>
      </c>
      <c r="O126">
        <f t="shared" si="21"/>
        <v>7.4199158870999996E-2</v>
      </c>
      <c r="P126">
        <f t="shared" si="22"/>
        <v>4.9886062484480048E-3</v>
      </c>
      <c r="V126">
        <v>6.2</v>
      </c>
      <c r="W126">
        <f t="shared" si="24"/>
        <v>-0.82672400000000001</v>
      </c>
    </row>
    <row r="127" spans="1:23" x14ac:dyDescent="0.3">
      <c r="A127">
        <v>6.4090287999999997</v>
      </c>
      <c r="B127">
        <v>0.52749999999999997</v>
      </c>
      <c r="C127">
        <f t="shared" si="13"/>
        <v>3.3807626919999998</v>
      </c>
      <c r="D127">
        <v>1.52E-2</v>
      </c>
      <c r="E127">
        <v>1.167E-2</v>
      </c>
      <c r="F127">
        <f t="shared" si="14"/>
        <v>1281.80576</v>
      </c>
      <c r="G127">
        <f t="shared" si="15"/>
        <v>-0.52749999999999997</v>
      </c>
      <c r="H127">
        <f t="shared" si="16"/>
        <v>-676.15253839999991</v>
      </c>
      <c r="I127">
        <v>1</v>
      </c>
      <c r="J127">
        <f t="shared" si="17"/>
        <v>0.24826983375865422</v>
      </c>
      <c r="K127">
        <f t="shared" si="18"/>
        <v>-0.69422515177521749</v>
      </c>
      <c r="L127">
        <v>1</v>
      </c>
      <c r="M127">
        <f t="shared" si="19"/>
        <v>0.51651982373550109</v>
      </c>
      <c r="N127">
        <f t="shared" si="20"/>
        <v>9.7417237759999997E-2</v>
      </c>
      <c r="O127">
        <f t="shared" si="21"/>
        <v>7.4793366096E-2</v>
      </c>
      <c r="P127">
        <f t="shared" si="22"/>
        <v>5.4947241837163957E-3</v>
      </c>
      <c r="V127">
        <v>6.3</v>
      </c>
      <c r="W127">
        <f t="shared" si="24"/>
        <v>-0.83193600000000001</v>
      </c>
    </row>
    <row r="128" spans="1:23" x14ac:dyDescent="0.3">
      <c r="A128">
        <v>6.4604569999999999</v>
      </c>
      <c r="B128">
        <v>0.52512999999999999</v>
      </c>
      <c r="C128">
        <f t="shared" si="13"/>
        <v>3.3925797844099996</v>
      </c>
      <c r="D128">
        <v>1.52E-2</v>
      </c>
      <c r="E128">
        <v>1.167E-2</v>
      </c>
      <c r="F128">
        <f t="shared" si="14"/>
        <v>1292.0914</v>
      </c>
      <c r="G128">
        <f t="shared" si="15"/>
        <v>-0.52512999999999999</v>
      </c>
      <c r="H128">
        <f t="shared" si="16"/>
        <v>-678.51595688199995</v>
      </c>
      <c r="I128">
        <v>1</v>
      </c>
      <c r="J128">
        <f t="shared" si="17"/>
        <v>0.25626214589229551</v>
      </c>
      <c r="K128">
        <f t="shared" si="18"/>
        <v>-0.69659515177521747</v>
      </c>
      <c r="L128">
        <v>1</v>
      </c>
      <c r="M128">
        <f t="shared" si="19"/>
        <v>0.51693638304390643</v>
      </c>
      <c r="N128">
        <f t="shared" si="20"/>
        <v>9.8198946400000001E-2</v>
      </c>
      <c r="O128">
        <f t="shared" si="21"/>
        <v>7.5393533190000001E-2</v>
      </c>
      <c r="P128">
        <f t="shared" si="22"/>
        <v>6.0662891413110348E-3</v>
      </c>
      <c r="V128">
        <v>6.4</v>
      </c>
      <c r="W128">
        <f t="shared" si="24"/>
        <v>-0.837148</v>
      </c>
    </row>
    <row r="129" spans="1:23" x14ac:dyDescent="0.3">
      <c r="A129">
        <v>6.5113750000000001</v>
      </c>
      <c r="B129">
        <v>0.52248000000000006</v>
      </c>
      <c r="C129">
        <f t="shared" si="13"/>
        <v>3.4020632100000006</v>
      </c>
      <c r="D129">
        <v>1.52E-2</v>
      </c>
      <c r="E129">
        <v>1.167E-2</v>
      </c>
      <c r="F129">
        <f t="shared" si="14"/>
        <v>1302.2750000000001</v>
      </c>
      <c r="G129">
        <f t="shared" si="15"/>
        <v>-0.52248000000000006</v>
      </c>
      <c r="H129">
        <f t="shared" si="16"/>
        <v>-680.41264200000012</v>
      </c>
      <c r="I129">
        <v>1</v>
      </c>
      <c r="J129">
        <f t="shared" si="17"/>
        <v>0.26411273500160798</v>
      </c>
      <c r="K129">
        <f t="shared" si="18"/>
        <v>-0.6992451517752174</v>
      </c>
      <c r="L129">
        <v>1</v>
      </c>
      <c r="M129">
        <f t="shared" si="19"/>
        <v>0.51734555574828378</v>
      </c>
      <c r="N129">
        <f t="shared" si="20"/>
        <v>9.8972900000000003E-2</v>
      </c>
      <c r="O129">
        <f t="shared" si="21"/>
        <v>7.5987746250000002E-2</v>
      </c>
      <c r="P129">
        <f t="shared" si="22"/>
        <v>6.9389497769336145E-3</v>
      </c>
      <c r="V129">
        <v>6.5</v>
      </c>
      <c r="W129">
        <f t="shared" si="24"/>
        <v>-0.84236</v>
      </c>
    </row>
    <row r="130" spans="1:23" x14ac:dyDescent="0.3">
      <c r="A130">
        <v>6.5628032000000003</v>
      </c>
      <c r="B130">
        <v>0.52003999999999995</v>
      </c>
      <c r="C130">
        <f t="shared" si="13"/>
        <v>3.4129201761279999</v>
      </c>
      <c r="D130">
        <v>1.52E-2</v>
      </c>
      <c r="E130">
        <v>1.167E-2</v>
      </c>
      <c r="F130">
        <f t="shared" si="14"/>
        <v>1312.5606400000001</v>
      </c>
      <c r="G130">
        <f t="shared" si="15"/>
        <v>-0.52003999999999995</v>
      </c>
      <c r="H130">
        <f t="shared" si="16"/>
        <v>-682.58403522560002</v>
      </c>
      <c r="I130">
        <v>1</v>
      </c>
      <c r="J130">
        <f t="shared" si="17"/>
        <v>0.27197991632112856</v>
      </c>
      <c r="K130">
        <f t="shared" si="18"/>
        <v>-0.70168515177521751</v>
      </c>
      <c r="L130">
        <v>1</v>
      </c>
      <c r="M130">
        <f t="shared" si="19"/>
        <v>0.51775559323865727</v>
      </c>
      <c r="N130">
        <f t="shared" si="20"/>
        <v>9.9754608640000006E-2</v>
      </c>
      <c r="O130">
        <f t="shared" si="21"/>
        <v>7.6587913344000003E-2</v>
      </c>
      <c r="P130">
        <f t="shared" si="22"/>
        <v>7.5870365525602251E-3</v>
      </c>
      <c r="V130">
        <v>6.6</v>
      </c>
      <c r="W130">
        <f t="shared" si="24"/>
        <v>-0.84757199999999999</v>
      </c>
    </row>
    <row r="131" spans="1:23" x14ac:dyDescent="0.3">
      <c r="A131">
        <v>6.6162671</v>
      </c>
      <c r="B131">
        <v>0.51754</v>
      </c>
      <c r="C131">
        <f t="shared" si="13"/>
        <v>3.424182874934</v>
      </c>
      <c r="D131">
        <v>1.52E-2</v>
      </c>
      <c r="E131">
        <v>1.167E-2</v>
      </c>
      <c r="F131">
        <f t="shared" si="14"/>
        <v>1323.25342</v>
      </c>
      <c r="G131">
        <f t="shared" si="15"/>
        <v>-0.51754</v>
      </c>
      <c r="H131">
        <f t="shared" si="16"/>
        <v>-684.83657498679997</v>
      </c>
      <c r="I131">
        <v>1</v>
      </c>
      <c r="J131">
        <f t="shared" si="17"/>
        <v>0.28009341629824619</v>
      </c>
      <c r="K131">
        <f t="shared" si="18"/>
        <v>-0.70418515177521745</v>
      </c>
      <c r="L131">
        <v>1</v>
      </c>
      <c r="M131">
        <f t="shared" si="19"/>
        <v>0.51817846885746466</v>
      </c>
      <c r="N131">
        <f t="shared" si="20"/>
        <v>0.10056725992</v>
      </c>
      <c r="O131">
        <f t="shared" si="21"/>
        <v>7.7211837056999993E-2</v>
      </c>
      <c r="P131">
        <f t="shared" si="22"/>
        <v>8.2275859407528046E-3</v>
      </c>
      <c r="V131">
        <v>6.7</v>
      </c>
      <c r="W131">
        <f t="shared" si="24"/>
        <v>-0.85278399999999999</v>
      </c>
    </row>
    <row r="132" spans="1:23" x14ac:dyDescent="0.3">
      <c r="A132">
        <v>6.6697313999999999</v>
      </c>
      <c r="B132">
        <v>0.51500999999999997</v>
      </c>
      <c r="C132">
        <f t="shared" ref="C132:C195" si="25">A132*B132</f>
        <v>3.4349783683139998</v>
      </c>
      <c r="D132">
        <v>1.52E-2</v>
      </c>
      <c r="E132">
        <v>1.167E-2</v>
      </c>
      <c r="F132">
        <f t="shared" ref="F132:F195" si="26">A132*200</f>
        <v>1333.9462799999999</v>
      </c>
      <c r="G132">
        <f t="shared" ref="G132:G195" si="27">-B132</f>
        <v>-0.51500999999999997</v>
      </c>
      <c r="H132">
        <f t="shared" ref="H132:H195" si="28">-C132*200</f>
        <v>-686.99567366279996</v>
      </c>
      <c r="I132">
        <v>1</v>
      </c>
      <c r="J132">
        <f t="shared" ref="J132:J195" si="29">LN(F132/1000)</f>
        <v>0.28814167681751168</v>
      </c>
      <c r="K132">
        <f t="shared" ref="K132:K195" si="30">((-G132)-$N$2)</f>
        <v>-0.70671515177521749</v>
      </c>
      <c r="L132">
        <v>1</v>
      </c>
      <c r="M132">
        <f t="shared" ref="M132:M195" si="31">-1*($S$4+($S$5*J132))</f>
        <v>0.51859794419572869</v>
      </c>
      <c r="N132">
        <f t="shared" ref="N132:N195" si="32">D132*A132</f>
        <v>0.10137991728</v>
      </c>
      <c r="O132">
        <f t="shared" ref="O132:O195" si="33">E132*A132</f>
        <v>7.7835765437999999E-2</v>
      </c>
      <c r="P132">
        <f t="shared" ref="P132:P195" si="34">-K132-M132-N132-O132</f>
        <v>8.9015248614888048E-3</v>
      </c>
      <c r="V132">
        <v>6.8</v>
      </c>
      <c r="W132">
        <f t="shared" ref="W132:W139" si="35">V132*$S$5+$S$4</f>
        <v>-0.85799599999999998</v>
      </c>
    </row>
    <row r="133" spans="1:23" x14ac:dyDescent="0.3">
      <c r="A133">
        <v>6.7221767999999997</v>
      </c>
      <c r="B133">
        <v>0.51237999999999995</v>
      </c>
      <c r="C133">
        <f t="shared" si="25"/>
        <v>3.4443089487839993</v>
      </c>
      <c r="D133">
        <v>1.52E-2</v>
      </c>
      <c r="E133">
        <v>1.167E-2</v>
      </c>
      <c r="F133">
        <f t="shared" si="26"/>
        <v>1344.4353599999999</v>
      </c>
      <c r="G133">
        <f t="shared" si="27"/>
        <v>-0.51237999999999995</v>
      </c>
      <c r="H133">
        <f t="shared" si="28"/>
        <v>-688.86178975679991</v>
      </c>
      <c r="I133">
        <v>1</v>
      </c>
      <c r="J133">
        <f t="shared" si="29"/>
        <v>0.29597411821885372</v>
      </c>
      <c r="K133">
        <f t="shared" si="30"/>
        <v>-0.70934515177521751</v>
      </c>
      <c r="L133">
        <v>1</v>
      </c>
      <c r="M133">
        <f t="shared" si="31"/>
        <v>0.51900617104156666</v>
      </c>
      <c r="N133">
        <f t="shared" si="32"/>
        <v>0.10217708736</v>
      </c>
      <c r="O133">
        <f t="shared" si="33"/>
        <v>7.8447803255999995E-2</v>
      </c>
      <c r="P133">
        <f t="shared" si="34"/>
        <v>9.7140901176508559E-3</v>
      </c>
      <c r="V133">
        <v>6.9</v>
      </c>
      <c r="W133">
        <f t="shared" si="35"/>
        <v>-0.86320799999999998</v>
      </c>
    </row>
    <row r="134" spans="1:23" x14ac:dyDescent="0.3">
      <c r="A134">
        <v>6.7751327999999997</v>
      </c>
      <c r="B134">
        <v>0.50990000000000002</v>
      </c>
      <c r="C134">
        <f t="shared" si="25"/>
        <v>3.4546402147199999</v>
      </c>
      <c r="D134">
        <v>1.52E-2</v>
      </c>
      <c r="E134">
        <v>1.167E-2</v>
      </c>
      <c r="F134">
        <f t="shared" si="26"/>
        <v>1355.02656</v>
      </c>
      <c r="G134">
        <f t="shared" si="27"/>
        <v>-0.50990000000000002</v>
      </c>
      <c r="H134">
        <f t="shared" si="28"/>
        <v>-690.92804294400003</v>
      </c>
      <c r="I134">
        <v>1</v>
      </c>
      <c r="J134">
        <f t="shared" si="29"/>
        <v>0.30382105561557254</v>
      </c>
      <c r="K134">
        <f t="shared" si="30"/>
        <v>-0.71182515177521744</v>
      </c>
      <c r="L134">
        <v>1</v>
      </c>
      <c r="M134">
        <f t="shared" si="31"/>
        <v>0.51941515341868372</v>
      </c>
      <c r="N134">
        <f t="shared" si="32"/>
        <v>0.10298201856</v>
      </c>
      <c r="O134">
        <f t="shared" si="33"/>
        <v>7.9065799775999993E-2</v>
      </c>
      <c r="P134">
        <f t="shared" si="34"/>
        <v>1.0362180020533726E-2</v>
      </c>
      <c r="V134">
        <v>7</v>
      </c>
      <c r="W134">
        <f t="shared" si="35"/>
        <v>-0.86841999999999997</v>
      </c>
    </row>
    <row r="135" spans="1:23" x14ac:dyDescent="0.3">
      <c r="A135">
        <v>6.8255414999999999</v>
      </c>
      <c r="B135">
        <v>0.50743000000000005</v>
      </c>
      <c r="C135">
        <f t="shared" si="25"/>
        <v>3.4634845233450005</v>
      </c>
      <c r="D135">
        <v>1.52E-2</v>
      </c>
      <c r="E135">
        <v>1.167E-2</v>
      </c>
      <c r="F135">
        <f t="shared" si="26"/>
        <v>1365.1082999999999</v>
      </c>
      <c r="G135">
        <f t="shared" si="27"/>
        <v>-0.50743000000000005</v>
      </c>
      <c r="H135">
        <f t="shared" si="28"/>
        <v>-692.69690466900011</v>
      </c>
      <c r="I135">
        <v>1</v>
      </c>
      <c r="J135">
        <f t="shared" si="29"/>
        <v>0.31123376614896003</v>
      </c>
      <c r="K135">
        <f t="shared" si="30"/>
        <v>-0.71429515177521741</v>
      </c>
      <c r="L135">
        <v>1</v>
      </c>
      <c r="M135">
        <f t="shared" si="31"/>
        <v>0.51980150389168378</v>
      </c>
      <c r="N135">
        <f t="shared" si="32"/>
        <v>0.10374823079999999</v>
      </c>
      <c r="O135">
        <f t="shared" si="33"/>
        <v>7.9654069304999991E-2</v>
      </c>
      <c r="P135">
        <f t="shared" si="34"/>
        <v>1.1091347778533642E-2</v>
      </c>
      <c r="V135">
        <v>7.1</v>
      </c>
      <c r="W135">
        <f t="shared" si="35"/>
        <v>-0.87363199999999996</v>
      </c>
    </row>
    <row r="136" spans="1:23" x14ac:dyDescent="0.3">
      <c r="A136">
        <v>6.8779868000000004</v>
      </c>
      <c r="B136">
        <v>0.50499000000000005</v>
      </c>
      <c r="C136">
        <f t="shared" si="25"/>
        <v>3.4733145541320005</v>
      </c>
      <c r="D136">
        <v>1.52E-2</v>
      </c>
      <c r="E136">
        <v>1.167E-2</v>
      </c>
      <c r="F136">
        <f t="shared" si="26"/>
        <v>1375.59736</v>
      </c>
      <c r="G136">
        <f t="shared" si="27"/>
        <v>-0.50499000000000005</v>
      </c>
      <c r="H136">
        <f t="shared" si="28"/>
        <v>-694.66291082640009</v>
      </c>
      <c r="I136">
        <v>1</v>
      </c>
      <c r="J136">
        <f t="shared" si="29"/>
        <v>0.31888808041158523</v>
      </c>
      <c r="K136">
        <f t="shared" si="30"/>
        <v>-0.71673515177521741</v>
      </c>
      <c r="L136">
        <v>1</v>
      </c>
      <c r="M136">
        <f t="shared" si="31"/>
        <v>0.52020044675105181</v>
      </c>
      <c r="N136">
        <f t="shared" si="32"/>
        <v>0.10454539936</v>
      </c>
      <c r="O136">
        <f t="shared" si="33"/>
        <v>8.0266105956000006E-2</v>
      </c>
      <c r="P136">
        <f t="shared" si="34"/>
        <v>1.1723199708165585E-2</v>
      </c>
      <c r="V136">
        <v>7.2</v>
      </c>
      <c r="W136">
        <f t="shared" si="35"/>
        <v>-0.87884399999999996</v>
      </c>
    </row>
    <row r="137" spans="1:23" x14ac:dyDescent="0.3">
      <c r="A137">
        <v>6.9289053000000003</v>
      </c>
      <c r="B137">
        <v>0.50256999999999996</v>
      </c>
      <c r="C137">
        <f t="shared" si="25"/>
        <v>3.4822599366209999</v>
      </c>
      <c r="D137">
        <v>1.52E-2</v>
      </c>
      <c r="E137">
        <v>1.167E-2</v>
      </c>
      <c r="F137">
        <f t="shared" si="26"/>
        <v>1385.78106</v>
      </c>
      <c r="G137">
        <f t="shared" si="27"/>
        <v>-0.50256999999999996</v>
      </c>
      <c r="H137">
        <f t="shared" si="28"/>
        <v>-696.45198732419999</v>
      </c>
      <c r="I137">
        <v>1</v>
      </c>
      <c r="J137">
        <f t="shared" si="29"/>
        <v>0.32626392292190332</v>
      </c>
      <c r="K137">
        <f t="shared" si="30"/>
        <v>-0.71915515177521749</v>
      </c>
      <c r="L137">
        <v>1</v>
      </c>
      <c r="M137">
        <f t="shared" si="31"/>
        <v>0.52058487566268963</v>
      </c>
      <c r="N137">
        <f t="shared" si="32"/>
        <v>0.10531936056000001</v>
      </c>
      <c r="O137">
        <f t="shared" si="33"/>
        <v>8.0860324851000004E-2</v>
      </c>
      <c r="P137">
        <f t="shared" si="34"/>
        <v>1.2390590701527857E-2</v>
      </c>
      <c r="V137">
        <v>7.3</v>
      </c>
      <c r="W137">
        <f t="shared" si="35"/>
        <v>-0.88405599999999995</v>
      </c>
    </row>
    <row r="138" spans="1:23" x14ac:dyDescent="0.3">
      <c r="A138">
        <v>6.9823696000000002</v>
      </c>
      <c r="B138">
        <v>0.49997000000000003</v>
      </c>
      <c r="C138">
        <f t="shared" si="25"/>
        <v>3.4909753289120005</v>
      </c>
      <c r="D138">
        <v>1.52E-2</v>
      </c>
      <c r="E138">
        <v>1.167E-2</v>
      </c>
      <c r="F138">
        <f t="shared" si="26"/>
        <v>1396.4739200000001</v>
      </c>
      <c r="G138">
        <f t="shared" si="27"/>
        <v>-0.49997000000000003</v>
      </c>
      <c r="H138">
        <f t="shared" si="28"/>
        <v>-698.19506578240009</v>
      </c>
      <c r="I138">
        <v>1</v>
      </c>
      <c r="J138">
        <f t="shared" si="29"/>
        <v>0.33395043096913207</v>
      </c>
      <c r="K138">
        <f t="shared" si="30"/>
        <v>-0.72175515177521743</v>
      </c>
      <c r="L138">
        <v>1</v>
      </c>
      <c r="M138">
        <f t="shared" si="31"/>
        <v>0.52098549646211123</v>
      </c>
      <c r="N138">
        <f t="shared" si="32"/>
        <v>0.10613201792</v>
      </c>
      <c r="O138">
        <f t="shared" si="33"/>
        <v>8.1484253231999995E-2</v>
      </c>
      <c r="P138">
        <f t="shared" si="34"/>
        <v>1.3153384161106202E-2</v>
      </c>
      <c r="V138">
        <v>7.4</v>
      </c>
      <c r="W138">
        <f t="shared" si="35"/>
        <v>-0.88926800000000006</v>
      </c>
    </row>
    <row r="139" spans="1:23" x14ac:dyDescent="0.3">
      <c r="A139">
        <v>7.0327792999999996</v>
      </c>
      <c r="B139">
        <v>0.49758000000000002</v>
      </c>
      <c r="C139">
        <f t="shared" si="25"/>
        <v>3.499370324094</v>
      </c>
      <c r="D139">
        <v>1.52E-2</v>
      </c>
      <c r="E139">
        <v>1.167E-2</v>
      </c>
      <c r="F139">
        <f t="shared" si="26"/>
        <v>1406.5558599999999</v>
      </c>
      <c r="G139">
        <f t="shared" si="27"/>
        <v>-0.49758000000000002</v>
      </c>
      <c r="H139">
        <f t="shared" si="28"/>
        <v>-699.87406481879998</v>
      </c>
      <c r="I139">
        <v>1</v>
      </c>
      <c r="J139">
        <f t="shared" si="29"/>
        <v>0.34114406376524509</v>
      </c>
      <c r="K139">
        <f t="shared" si="30"/>
        <v>-0.72414515177521743</v>
      </c>
      <c r="L139">
        <v>1</v>
      </c>
      <c r="M139">
        <f t="shared" si="31"/>
        <v>0.52136042860344456</v>
      </c>
      <c r="N139">
        <f t="shared" si="32"/>
        <v>0.10689824535999999</v>
      </c>
      <c r="O139">
        <f t="shared" si="33"/>
        <v>8.2072534430999988E-2</v>
      </c>
      <c r="P139">
        <f t="shared" si="34"/>
        <v>1.3813943380772895E-2</v>
      </c>
      <c r="V139">
        <v>7.5</v>
      </c>
      <c r="W139">
        <f t="shared" si="35"/>
        <v>-0.89448000000000005</v>
      </c>
    </row>
    <row r="140" spans="1:23" x14ac:dyDescent="0.3">
      <c r="A140">
        <v>7.0872612000000004</v>
      </c>
      <c r="B140">
        <v>0.49481000000000003</v>
      </c>
      <c r="C140">
        <f t="shared" si="25"/>
        <v>3.5068477143720003</v>
      </c>
      <c r="D140">
        <v>1.52E-2</v>
      </c>
      <c r="E140">
        <v>1.167E-2</v>
      </c>
      <c r="F140">
        <f t="shared" si="26"/>
        <v>1417.4522400000001</v>
      </c>
      <c r="G140">
        <f t="shared" si="27"/>
        <v>-0.49481000000000003</v>
      </c>
      <c r="H140">
        <f t="shared" si="28"/>
        <v>-701.36954287440005</v>
      </c>
      <c r="I140">
        <v>1</v>
      </c>
      <c r="J140">
        <f t="shared" si="29"/>
        <v>0.34886106293045099</v>
      </c>
      <c r="K140">
        <f t="shared" si="30"/>
        <v>-0.72691515177521748</v>
      </c>
      <c r="L140">
        <v>1</v>
      </c>
      <c r="M140">
        <f t="shared" si="31"/>
        <v>0.5217626385999351</v>
      </c>
      <c r="N140">
        <f t="shared" si="32"/>
        <v>0.10772637024000001</v>
      </c>
      <c r="O140">
        <f t="shared" si="33"/>
        <v>8.2708338204000004E-2</v>
      </c>
      <c r="P140">
        <f t="shared" si="34"/>
        <v>1.4717804731282369E-2</v>
      </c>
    </row>
    <row r="141" spans="1:23" x14ac:dyDescent="0.3">
      <c r="A141">
        <v>7.1397075000000001</v>
      </c>
      <c r="B141">
        <v>0.49238999999999999</v>
      </c>
      <c r="C141">
        <f t="shared" si="25"/>
        <v>3.5155205759250001</v>
      </c>
      <c r="D141">
        <v>1.52E-2</v>
      </c>
      <c r="E141">
        <v>1.167E-2</v>
      </c>
      <c r="F141">
        <f t="shared" si="26"/>
        <v>1427.9414999999999</v>
      </c>
      <c r="G141">
        <f t="shared" si="27"/>
        <v>-0.49238999999999999</v>
      </c>
      <c r="H141">
        <f t="shared" si="28"/>
        <v>-703.10411518500007</v>
      </c>
      <c r="I141">
        <v>1</v>
      </c>
      <c r="J141">
        <f t="shared" si="29"/>
        <v>0.3562338966916927</v>
      </c>
      <c r="K141">
        <f t="shared" si="30"/>
        <v>-0.72933515177521746</v>
      </c>
      <c r="L141">
        <v>1</v>
      </c>
      <c r="M141">
        <f t="shared" si="31"/>
        <v>0.52214691069557106</v>
      </c>
      <c r="N141">
        <f t="shared" si="32"/>
        <v>0.10852355399999999</v>
      </c>
      <c r="O141">
        <f t="shared" si="33"/>
        <v>8.3320386524999998E-2</v>
      </c>
      <c r="P141">
        <f t="shared" si="34"/>
        <v>1.5344300554646403E-2</v>
      </c>
    </row>
    <row r="142" spans="1:23" x14ac:dyDescent="0.3">
      <c r="A142">
        <v>7.1911348000000004</v>
      </c>
      <c r="B142">
        <v>0.49006</v>
      </c>
      <c r="C142">
        <f t="shared" si="25"/>
        <v>3.524087520088</v>
      </c>
      <c r="D142">
        <v>1.52E-2</v>
      </c>
      <c r="E142">
        <v>1.167E-2</v>
      </c>
      <c r="F142">
        <f t="shared" si="26"/>
        <v>1438.22696</v>
      </c>
      <c r="G142">
        <f t="shared" si="27"/>
        <v>-0.49006</v>
      </c>
      <c r="H142">
        <f t="shared" si="28"/>
        <v>-704.81750401759996</v>
      </c>
      <c r="I142">
        <v>1</v>
      </c>
      <c r="J142">
        <f t="shared" si="29"/>
        <v>0.36341107716484911</v>
      </c>
      <c r="K142">
        <f t="shared" si="30"/>
        <v>-0.73166515177521751</v>
      </c>
      <c r="L142">
        <v>1</v>
      </c>
      <c r="M142">
        <f t="shared" si="31"/>
        <v>0.522520985341832</v>
      </c>
      <c r="N142">
        <f t="shared" si="32"/>
        <v>0.10930524896</v>
      </c>
      <c r="O142">
        <f t="shared" si="33"/>
        <v>8.3920543116000001E-2</v>
      </c>
      <c r="P142">
        <f t="shared" si="34"/>
        <v>1.5918374357385509E-2</v>
      </c>
    </row>
    <row r="143" spans="1:23" x14ac:dyDescent="0.3">
      <c r="A143">
        <v>7.2440898000000002</v>
      </c>
      <c r="B143">
        <v>0.48726999999999998</v>
      </c>
      <c r="C143">
        <f t="shared" si="25"/>
        <v>3.529827636846</v>
      </c>
      <c r="D143">
        <v>1.52E-2</v>
      </c>
      <c r="E143">
        <v>1.167E-2</v>
      </c>
      <c r="F143">
        <f t="shared" si="26"/>
        <v>1448.8179600000001</v>
      </c>
      <c r="G143">
        <f t="shared" si="27"/>
        <v>-0.48726999999999998</v>
      </c>
      <c r="H143">
        <f t="shared" si="28"/>
        <v>-705.9655273692</v>
      </c>
      <c r="I143">
        <v>1</v>
      </c>
      <c r="J143">
        <f t="shared" si="29"/>
        <v>0.37074802397627199</v>
      </c>
      <c r="K143">
        <f t="shared" si="30"/>
        <v>-0.73445515177521747</v>
      </c>
      <c r="L143">
        <v>1</v>
      </c>
      <c r="M143">
        <f t="shared" si="31"/>
        <v>0.52290338700964334</v>
      </c>
      <c r="N143">
        <f t="shared" si="32"/>
        <v>0.11011016496000001</v>
      </c>
      <c r="O143">
        <f t="shared" si="33"/>
        <v>8.4538527966000004E-2</v>
      </c>
      <c r="P143">
        <f t="shared" si="34"/>
        <v>1.6903071839574124E-2</v>
      </c>
    </row>
    <row r="144" spans="1:23" x14ac:dyDescent="0.3">
      <c r="A144">
        <v>7.2960273000000004</v>
      </c>
      <c r="B144">
        <v>0.48465999999999998</v>
      </c>
      <c r="C144">
        <f t="shared" si="25"/>
        <v>3.5360925912179999</v>
      </c>
      <c r="D144">
        <v>1.52E-2</v>
      </c>
      <c r="E144">
        <v>1.167E-2</v>
      </c>
      <c r="F144">
        <f t="shared" si="26"/>
        <v>1459.2054600000001</v>
      </c>
      <c r="G144">
        <f t="shared" si="27"/>
        <v>-0.48465999999999998</v>
      </c>
      <c r="H144">
        <f t="shared" si="28"/>
        <v>-707.21851824359999</v>
      </c>
      <c r="I144">
        <v>1</v>
      </c>
      <c r="J144">
        <f t="shared" si="29"/>
        <v>0.3778920821072454</v>
      </c>
      <c r="K144">
        <f t="shared" si="30"/>
        <v>-0.73706515177521748</v>
      </c>
      <c r="L144">
        <v>1</v>
      </c>
      <c r="M144">
        <f t="shared" si="31"/>
        <v>0.52327573531942961</v>
      </c>
      <c r="N144">
        <f t="shared" si="32"/>
        <v>0.11089961496</v>
      </c>
      <c r="O144">
        <f t="shared" si="33"/>
        <v>8.5144638591000008E-2</v>
      </c>
      <c r="P144">
        <f t="shared" si="34"/>
        <v>1.7745162904787851E-2</v>
      </c>
    </row>
    <row r="145" spans="1:16" x14ac:dyDescent="0.3">
      <c r="A145">
        <v>7.3464359999999997</v>
      </c>
      <c r="B145">
        <v>0.48248000000000002</v>
      </c>
      <c r="C145">
        <f t="shared" si="25"/>
        <v>3.5445084412800001</v>
      </c>
      <c r="D145">
        <v>1.52E-2</v>
      </c>
      <c r="E145">
        <v>1.167E-2</v>
      </c>
      <c r="F145">
        <f t="shared" si="26"/>
        <v>1469.2872</v>
      </c>
      <c r="G145">
        <f t="shared" si="27"/>
        <v>-0.48248000000000002</v>
      </c>
      <c r="H145">
        <f t="shared" si="28"/>
        <v>-708.90168825600006</v>
      </c>
      <c r="I145">
        <v>1</v>
      </c>
      <c r="J145">
        <f t="shared" si="29"/>
        <v>0.38477738523042793</v>
      </c>
      <c r="K145">
        <f t="shared" si="30"/>
        <v>-0.73924515177521744</v>
      </c>
      <c r="L145">
        <v>1</v>
      </c>
      <c r="M145">
        <f t="shared" si="31"/>
        <v>0.52363459731820994</v>
      </c>
      <c r="N145">
        <f t="shared" si="32"/>
        <v>0.1116658272</v>
      </c>
      <c r="O145">
        <f t="shared" si="33"/>
        <v>8.5732908119999993E-2</v>
      </c>
      <c r="P145">
        <f t="shared" si="34"/>
        <v>1.8211819137007507E-2</v>
      </c>
    </row>
    <row r="146" spans="1:16" x14ac:dyDescent="0.3">
      <c r="A146">
        <v>7.3978633</v>
      </c>
      <c r="B146">
        <v>0.47982999999999998</v>
      </c>
      <c r="C146">
        <f t="shared" si="25"/>
        <v>3.5497167472389997</v>
      </c>
      <c r="D146">
        <v>1.52E-2</v>
      </c>
      <c r="E146">
        <v>1.167E-2</v>
      </c>
      <c r="F146">
        <f t="shared" si="26"/>
        <v>1479.57266</v>
      </c>
      <c r="G146">
        <f t="shared" si="27"/>
        <v>-0.47982999999999998</v>
      </c>
      <c r="H146">
        <f t="shared" si="28"/>
        <v>-709.94334944779996</v>
      </c>
      <c r="I146">
        <v>1</v>
      </c>
      <c r="J146">
        <f t="shared" si="29"/>
        <v>0.39175330283842408</v>
      </c>
      <c r="K146">
        <f t="shared" si="30"/>
        <v>-0.74189515177521748</v>
      </c>
      <c r="L146">
        <v>1</v>
      </c>
      <c r="M146">
        <f t="shared" si="31"/>
        <v>0.52399818214393867</v>
      </c>
      <c r="N146">
        <f t="shared" si="32"/>
        <v>0.11244752215999999</v>
      </c>
      <c r="O146">
        <f t="shared" si="33"/>
        <v>8.6333064710999996E-2</v>
      </c>
      <c r="P146">
        <f t="shared" si="34"/>
        <v>1.9116382760278813E-2</v>
      </c>
    </row>
    <row r="147" spans="1:16" x14ac:dyDescent="0.3">
      <c r="A147">
        <v>7.4518373999999996</v>
      </c>
      <c r="B147">
        <v>0.47698000000000002</v>
      </c>
      <c r="C147">
        <f t="shared" si="25"/>
        <v>3.5543774030519999</v>
      </c>
      <c r="D147">
        <v>1.52E-2</v>
      </c>
      <c r="E147">
        <v>1.167E-2</v>
      </c>
      <c r="F147">
        <f t="shared" si="26"/>
        <v>1490.3674799999999</v>
      </c>
      <c r="G147">
        <f t="shared" si="27"/>
        <v>-0.47698000000000002</v>
      </c>
      <c r="H147">
        <f t="shared" si="28"/>
        <v>-710.87548061040002</v>
      </c>
      <c r="I147">
        <v>1</v>
      </c>
      <c r="J147">
        <f t="shared" si="29"/>
        <v>0.39902272042145698</v>
      </c>
      <c r="K147">
        <f t="shared" si="30"/>
        <v>-0.7447451517752175</v>
      </c>
      <c r="L147">
        <v>1</v>
      </c>
      <c r="M147">
        <f t="shared" si="31"/>
        <v>0.52437706418836638</v>
      </c>
      <c r="N147">
        <f t="shared" si="32"/>
        <v>0.11326792847999999</v>
      </c>
      <c r="O147">
        <f t="shared" si="33"/>
        <v>8.6962942458E-2</v>
      </c>
      <c r="P147">
        <f t="shared" si="34"/>
        <v>2.0137216648851125E-2</v>
      </c>
    </row>
    <row r="148" spans="1:16" x14ac:dyDescent="0.3">
      <c r="A148">
        <v>7.5027543999999997</v>
      </c>
      <c r="B148">
        <v>0.47449999999999998</v>
      </c>
      <c r="C148">
        <f t="shared" si="25"/>
        <v>3.5600569627999996</v>
      </c>
      <c r="D148">
        <v>1.52E-2</v>
      </c>
      <c r="E148">
        <v>1.167E-2</v>
      </c>
      <c r="F148">
        <f t="shared" si="26"/>
        <v>1500.55088</v>
      </c>
      <c r="G148">
        <f t="shared" si="27"/>
        <v>-0.47449999999999998</v>
      </c>
      <c r="H148">
        <f t="shared" si="28"/>
        <v>-712.01139255999988</v>
      </c>
      <c r="I148">
        <v>1</v>
      </c>
      <c r="J148">
        <f t="shared" si="29"/>
        <v>0.40583229402049886</v>
      </c>
      <c r="K148">
        <f t="shared" si="30"/>
        <v>-0.74722515177521753</v>
      </c>
      <c r="L148">
        <v>1</v>
      </c>
      <c r="M148">
        <f t="shared" si="31"/>
        <v>0.52473197916434844</v>
      </c>
      <c r="N148">
        <f t="shared" si="32"/>
        <v>0.11404186688</v>
      </c>
      <c r="O148">
        <f t="shared" si="33"/>
        <v>8.7557143847999994E-2</v>
      </c>
      <c r="P148">
        <f t="shared" si="34"/>
        <v>2.0894161882869106E-2</v>
      </c>
    </row>
    <row r="149" spans="1:16" x14ac:dyDescent="0.3">
      <c r="A149">
        <v>7.5541825999999999</v>
      </c>
      <c r="B149">
        <v>0.47189999999999999</v>
      </c>
      <c r="C149">
        <f t="shared" si="25"/>
        <v>3.5648187689399999</v>
      </c>
      <c r="D149">
        <v>1.52E-2</v>
      </c>
      <c r="E149">
        <v>1.167E-2</v>
      </c>
      <c r="F149">
        <f t="shared" si="26"/>
        <v>1510.8365200000001</v>
      </c>
      <c r="G149">
        <f t="shared" si="27"/>
        <v>-0.47189999999999999</v>
      </c>
      <c r="H149">
        <f t="shared" si="28"/>
        <v>-712.96375378799996</v>
      </c>
      <c r="I149">
        <v>1</v>
      </c>
      <c r="J149">
        <f t="shared" si="29"/>
        <v>0.41266348418778709</v>
      </c>
      <c r="K149">
        <f t="shared" si="30"/>
        <v>-0.74982515177521747</v>
      </c>
      <c r="L149">
        <v>1</v>
      </c>
      <c r="M149">
        <f t="shared" si="31"/>
        <v>0.52508802079586747</v>
      </c>
      <c r="N149">
        <f t="shared" si="32"/>
        <v>0.11482357552</v>
      </c>
      <c r="O149">
        <f t="shared" si="33"/>
        <v>8.8157310941999995E-2</v>
      </c>
      <c r="P149">
        <f t="shared" si="34"/>
        <v>2.1756244517350004E-2</v>
      </c>
    </row>
    <row r="150" spans="1:16" x14ac:dyDescent="0.3">
      <c r="A150">
        <v>7.6096836000000003</v>
      </c>
      <c r="B150">
        <v>0.46939999999999998</v>
      </c>
      <c r="C150">
        <f t="shared" si="25"/>
        <v>3.5719854818400001</v>
      </c>
      <c r="D150">
        <v>1.52E-2</v>
      </c>
      <c r="E150">
        <v>1.167E-2</v>
      </c>
      <c r="F150">
        <f t="shared" si="26"/>
        <v>1521.9367200000002</v>
      </c>
      <c r="G150">
        <f t="shared" si="27"/>
        <v>-0.46939999999999998</v>
      </c>
      <c r="H150">
        <f t="shared" si="28"/>
        <v>-714.39709636800001</v>
      </c>
      <c r="I150">
        <v>1</v>
      </c>
      <c r="J150">
        <f t="shared" si="29"/>
        <v>0.41998368170261602</v>
      </c>
      <c r="K150">
        <f t="shared" si="30"/>
        <v>-0.75232515177521742</v>
      </c>
      <c r="L150">
        <v>1</v>
      </c>
      <c r="M150">
        <f t="shared" si="31"/>
        <v>0.52546954949034042</v>
      </c>
      <c r="N150">
        <f t="shared" si="32"/>
        <v>0.11566719072000001</v>
      </c>
      <c r="O150">
        <f t="shared" si="33"/>
        <v>8.8805007611999998E-2</v>
      </c>
      <c r="P150">
        <f t="shared" si="34"/>
        <v>2.2383403952876996E-2</v>
      </c>
    </row>
    <row r="151" spans="1:16" x14ac:dyDescent="0.3">
      <c r="A151">
        <v>7.6606021000000002</v>
      </c>
      <c r="B151">
        <v>0.46642</v>
      </c>
      <c r="C151">
        <f t="shared" si="25"/>
        <v>3.5730580314820002</v>
      </c>
      <c r="D151">
        <v>1.52E-2</v>
      </c>
      <c r="E151">
        <v>1.167E-2</v>
      </c>
      <c r="F151">
        <f t="shared" si="26"/>
        <v>1532.12042</v>
      </c>
      <c r="G151">
        <f t="shared" si="27"/>
        <v>-0.46642</v>
      </c>
      <c r="H151">
        <f t="shared" si="28"/>
        <v>-714.61160629640005</v>
      </c>
      <c r="I151">
        <v>1</v>
      </c>
      <c r="J151">
        <f t="shared" si="29"/>
        <v>0.42665267136249446</v>
      </c>
      <c r="K151">
        <f t="shared" si="30"/>
        <v>-0.7553051517752174</v>
      </c>
      <c r="L151">
        <v>1</v>
      </c>
      <c r="M151">
        <f t="shared" si="31"/>
        <v>0.52581713723141321</v>
      </c>
      <c r="N151">
        <f t="shared" si="32"/>
        <v>0.11644115192</v>
      </c>
      <c r="O151">
        <f t="shared" si="33"/>
        <v>8.9399226506999996E-2</v>
      </c>
      <c r="P151">
        <f t="shared" si="34"/>
        <v>2.3647636116804191E-2</v>
      </c>
    </row>
    <row r="152" spans="1:16" x14ac:dyDescent="0.3">
      <c r="A152">
        <v>7.7115204999999998</v>
      </c>
      <c r="B152">
        <v>0.46404000000000001</v>
      </c>
      <c r="C152">
        <f t="shared" si="25"/>
        <v>3.5784539728199998</v>
      </c>
      <c r="D152">
        <v>1.52E-2</v>
      </c>
      <c r="E152">
        <v>1.167E-2</v>
      </c>
      <c r="F152">
        <f t="shared" si="26"/>
        <v>1542.3041000000001</v>
      </c>
      <c r="G152">
        <f t="shared" si="27"/>
        <v>-0.46404000000000001</v>
      </c>
      <c r="H152">
        <f t="shared" si="28"/>
        <v>-715.69079456399993</v>
      </c>
      <c r="I152">
        <v>1</v>
      </c>
      <c r="J152">
        <f t="shared" si="29"/>
        <v>0.43327746711127152</v>
      </c>
      <c r="K152">
        <f t="shared" si="30"/>
        <v>-0.75768515177521745</v>
      </c>
      <c r="L152">
        <v>1</v>
      </c>
      <c r="M152">
        <f t="shared" si="31"/>
        <v>0.52616242158583948</v>
      </c>
      <c r="N152">
        <f t="shared" si="32"/>
        <v>0.11721511159999999</v>
      </c>
      <c r="O152">
        <f t="shared" si="33"/>
        <v>8.9993444234999997E-2</v>
      </c>
      <c r="P152">
        <f t="shared" si="34"/>
        <v>2.4314174354377979E-2</v>
      </c>
    </row>
    <row r="153" spans="1:16" x14ac:dyDescent="0.3">
      <c r="A153">
        <v>7.7624385</v>
      </c>
      <c r="B153">
        <v>0.46154000000000001</v>
      </c>
      <c r="C153">
        <f t="shared" si="25"/>
        <v>3.5826758652900002</v>
      </c>
      <c r="D153">
        <v>1.52E-2</v>
      </c>
      <c r="E153">
        <v>1.167E-2</v>
      </c>
      <c r="F153">
        <f t="shared" si="26"/>
        <v>1552.4876999999999</v>
      </c>
      <c r="G153">
        <f t="shared" si="27"/>
        <v>-0.46154000000000001</v>
      </c>
      <c r="H153">
        <f t="shared" si="28"/>
        <v>-716.53517305800005</v>
      </c>
      <c r="I153">
        <v>1</v>
      </c>
      <c r="J153">
        <f t="shared" si="29"/>
        <v>0.4398586120887979</v>
      </c>
      <c r="K153">
        <f t="shared" si="30"/>
        <v>-0.76018515177521739</v>
      </c>
      <c r="L153">
        <v>1</v>
      </c>
      <c r="M153">
        <f t="shared" si="31"/>
        <v>0.52650543086206814</v>
      </c>
      <c r="N153">
        <f t="shared" si="32"/>
        <v>0.11798906520000001</v>
      </c>
      <c r="O153">
        <f t="shared" si="33"/>
        <v>9.0587657294999999E-2</v>
      </c>
      <c r="P153">
        <f t="shared" si="34"/>
        <v>2.5102998418149253E-2</v>
      </c>
    </row>
    <row r="154" spans="1:16" x14ac:dyDescent="0.3">
      <c r="A154">
        <v>7.8143750000000001</v>
      </c>
      <c r="B154">
        <v>0.45898</v>
      </c>
      <c r="C154">
        <f t="shared" si="25"/>
        <v>3.5866418375000002</v>
      </c>
      <c r="D154">
        <v>1.52E-2</v>
      </c>
      <c r="E154">
        <v>1.167E-2</v>
      </c>
      <c r="F154">
        <f t="shared" si="26"/>
        <v>1562.875</v>
      </c>
      <c r="G154">
        <f t="shared" si="27"/>
        <v>-0.45898</v>
      </c>
      <c r="H154">
        <f t="shared" si="28"/>
        <v>-717.32836750000001</v>
      </c>
      <c r="I154">
        <v>1</v>
      </c>
      <c r="J154">
        <f t="shared" si="29"/>
        <v>0.4465270738330267</v>
      </c>
      <c r="K154">
        <f t="shared" si="30"/>
        <v>-0.76274515177521751</v>
      </c>
      <c r="L154">
        <v>1</v>
      </c>
      <c r="M154">
        <f t="shared" si="31"/>
        <v>0.5268529910881774</v>
      </c>
      <c r="N154">
        <f t="shared" si="32"/>
        <v>0.1187785</v>
      </c>
      <c r="O154">
        <f t="shared" si="33"/>
        <v>9.1193756249999994E-2</v>
      </c>
      <c r="P154">
        <f t="shared" si="34"/>
        <v>2.591990443704012E-2</v>
      </c>
    </row>
    <row r="155" spans="1:16" x14ac:dyDescent="0.3">
      <c r="A155">
        <v>7.8678394000000003</v>
      </c>
      <c r="B155">
        <v>0.45606000000000002</v>
      </c>
      <c r="C155">
        <f t="shared" si="25"/>
        <v>3.5882068367640003</v>
      </c>
      <c r="D155">
        <v>1.52E-2</v>
      </c>
      <c r="E155">
        <v>1.167E-2</v>
      </c>
      <c r="F155">
        <f t="shared" si="26"/>
        <v>1573.5678800000001</v>
      </c>
      <c r="G155">
        <f t="shared" si="27"/>
        <v>-0.45606000000000002</v>
      </c>
      <c r="H155">
        <f t="shared" si="28"/>
        <v>-717.6413673528001</v>
      </c>
      <c r="I155">
        <v>1</v>
      </c>
      <c r="J155">
        <f t="shared" si="29"/>
        <v>0.45334557608977777</v>
      </c>
      <c r="K155">
        <f t="shared" si="30"/>
        <v>-0.76566515177521743</v>
      </c>
      <c r="L155">
        <v>1</v>
      </c>
      <c r="M155">
        <f t="shared" si="31"/>
        <v>0.52720837142579924</v>
      </c>
      <c r="N155">
        <f t="shared" si="32"/>
        <v>0.11959115888000001</v>
      </c>
      <c r="O155">
        <f t="shared" si="33"/>
        <v>9.1817685797999996E-2</v>
      </c>
      <c r="P155">
        <f t="shared" si="34"/>
        <v>2.7047935671418194E-2</v>
      </c>
    </row>
    <row r="156" spans="1:16" x14ac:dyDescent="0.3">
      <c r="A156">
        <v>7.9187577999999998</v>
      </c>
      <c r="B156">
        <v>0.45345999999999997</v>
      </c>
      <c r="C156">
        <f t="shared" si="25"/>
        <v>3.5908399119879997</v>
      </c>
      <c r="D156">
        <v>1.52E-2</v>
      </c>
      <c r="E156">
        <v>1.167E-2</v>
      </c>
      <c r="F156">
        <f t="shared" si="26"/>
        <v>1583.7515599999999</v>
      </c>
      <c r="G156">
        <f t="shared" si="27"/>
        <v>-0.45345999999999997</v>
      </c>
      <c r="H156">
        <f t="shared" si="28"/>
        <v>-718.16798239759999</v>
      </c>
      <c r="I156">
        <v>1</v>
      </c>
      <c r="J156">
        <f t="shared" si="29"/>
        <v>0.45979643765667289</v>
      </c>
      <c r="K156">
        <f t="shared" si="30"/>
        <v>-0.76826515177521748</v>
      </c>
      <c r="L156">
        <v>1</v>
      </c>
      <c r="M156">
        <f t="shared" si="31"/>
        <v>0.52754459033066581</v>
      </c>
      <c r="N156">
        <f t="shared" si="32"/>
        <v>0.12036511856</v>
      </c>
      <c r="O156">
        <f t="shared" si="33"/>
        <v>9.2411903525999997E-2</v>
      </c>
      <c r="P156">
        <f t="shared" si="34"/>
        <v>2.7943539358551678E-2</v>
      </c>
    </row>
    <row r="157" spans="1:16" x14ac:dyDescent="0.3">
      <c r="A157">
        <v>7.9717124000000004</v>
      </c>
      <c r="B157">
        <v>0.45082</v>
      </c>
      <c r="C157">
        <f t="shared" si="25"/>
        <v>3.5938073841680001</v>
      </c>
      <c r="D157">
        <v>1.52E-2</v>
      </c>
      <c r="E157">
        <v>1.167E-2</v>
      </c>
      <c r="F157">
        <f t="shared" si="26"/>
        <v>1594.34248</v>
      </c>
      <c r="G157">
        <f t="shared" si="27"/>
        <v>-0.45082</v>
      </c>
      <c r="H157">
        <f t="shared" si="28"/>
        <v>-718.7614768336</v>
      </c>
      <c r="I157">
        <v>1</v>
      </c>
      <c r="J157">
        <f t="shared" si="29"/>
        <v>0.46646141299874955</v>
      </c>
      <c r="K157">
        <f t="shared" si="30"/>
        <v>-0.77090515177521746</v>
      </c>
      <c r="L157">
        <v>1</v>
      </c>
      <c r="M157">
        <f t="shared" si="31"/>
        <v>0.52789196884549483</v>
      </c>
      <c r="N157">
        <f t="shared" si="32"/>
        <v>0.12117002848000001</v>
      </c>
      <c r="O157">
        <f t="shared" si="33"/>
        <v>9.3029883708E-2</v>
      </c>
      <c r="P157">
        <f t="shared" si="34"/>
        <v>2.8813270741722616E-2</v>
      </c>
    </row>
    <row r="158" spans="1:16" x14ac:dyDescent="0.3">
      <c r="A158">
        <v>8.0236488999999995</v>
      </c>
      <c r="B158">
        <v>0.44812999999999997</v>
      </c>
      <c r="C158">
        <f t="shared" si="25"/>
        <v>3.5956377815569995</v>
      </c>
      <c r="D158">
        <v>1.52E-2</v>
      </c>
      <c r="E158">
        <v>1.167E-2</v>
      </c>
      <c r="F158">
        <f t="shared" si="26"/>
        <v>1604.7297799999999</v>
      </c>
      <c r="G158">
        <f t="shared" si="27"/>
        <v>-0.44812999999999997</v>
      </c>
      <c r="H158">
        <f t="shared" si="28"/>
        <v>-719.12755631139987</v>
      </c>
      <c r="I158">
        <v>1</v>
      </c>
      <c r="J158">
        <f t="shared" si="29"/>
        <v>0.47295538103689611</v>
      </c>
      <c r="K158">
        <f t="shared" si="30"/>
        <v>-0.77359515177521754</v>
      </c>
      <c r="L158">
        <v>1</v>
      </c>
      <c r="M158">
        <f t="shared" si="31"/>
        <v>0.52823043445964302</v>
      </c>
      <c r="N158">
        <f t="shared" si="32"/>
        <v>0.12195946328</v>
      </c>
      <c r="O158">
        <f t="shared" si="33"/>
        <v>9.3635982662999995E-2</v>
      </c>
      <c r="P158">
        <f t="shared" si="34"/>
        <v>2.9769271372574527E-2</v>
      </c>
    </row>
    <row r="159" spans="1:16" x14ac:dyDescent="0.3">
      <c r="A159">
        <v>8.0745684000000004</v>
      </c>
      <c r="B159">
        <v>0.44558999999999999</v>
      </c>
      <c r="C159">
        <f t="shared" si="25"/>
        <v>3.5979469333559999</v>
      </c>
      <c r="D159">
        <v>1.52E-2</v>
      </c>
      <c r="E159">
        <v>1.167E-2</v>
      </c>
      <c r="F159">
        <f t="shared" si="26"/>
        <v>1614.9136800000001</v>
      </c>
      <c r="G159">
        <f t="shared" si="27"/>
        <v>-0.44558999999999999</v>
      </c>
      <c r="H159">
        <f t="shared" si="28"/>
        <v>-719.58938667120003</v>
      </c>
      <c r="I159">
        <v>1</v>
      </c>
      <c r="J159">
        <f t="shared" si="29"/>
        <v>0.47928150632976702</v>
      </c>
      <c r="K159">
        <f t="shared" si="30"/>
        <v>-0.77613515177521752</v>
      </c>
      <c r="L159">
        <v>1</v>
      </c>
      <c r="M159">
        <f t="shared" si="31"/>
        <v>0.52856015210990748</v>
      </c>
      <c r="N159">
        <f t="shared" si="32"/>
        <v>0.12273343968</v>
      </c>
      <c r="O159">
        <f t="shared" si="33"/>
        <v>9.4230213228000001E-2</v>
      </c>
      <c r="P159">
        <f t="shared" si="34"/>
        <v>3.0611346757310046E-2</v>
      </c>
    </row>
    <row r="160" spans="1:16" x14ac:dyDescent="0.3">
      <c r="A160">
        <v>8.1285415000000008</v>
      </c>
      <c r="B160">
        <v>0.44297999999999998</v>
      </c>
      <c r="C160">
        <f t="shared" si="25"/>
        <v>3.6007813136700002</v>
      </c>
      <c r="D160">
        <v>1.52E-2</v>
      </c>
      <c r="E160">
        <v>1.167E-2</v>
      </c>
      <c r="F160">
        <f t="shared" si="26"/>
        <v>1625.7083000000002</v>
      </c>
      <c r="G160">
        <f t="shared" si="27"/>
        <v>-0.44297999999999998</v>
      </c>
      <c r="H160">
        <f t="shared" si="28"/>
        <v>-720.15626273400005</v>
      </c>
      <c r="I160">
        <v>1</v>
      </c>
      <c r="J160">
        <f t="shared" si="29"/>
        <v>0.48594359773802676</v>
      </c>
      <c r="K160">
        <f t="shared" si="30"/>
        <v>-0.77874515177521753</v>
      </c>
      <c r="L160">
        <v>1</v>
      </c>
      <c r="M160">
        <f t="shared" si="31"/>
        <v>0.528907380314106</v>
      </c>
      <c r="N160">
        <f t="shared" si="32"/>
        <v>0.12355383080000001</v>
      </c>
      <c r="O160">
        <f t="shared" si="33"/>
        <v>9.4860079305000011E-2</v>
      </c>
      <c r="P160">
        <f t="shared" si="34"/>
        <v>3.1423861356111499E-2</v>
      </c>
    </row>
    <row r="161" spans="1:16" x14ac:dyDescent="0.3">
      <c r="A161">
        <v>8.1794589999999996</v>
      </c>
      <c r="B161">
        <v>0.44019000000000003</v>
      </c>
      <c r="C161">
        <f t="shared" si="25"/>
        <v>3.6005160572100001</v>
      </c>
      <c r="D161">
        <v>1.52E-2</v>
      </c>
      <c r="E161">
        <v>1.167E-2</v>
      </c>
      <c r="F161">
        <f t="shared" si="26"/>
        <v>1635.8917999999999</v>
      </c>
      <c r="G161">
        <f t="shared" si="27"/>
        <v>-0.44019000000000003</v>
      </c>
      <c r="H161">
        <f t="shared" si="28"/>
        <v>-720.10321144199997</v>
      </c>
      <c r="I161">
        <v>1</v>
      </c>
      <c r="J161">
        <f t="shared" si="29"/>
        <v>0.49218809907409727</v>
      </c>
      <c r="K161">
        <f t="shared" si="30"/>
        <v>-0.78153515177521737</v>
      </c>
      <c r="L161">
        <v>1</v>
      </c>
      <c r="M161">
        <f t="shared" si="31"/>
        <v>0.52923284372374202</v>
      </c>
      <c r="N161">
        <f t="shared" si="32"/>
        <v>0.1243277768</v>
      </c>
      <c r="O161">
        <f t="shared" si="33"/>
        <v>9.5454286529999988E-2</v>
      </c>
      <c r="P161">
        <f t="shared" si="34"/>
        <v>3.2520244721475355E-2</v>
      </c>
    </row>
    <row r="162" spans="1:16" x14ac:dyDescent="0.3">
      <c r="A162">
        <v>8.2319052999999993</v>
      </c>
      <c r="B162">
        <v>0.43763000000000002</v>
      </c>
      <c r="C162">
        <f t="shared" si="25"/>
        <v>3.6025287164390001</v>
      </c>
      <c r="D162">
        <v>1.52E-2</v>
      </c>
      <c r="E162">
        <v>1.167E-2</v>
      </c>
      <c r="F162">
        <f t="shared" si="26"/>
        <v>1646.3810599999999</v>
      </c>
      <c r="G162">
        <f t="shared" si="27"/>
        <v>-0.43763000000000002</v>
      </c>
      <c r="H162">
        <f t="shared" si="28"/>
        <v>-720.50574328779999</v>
      </c>
      <c r="I162">
        <v>1</v>
      </c>
      <c r="J162">
        <f t="shared" si="29"/>
        <v>0.49857958214420867</v>
      </c>
      <c r="K162">
        <f t="shared" si="30"/>
        <v>-0.78409515177521749</v>
      </c>
      <c r="L162">
        <v>1</v>
      </c>
      <c r="M162">
        <f t="shared" si="31"/>
        <v>0.52956596782135623</v>
      </c>
      <c r="N162">
        <f t="shared" si="32"/>
        <v>0.12512496056</v>
      </c>
      <c r="O162">
        <f t="shared" si="33"/>
        <v>9.6066334850999996E-2</v>
      </c>
      <c r="P162">
        <f t="shared" si="34"/>
        <v>3.3337888542861266E-2</v>
      </c>
    </row>
    <row r="163" spans="1:16" x14ac:dyDescent="0.3">
      <c r="A163">
        <v>8.2884247999999996</v>
      </c>
      <c r="B163">
        <v>0.43490000000000001</v>
      </c>
      <c r="C163">
        <f t="shared" si="25"/>
        <v>3.6046359455200001</v>
      </c>
      <c r="D163">
        <v>1.52E-2</v>
      </c>
      <c r="E163">
        <v>1.167E-2</v>
      </c>
      <c r="F163">
        <f t="shared" si="26"/>
        <v>1657.6849599999998</v>
      </c>
      <c r="G163">
        <f t="shared" si="27"/>
        <v>-0.43490000000000001</v>
      </c>
      <c r="H163">
        <f t="shared" si="28"/>
        <v>-720.92718910400004</v>
      </c>
      <c r="I163">
        <v>1</v>
      </c>
      <c r="J163">
        <f t="shared" si="29"/>
        <v>0.50542202659579794</v>
      </c>
      <c r="K163">
        <f t="shared" si="30"/>
        <v>-0.78682515177521739</v>
      </c>
      <c r="L163">
        <v>1</v>
      </c>
      <c r="M163">
        <f t="shared" si="31"/>
        <v>0.52992259602617298</v>
      </c>
      <c r="N163">
        <f t="shared" si="32"/>
        <v>0.12598405696000001</v>
      </c>
      <c r="O163">
        <f t="shared" si="33"/>
        <v>9.6725917415999993E-2</v>
      </c>
      <c r="P163">
        <f t="shared" si="34"/>
        <v>3.4192581373044414E-2</v>
      </c>
    </row>
    <row r="164" spans="1:16" x14ac:dyDescent="0.3">
      <c r="A164">
        <v>8.3403612999999996</v>
      </c>
      <c r="B164">
        <v>0.43169000000000002</v>
      </c>
      <c r="C164">
        <f t="shared" si="25"/>
        <v>3.6004505695970002</v>
      </c>
      <c r="D164">
        <v>1.52E-2</v>
      </c>
      <c r="E164">
        <v>1.167E-2</v>
      </c>
      <c r="F164">
        <f t="shared" si="26"/>
        <v>1668.0722599999999</v>
      </c>
      <c r="G164">
        <f t="shared" si="27"/>
        <v>-0.43169000000000002</v>
      </c>
      <c r="H164">
        <f t="shared" si="28"/>
        <v>-720.09011391939998</v>
      </c>
      <c r="I164">
        <v>1</v>
      </c>
      <c r="J164">
        <f t="shared" si="29"/>
        <v>0.51166862434113836</v>
      </c>
      <c r="K164">
        <f t="shared" si="30"/>
        <v>-0.79003515177521744</v>
      </c>
      <c r="L164">
        <v>1</v>
      </c>
      <c r="M164">
        <f t="shared" si="31"/>
        <v>0.53024816870066016</v>
      </c>
      <c r="N164">
        <f t="shared" si="32"/>
        <v>0.12677349176</v>
      </c>
      <c r="O164">
        <f t="shared" si="33"/>
        <v>9.7332016370999988E-2</v>
      </c>
      <c r="P164">
        <f t="shared" si="34"/>
        <v>3.5681474943557293E-2</v>
      </c>
    </row>
    <row r="165" spans="1:16" x14ac:dyDescent="0.3">
      <c r="A165">
        <v>8.3917900000000003</v>
      </c>
      <c r="B165">
        <v>0.42935000000000001</v>
      </c>
      <c r="C165">
        <f t="shared" si="25"/>
        <v>3.6030150365</v>
      </c>
      <c r="D165">
        <v>1.52E-2</v>
      </c>
      <c r="E165">
        <v>1.167E-2</v>
      </c>
      <c r="F165">
        <f t="shared" si="26"/>
        <v>1678.3580000000002</v>
      </c>
      <c r="G165">
        <f t="shared" si="27"/>
        <v>-0.42935000000000001</v>
      </c>
      <c r="H165">
        <f t="shared" si="28"/>
        <v>-720.60300729999994</v>
      </c>
      <c r="I165">
        <v>1</v>
      </c>
      <c r="J165">
        <f t="shared" si="29"/>
        <v>0.51781593451457331</v>
      </c>
      <c r="K165">
        <f t="shared" si="30"/>
        <v>-0.79237515177521745</v>
      </c>
      <c r="L165">
        <v>1</v>
      </c>
      <c r="M165">
        <f t="shared" si="31"/>
        <v>0.53056856650689954</v>
      </c>
      <c r="N165">
        <f t="shared" si="32"/>
        <v>0.127555208</v>
      </c>
      <c r="O165">
        <f t="shared" si="33"/>
        <v>9.79321893E-2</v>
      </c>
      <c r="P165">
        <f t="shared" si="34"/>
        <v>3.6319187968317901E-2</v>
      </c>
    </row>
    <row r="166" spans="1:16" x14ac:dyDescent="0.3">
      <c r="A166">
        <v>8.4421991999999992</v>
      </c>
      <c r="B166">
        <v>0.42681999999999998</v>
      </c>
      <c r="C166">
        <f t="shared" si="25"/>
        <v>3.6032994625439994</v>
      </c>
      <c r="D166">
        <v>1.52E-2</v>
      </c>
      <c r="E166">
        <v>1.167E-2</v>
      </c>
      <c r="F166">
        <f t="shared" si="26"/>
        <v>1688.4398399999998</v>
      </c>
      <c r="G166">
        <f t="shared" si="27"/>
        <v>-0.42681999999999998</v>
      </c>
      <c r="H166">
        <f t="shared" si="28"/>
        <v>-720.65989250879989</v>
      </c>
      <c r="I166">
        <v>1</v>
      </c>
      <c r="J166">
        <f t="shared" si="29"/>
        <v>0.52380493095201142</v>
      </c>
      <c r="K166">
        <f t="shared" si="30"/>
        <v>-0.79490515177521748</v>
      </c>
      <c r="L166">
        <v>1</v>
      </c>
      <c r="M166">
        <f t="shared" si="31"/>
        <v>0.53088071300121886</v>
      </c>
      <c r="N166">
        <f t="shared" si="32"/>
        <v>0.12832142784</v>
      </c>
      <c r="O166">
        <f t="shared" si="33"/>
        <v>9.8520464663999996E-2</v>
      </c>
      <c r="P166">
        <f t="shared" si="34"/>
        <v>3.7182546269998618E-2</v>
      </c>
    </row>
    <row r="167" spans="1:16" x14ac:dyDescent="0.3">
      <c r="A167">
        <v>8.4926083999999999</v>
      </c>
      <c r="B167">
        <v>0.42392000000000002</v>
      </c>
      <c r="C167">
        <f t="shared" si="25"/>
        <v>3.6001865529280002</v>
      </c>
      <c r="D167">
        <v>1.52E-2</v>
      </c>
      <c r="E167">
        <v>1.167E-2</v>
      </c>
      <c r="F167">
        <f t="shared" si="26"/>
        <v>1698.5216800000001</v>
      </c>
      <c r="G167">
        <f t="shared" si="27"/>
        <v>-0.42392000000000002</v>
      </c>
      <c r="H167">
        <f t="shared" si="28"/>
        <v>-720.03731058560004</v>
      </c>
      <c r="I167">
        <v>1</v>
      </c>
      <c r="J167">
        <f t="shared" si="29"/>
        <v>0.52975827274074894</v>
      </c>
      <c r="K167">
        <f t="shared" si="30"/>
        <v>-0.79780515177521738</v>
      </c>
      <c r="L167">
        <v>1</v>
      </c>
      <c r="M167">
        <f t="shared" si="31"/>
        <v>0.53119100117524787</v>
      </c>
      <c r="N167">
        <f t="shared" si="32"/>
        <v>0.12908764768</v>
      </c>
      <c r="O167">
        <f t="shared" si="33"/>
        <v>9.9108740027999992E-2</v>
      </c>
      <c r="P167">
        <f t="shared" si="34"/>
        <v>3.841776289196952E-2</v>
      </c>
    </row>
    <row r="168" spans="1:16" x14ac:dyDescent="0.3">
      <c r="A168">
        <v>8.5435254</v>
      </c>
      <c r="B168">
        <v>0.42105999999999999</v>
      </c>
      <c r="C168">
        <f t="shared" si="25"/>
        <v>3.5973368049239998</v>
      </c>
      <c r="D168">
        <v>1.52E-2</v>
      </c>
      <c r="E168">
        <v>1.167E-2</v>
      </c>
      <c r="F168">
        <f t="shared" si="26"/>
        <v>1708.70508</v>
      </c>
      <c r="G168">
        <f t="shared" si="27"/>
        <v>-0.42105999999999999</v>
      </c>
      <c r="H168">
        <f t="shared" si="28"/>
        <v>-719.46736098479994</v>
      </c>
      <c r="I168">
        <v>1</v>
      </c>
      <c r="J168">
        <f t="shared" si="29"/>
        <v>0.53573582048809598</v>
      </c>
      <c r="K168">
        <f t="shared" si="30"/>
        <v>-0.80066515177521747</v>
      </c>
      <c r="L168">
        <v>1</v>
      </c>
      <c r="M168">
        <f t="shared" si="31"/>
        <v>0.53150255096383958</v>
      </c>
      <c r="N168">
        <f t="shared" si="32"/>
        <v>0.12986158608000001</v>
      </c>
      <c r="O168">
        <f t="shared" si="33"/>
        <v>9.9702941417999999E-2</v>
      </c>
      <c r="P168">
        <f t="shared" si="34"/>
        <v>3.9598073313377877E-2</v>
      </c>
    </row>
    <row r="169" spans="1:16" x14ac:dyDescent="0.3">
      <c r="A169">
        <v>8.5944453000000003</v>
      </c>
      <c r="B169">
        <v>0.41858000000000001</v>
      </c>
      <c r="C169">
        <f t="shared" si="25"/>
        <v>3.5974629136740002</v>
      </c>
      <c r="D169">
        <v>1.52E-2</v>
      </c>
      <c r="E169">
        <v>1.167E-2</v>
      </c>
      <c r="F169">
        <f t="shared" si="26"/>
        <v>1718.88906</v>
      </c>
      <c r="G169">
        <f t="shared" si="27"/>
        <v>-0.41858000000000001</v>
      </c>
      <c r="H169">
        <f t="shared" si="28"/>
        <v>-719.49258273480007</v>
      </c>
      <c r="I169">
        <v>1</v>
      </c>
      <c r="J169">
        <f t="shared" si="29"/>
        <v>0.54167818679626167</v>
      </c>
      <c r="K169">
        <f t="shared" si="30"/>
        <v>-0.8031451517752175</v>
      </c>
      <c r="L169">
        <v>1</v>
      </c>
      <c r="M169">
        <f t="shared" si="31"/>
        <v>0.53181226709582119</v>
      </c>
      <c r="N169">
        <f t="shared" si="32"/>
        <v>0.13063556856</v>
      </c>
      <c r="O169">
        <f t="shared" si="33"/>
        <v>0.10029717665100001</v>
      </c>
      <c r="P169">
        <f t="shared" si="34"/>
        <v>4.0400139468396309E-2</v>
      </c>
    </row>
    <row r="170" spans="1:16" x14ac:dyDescent="0.3">
      <c r="A170">
        <v>8.6479092000000009</v>
      </c>
      <c r="B170">
        <v>0.41578999999999999</v>
      </c>
      <c r="C170">
        <f t="shared" si="25"/>
        <v>3.5957141662680003</v>
      </c>
      <c r="D170">
        <v>1.52E-2</v>
      </c>
      <c r="E170">
        <v>1.167E-2</v>
      </c>
      <c r="F170">
        <f t="shared" si="26"/>
        <v>1729.5818400000003</v>
      </c>
      <c r="G170">
        <f t="shared" si="27"/>
        <v>-0.41578999999999999</v>
      </c>
      <c r="H170">
        <f t="shared" si="28"/>
        <v>-719.14283325360009</v>
      </c>
      <c r="I170">
        <v>1</v>
      </c>
      <c r="J170">
        <f t="shared" si="29"/>
        <v>0.54787966831022106</v>
      </c>
      <c r="K170">
        <f t="shared" si="30"/>
        <v>-0.80593515177521746</v>
      </c>
      <c r="L170">
        <v>1</v>
      </c>
      <c r="M170">
        <f t="shared" si="31"/>
        <v>0.53213548831232871</v>
      </c>
      <c r="N170">
        <f t="shared" si="32"/>
        <v>0.13144821984000002</v>
      </c>
      <c r="O170">
        <f t="shared" si="33"/>
        <v>0.10092110036400001</v>
      </c>
      <c r="P170">
        <f t="shared" si="34"/>
        <v>4.1430343258888724E-2</v>
      </c>
    </row>
    <row r="171" spans="1:16" x14ac:dyDescent="0.3">
      <c r="A171">
        <v>8.6998456999999991</v>
      </c>
      <c r="B171">
        <v>0.41315000000000002</v>
      </c>
      <c r="C171">
        <f t="shared" si="25"/>
        <v>3.5943412509549999</v>
      </c>
      <c r="D171">
        <v>1.52E-2</v>
      </c>
      <c r="E171">
        <v>1.167E-2</v>
      </c>
      <c r="F171">
        <f t="shared" si="26"/>
        <v>1739.9691399999999</v>
      </c>
      <c r="G171">
        <f t="shared" si="27"/>
        <v>-0.41315000000000002</v>
      </c>
      <c r="H171">
        <f t="shared" si="28"/>
        <v>-718.86825019100002</v>
      </c>
      <c r="I171">
        <v>1</v>
      </c>
      <c r="J171">
        <f t="shared" si="29"/>
        <v>0.55386737743697556</v>
      </c>
      <c r="K171">
        <f t="shared" si="30"/>
        <v>-0.80857515177521744</v>
      </c>
      <c r="L171">
        <v>1</v>
      </c>
      <c r="M171">
        <f t="shared" si="31"/>
        <v>0.53244756771201518</v>
      </c>
      <c r="N171">
        <f t="shared" si="32"/>
        <v>0.13223765463999998</v>
      </c>
      <c r="O171">
        <f t="shared" si="33"/>
        <v>0.10152719931899999</v>
      </c>
      <c r="P171">
        <f t="shared" si="34"/>
        <v>4.2362730104202287E-2</v>
      </c>
    </row>
    <row r="172" spans="1:16" x14ac:dyDescent="0.3">
      <c r="A172">
        <v>8.7527998</v>
      </c>
      <c r="B172">
        <v>0.41011999999999998</v>
      </c>
      <c r="C172">
        <f t="shared" si="25"/>
        <v>3.5896982539760001</v>
      </c>
      <c r="D172">
        <v>1.52E-2</v>
      </c>
      <c r="E172">
        <v>1.167E-2</v>
      </c>
      <c r="F172">
        <f t="shared" si="26"/>
        <v>1750.55996</v>
      </c>
      <c r="G172">
        <f t="shared" si="27"/>
        <v>-0.41011999999999998</v>
      </c>
      <c r="H172">
        <f t="shared" si="28"/>
        <v>-717.93965079520001</v>
      </c>
      <c r="I172">
        <v>1</v>
      </c>
      <c r="J172">
        <f t="shared" si="29"/>
        <v>0.55993571389651164</v>
      </c>
      <c r="K172">
        <f t="shared" si="30"/>
        <v>-0.81160515177521741</v>
      </c>
      <c r="L172">
        <v>1</v>
      </c>
      <c r="M172">
        <f t="shared" si="31"/>
        <v>0.53276384940828625</v>
      </c>
      <c r="N172">
        <f t="shared" si="32"/>
        <v>0.13304255696</v>
      </c>
      <c r="O172">
        <f t="shared" si="33"/>
        <v>0.102145173666</v>
      </c>
      <c r="P172">
        <f t="shared" si="34"/>
        <v>4.3653571740931166E-2</v>
      </c>
    </row>
    <row r="173" spans="1:16" x14ac:dyDescent="0.3">
      <c r="A173">
        <v>8.8088114999999991</v>
      </c>
      <c r="B173">
        <v>0.40734999999999999</v>
      </c>
      <c r="C173">
        <f t="shared" si="25"/>
        <v>3.5882693645249994</v>
      </c>
      <c r="D173">
        <v>1.52E-2</v>
      </c>
      <c r="E173">
        <v>1.167E-2</v>
      </c>
      <c r="F173">
        <f t="shared" si="26"/>
        <v>1761.7622999999999</v>
      </c>
      <c r="G173">
        <f t="shared" si="27"/>
        <v>-0.40734999999999999</v>
      </c>
      <c r="H173">
        <f t="shared" si="28"/>
        <v>-717.65387290499984</v>
      </c>
      <c r="I173">
        <v>1</v>
      </c>
      <c r="J173">
        <f t="shared" si="29"/>
        <v>0.56631461489496082</v>
      </c>
      <c r="K173">
        <f t="shared" si="30"/>
        <v>-0.81437515177521747</v>
      </c>
      <c r="L173">
        <v>1</v>
      </c>
      <c r="M173">
        <f t="shared" si="31"/>
        <v>0.53309631772832544</v>
      </c>
      <c r="N173">
        <f t="shared" si="32"/>
        <v>0.13389393479999998</v>
      </c>
      <c r="O173">
        <f t="shared" si="33"/>
        <v>0.10279883020499998</v>
      </c>
      <c r="P173">
        <f t="shared" si="34"/>
        <v>4.4586069041892065E-2</v>
      </c>
    </row>
    <row r="174" spans="1:16" x14ac:dyDescent="0.3">
      <c r="A174">
        <v>8.8602383000000007</v>
      </c>
      <c r="B174">
        <v>0.40447</v>
      </c>
      <c r="C174">
        <f t="shared" si="25"/>
        <v>3.5837005852010004</v>
      </c>
      <c r="D174">
        <v>1.52E-2</v>
      </c>
      <c r="E174">
        <v>1.167E-2</v>
      </c>
      <c r="F174">
        <f t="shared" si="26"/>
        <v>1772.0476600000002</v>
      </c>
      <c r="G174">
        <f t="shared" si="27"/>
        <v>-0.40447</v>
      </c>
      <c r="H174">
        <f t="shared" si="28"/>
        <v>-716.74011704020006</v>
      </c>
      <c r="I174">
        <v>1</v>
      </c>
      <c r="J174">
        <f t="shared" si="29"/>
        <v>0.57213574798372224</v>
      </c>
      <c r="K174">
        <f t="shared" si="30"/>
        <v>-0.81725515177521746</v>
      </c>
      <c r="L174">
        <v>1</v>
      </c>
      <c r="M174">
        <f t="shared" si="31"/>
        <v>0.53339971518491158</v>
      </c>
      <c r="N174">
        <f t="shared" si="32"/>
        <v>0.13467562216000001</v>
      </c>
      <c r="O174">
        <f t="shared" si="33"/>
        <v>0.103398980961</v>
      </c>
      <c r="P174">
        <f t="shared" si="34"/>
        <v>4.5780833469305865E-2</v>
      </c>
    </row>
    <row r="175" spans="1:16" x14ac:dyDescent="0.3">
      <c r="A175">
        <v>8.9106474999999996</v>
      </c>
      <c r="B175">
        <v>0.40189000000000002</v>
      </c>
      <c r="C175">
        <f t="shared" si="25"/>
        <v>3.5811001237750002</v>
      </c>
      <c r="D175">
        <v>1.52E-2</v>
      </c>
      <c r="E175">
        <v>1.167E-2</v>
      </c>
      <c r="F175">
        <f t="shared" si="26"/>
        <v>1782.1295</v>
      </c>
      <c r="G175">
        <f t="shared" si="27"/>
        <v>-0.40189000000000002</v>
      </c>
      <c r="H175">
        <f t="shared" si="28"/>
        <v>-716.22002475500005</v>
      </c>
      <c r="I175">
        <v>1</v>
      </c>
      <c r="J175">
        <f t="shared" si="29"/>
        <v>0.57780899756420145</v>
      </c>
      <c r="K175">
        <f t="shared" si="30"/>
        <v>-0.81983515177521737</v>
      </c>
      <c r="L175">
        <v>1</v>
      </c>
      <c r="M175">
        <f t="shared" si="31"/>
        <v>0.53369540495304624</v>
      </c>
      <c r="N175">
        <f t="shared" si="32"/>
        <v>0.13544184200000001</v>
      </c>
      <c r="O175">
        <f t="shared" si="33"/>
        <v>0.103987256325</v>
      </c>
      <c r="P175">
        <f t="shared" si="34"/>
        <v>4.6710648497171131E-2</v>
      </c>
    </row>
    <row r="176" spans="1:16" x14ac:dyDescent="0.3">
      <c r="A176">
        <v>8.9641113000000008</v>
      </c>
      <c r="B176">
        <v>0.39878000000000002</v>
      </c>
      <c r="C176">
        <f t="shared" si="25"/>
        <v>3.5747083042140004</v>
      </c>
      <c r="D176">
        <v>1.52E-2</v>
      </c>
      <c r="E176">
        <v>1.167E-2</v>
      </c>
      <c r="F176">
        <f t="shared" si="26"/>
        <v>1792.8222600000001</v>
      </c>
      <c r="G176">
        <f t="shared" si="27"/>
        <v>-0.39878000000000002</v>
      </c>
      <c r="H176">
        <f t="shared" si="28"/>
        <v>-714.94166084280005</v>
      </c>
      <c r="I176">
        <v>1</v>
      </c>
      <c r="J176">
        <f t="shared" si="29"/>
        <v>0.58379105975949286</v>
      </c>
      <c r="K176">
        <f t="shared" si="30"/>
        <v>-0.82294515177521743</v>
      </c>
      <c r="L176">
        <v>1</v>
      </c>
      <c r="M176">
        <f t="shared" si="31"/>
        <v>0.53400719003466479</v>
      </c>
      <c r="N176">
        <f t="shared" si="32"/>
        <v>0.13625449176000001</v>
      </c>
      <c r="O176">
        <f t="shared" si="33"/>
        <v>0.10461117887100001</v>
      </c>
      <c r="P176">
        <f t="shared" si="34"/>
        <v>4.807229110955262E-2</v>
      </c>
    </row>
    <row r="177" spans="1:16" x14ac:dyDescent="0.3">
      <c r="A177">
        <v>9.0145204999999997</v>
      </c>
      <c r="B177">
        <v>0.39609</v>
      </c>
      <c r="C177">
        <f t="shared" si="25"/>
        <v>3.5705614248449997</v>
      </c>
      <c r="D177">
        <v>1.52E-2</v>
      </c>
      <c r="E177">
        <v>1.167E-2</v>
      </c>
      <c r="F177">
        <f t="shared" si="26"/>
        <v>1802.9041</v>
      </c>
      <c r="G177">
        <f t="shared" si="27"/>
        <v>-0.39609</v>
      </c>
      <c r="H177">
        <f t="shared" si="28"/>
        <v>-714.11228496899992</v>
      </c>
      <c r="I177">
        <v>1</v>
      </c>
      <c r="J177">
        <f t="shared" si="29"/>
        <v>0.58939875367735917</v>
      </c>
      <c r="K177">
        <f t="shared" si="30"/>
        <v>-0.8256351517752174</v>
      </c>
      <c r="L177">
        <v>1</v>
      </c>
      <c r="M177">
        <f t="shared" si="31"/>
        <v>0.53429946304166398</v>
      </c>
      <c r="N177">
        <f t="shared" si="32"/>
        <v>0.13702071159999998</v>
      </c>
      <c r="O177">
        <f t="shared" si="33"/>
        <v>0.10519945423499999</v>
      </c>
      <c r="P177">
        <f t="shared" si="34"/>
        <v>4.9115522898553449E-2</v>
      </c>
    </row>
    <row r="178" spans="1:16" x14ac:dyDescent="0.3">
      <c r="A178">
        <v>9.0669667999999994</v>
      </c>
      <c r="B178">
        <v>0.39356999999999998</v>
      </c>
      <c r="C178">
        <f t="shared" si="25"/>
        <v>3.5684861234759997</v>
      </c>
      <c r="D178">
        <v>1.52E-2</v>
      </c>
      <c r="E178">
        <v>1.167E-2</v>
      </c>
      <c r="F178">
        <f t="shared" si="26"/>
        <v>1813.3933599999998</v>
      </c>
      <c r="G178">
        <f t="shared" si="27"/>
        <v>-0.39356999999999998</v>
      </c>
      <c r="H178">
        <f t="shared" si="28"/>
        <v>-713.69722469519991</v>
      </c>
      <c r="I178">
        <v>1</v>
      </c>
      <c r="J178">
        <f t="shared" si="29"/>
        <v>0.5951998745930277</v>
      </c>
      <c r="K178">
        <f t="shared" si="30"/>
        <v>-0.82815515177521748</v>
      </c>
      <c r="L178">
        <v>1</v>
      </c>
      <c r="M178">
        <f t="shared" si="31"/>
        <v>0.53460181746378865</v>
      </c>
      <c r="N178">
        <f t="shared" si="32"/>
        <v>0.13781789536</v>
      </c>
      <c r="O178">
        <f t="shared" si="33"/>
        <v>0.105811502556</v>
      </c>
      <c r="P178">
        <f t="shared" si="34"/>
        <v>4.9923936395428831E-2</v>
      </c>
    </row>
    <row r="179" spans="1:16" x14ac:dyDescent="0.3">
      <c r="A179">
        <v>9.1189032999999995</v>
      </c>
      <c r="B179">
        <v>0.39072000000000001</v>
      </c>
      <c r="C179">
        <f t="shared" si="25"/>
        <v>3.562937897376</v>
      </c>
      <c r="D179">
        <v>1.52E-2</v>
      </c>
      <c r="E179">
        <v>1.167E-2</v>
      </c>
      <c r="F179">
        <f t="shared" si="26"/>
        <v>1823.7806599999999</v>
      </c>
      <c r="G179">
        <f t="shared" si="27"/>
        <v>-0.39072000000000001</v>
      </c>
      <c r="H179">
        <f t="shared" si="28"/>
        <v>-712.58757947519996</v>
      </c>
      <c r="I179">
        <v>1</v>
      </c>
      <c r="J179">
        <f t="shared" si="29"/>
        <v>0.60091163222828248</v>
      </c>
      <c r="K179">
        <f t="shared" si="30"/>
        <v>-0.8310051517752175</v>
      </c>
      <c r="L179">
        <v>1</v>
      </c>
      <c r="M179">
        <f t="shared" si="31"/>
        <v>0.5348995142717381</v>
      </c>
      <c r="N179">
        <f t="shared" si="32"/>
        <v>0.13860733015999999</v>
      </c>
      <c r="O179">
        <f t="shared" si="33"/>
        <v>0.10641760151099999</v>
      </c>
      <c r="P179">
        <f t="shared" si="34"/>
        <v>5.1080705832479423E-2</v>
      </c>
    </row>
    <row r="180" spans="1:16" x14ac:dyDescent="0.3">
      <c r="A180">
        <v>9.1713495999999992</v>
      </c>
      <c r="B180">
        <v>0.38784000000000002</v>
      </c>
      <c r="C180">
        <f t="shared" si="25"/>
        <v>3.5570162288639997</v>
      </c>
      <c r="D180">
        <v>1.52E-2</v>
      </c>
      <c r="E180">
        <v>1.167E-2</v>
      </c>
      <c r="F180">
        <f t="shared" si="26"/>
        <v>1834.2699199999997</v>
      </c>
      <c r="G180">
        <f t="shared" si="27"/>
        <v>-0.38784000000000002</v>
      </c>
      <c r="H180">
        <f t="shared" si="28"/>
        <v>-711.40324577279989</v>
      </c>
      <c r="I180">
        <v>1</v>
      </c>
      <c r="J180">
        <f t="shared" si="29"/>
        <v>0.60664653857752993</v>
      </c>
      <c r="K180">
        <f t="shared" si="30"/>
        <v>-0.83388515177521749</v>
      </c>
      <c r="L180">
        <v>1</v>
      </c>
      <c r="M180">
        <f t="shared" si="31"/>
        <v>0.53519841759066089</v>
      </c>
      <c r="N180">
        <f t="shared" si="32"/>
        <v>0.13940451392</v>
      </c>
      <c r="O180">
        <f t="shared" si="33"/>
        <v>0.10702964983199999</v>
      </c>
      <c r="P180">
        <f t="shared" si="34"/>
        <v>5.2252570432556614E-2</v>
      </c>
    </row>
    <row r="181" spans="1:16" x14ac:dyDescent="0.3">
      <c r="A181">
        <v>9.2232860999999993</v>
      </c>
      <c r="B181">
        <v>0.38475999999999999</v>
      </c>
      <c r="C181">
        <f t="shared" si="25"/>
        <v>3.5487515598359995</v>
      </c>
      <c r="D181">
        <v>1.52E-2</v>
      </c>
      <c r="E181">
        <v>1.167E-2</v>
      </c>
      <c r="F181">
        <f t="shared" si="26"/>
        <v>1844.6572199999998</v>
      </c>
      <c r="G181">
        <f t="shared" si="27"/>
        <v>-0.38475999999999999</v>
      </c>
      <c r="H181">
        <f t="shared" si="28"/>
        <v>-709.75031196719988</v>
      </c>
      <c r="I181">
        <v>1</v>
      </c>
      <c r="J181">
        <f t="shared" si="29"/>
        <v>0.61229347161376102</v>
      </c>
      <c r="K181">
        <f t="shared" si="30"/>
        <v>-0.83696515177521746</v>
      </c>
      <c r="L181">
        <v>1</v>
      </c>
      <c r="M181">
        <f t="shared" si="31"/>
        <v>0.53549273574050926</v>
      </c>
      <c r="N181">
        <f t="shared" si="32"/>
        <v>0.14019394871999999</v>
      </c>
      <c r="O181">
        <f t="shared" si="33"/>
        <v>0.107635748787</v>
      </c>
      <c r="P181">
        <f t="shared" si="34"/>
        <v>5.3642718527708216E-2</v>
      </c>
    </row>
    <row r="182" spans="1:16" x14ac:dyDescent="0.3">
      <c r="A182">
        <v>9.2742041000000004</v>
      </c>
      <c r="B182">
        <v>0.38217000000000001</v>
      </c>
      <c r="C182">
        <f t="shared" si="25"/>
        <v>3.544322580897</v>
      </c>
      <c r="D182">
        <v>1.52E-2</v>
      </c>
      <c r="E182">
        <v>1.167E-2</v>
      </c>
      <c r="F182">
        <f t="shared" si="26"/>
        <v>1854.8408200000001</v>
      </c>
      <c r="G182">
        <f t="shared" si="27"/>
        <v>-0.38217000000000001</v>
      </c>
      <c r="H182">
        <f t="shared" si="28"/>
        <v>-708.86451617939997</v>
      </c>
      <c r="I182">
        <v>1</v>
      </c>
      <c r="J182">
        <f t="shared" si="29"/>
        <v>0.61779888105664182</v>
      </c>
      <c r="K182">
        <f t="shared" si="30"/>
        <v>-0.83955515177521745</v>
      </c>
      <c r="L182">
        <v>1</v>
      </c>
      <c r="M182">
        <f t="shared" si="31"/>
        <v>0.53577967768067225</v>
      </c>
      <c r="N182">
        <f t="shared" si="32"/>
        <v>0.14096790232</v>
      </c>
      <c r="O182">
        <f t="shared" si="33"/>
        <v>0.108229961847</v>
      </c>
      <c r="P182">
        <f t="shared" si="34"/>
        <v>5.4577609927545193E-2</v>
      </c>
    </row>
    <row r="183" spans="1:16" x14ac:dyDescent="0.3">
      <c r="A183">
        <v>9.3251229999999996</v>
      </c>
      <c r="B183">
        <v>0.37923000000000001</v>
      </c>
      <c r="C183">
        <f t="shared" si="25"/>
        <v>3.53636639529</v>
      </c>
      <c r="D183">
        <v>1.52E-2</v>
      </c>
      <c r="E183">
        <v>1.167E-2</v>
      </c>
      <c r="F183">
        <f t="shared" si="26"/>
        <v>1865.0246</v>
      </c>
      <c r="G183">
        <f t="shared" si="27"/>
        <v>-0.37923000000000001</v>
      </c>
      <c r="H183">
        <f t="shared" si="28"/>
        <v>-707.27327905799996</v>
      </c>
      <c r="I183">
        <v>1</v>
      </c>
      <c r="J183">
        <f t="shared" si="29"/>
        <v>0.62327424335731241</v>
      </c>
      <c r="K183">
        <f t="shared" si="30"/>
        <v>-0.8424951517752175</v>
      </c>
      <c r="L183">
        <v>1</v>
      </c>
      <c r="M183">
        <f t="shared" si="31"/>
        <v>0.5360650535637832</v>
      </c>
      <c r="N183">
        <f t="shared" si="32"/>
        <v>0.14174186959999999</v>
      </c>
      <c r="O183">
        <f t="shared" si="33"/>
        <v>0.10882418541</v>
      </c>
      <c r="P183">
        <f t="shared" si="34"/>
        <v>5.5864043201434316E-2</v>
      </c>
    </row>
    <row r="184" spans="1:16" x14ac:dyDescent="0.3">
      <c r="A184">
        <v>9.3780780999999998</v>
      </c>
      <c r="B184">
        <v>0.37647999999999998</v>
      </c>
      <c r="C184">
        <f t="shared" si="25"/>
        <v>3.5306588430879997</v>
      </c>
      <c r="D184">
        <v>1.52E-2</v>
      </c>
      <c r="E184">
        <v>1.167E-2</v>
      </c>
      <c r="F184">
        <f t="shared" si="26"/>
        <v>1875.61562</v>
      </c>
      <c r="G184">
        <f t="shared" si="27"/>
        <v>-0.37647999999999998</v>
      </c>
      <c r="H184">
        <f t="shared" si="28"/>
        <v>-706.13176861759996</v>
      </c>
      <c r="I184">
        <v>1</v>
      </c>
      <c r="J184">
        <f t="shared" si="29"/>
        <v>0.62893693620032276</v>
      </c>
      <c r="K184">
        <f t="shared" si="30"/>
        <v>-0.84524515177521753</v>
      </c>
      <c r="L184">
        <v>1</v>
      </c>
      <c r="M184">
        <f t="shared" si="31"/>
        <v>0.5363601931147608</v>
      </c>
      <c r="N184">
        <f t="shared" si="32"/>
        <v>0.14254678711999999</v>
      </c>
      <c r="O184">
        <f t="shared" si="33"/>
        <v>0.109442171427</v>
      </c>
      <c r="P184">
        <f t="shared" si="34"/>
        <v>5.6896000113456746E-2</v>
      </c>
    </row>
    <row r="185" spans="1:16" x14ac:dyDescent="0.3">
      <c r="A185">
        <v>9.4289961000000009</v>
      </c>
      <c r="B185">
        <v>0.37375000000000003</v>
      </c>
      <c r="C185">
        <f t="shared" si="25"/>
        <v>3.5240872923750004</v>
      </c>
      <c r="D185">
        <v>1.52E-2</v>
      </c>
      <c r="E185">
        <v>1.167E-2</v>
      </c>
      <c r="F185">
        <f t="shared" si="26"/>
        <v>1885.7992200000001</v>
      </c>
      <c r="G185">
        <f t="shared" si="27"/>
        <v>-0.37375000000000003</v>
      </c>
      <c r="H185">
        <f t="shared" si="28"/>
        <v>-704.81745847500008</v>
      </c>
      <c r="I185">
        <v>1</v>
      </c>
      <c r="J185">
        <f t="shared" si="29"/>
        <v>0.63435172043179144</v>
      </c>
      <c r="K185">
        <f t="shared" si="30"/>
        <v>-0.84797515177521743</v>
      </c>
      <c r="L185">
        <v>1</v>
      </c>
      <c r="M185">
        <f t="shared" si="31"/>
        <v>0.53664241166890503</v>
      </c>
      <c r="N185">
        <f t="shared" si="32"/>
        <v>0.14332074072000001</v>
      </c>
      <c r="O185">
        <f t="shared" si="33"/>
        <v>0.11003638448700001</v>
      </c>
      <c r="P185">
        <f t="shared" si="34"/>
        <v>5.7975614899312383E-2</v>
      </c>
    </row>
    <row r="186" spans="1:16" x14ac:dyDescent="0.3">
      <c r="A186">
        <v>9.4804238000000005</v>
      </c>
      <c r="B186">
        <v>0.37080999999999997</v>
      </c>
      <c r="C186">
        <f t="shared" si="25"/>
        <v>3.5154359492779998</v>
      </c>
      <c r="D186">
        <v>1.52E-2</v>
      </c>
      <c r="E186">
        <v>1.167E-2</v>
      </c>
      <c r="F186">
        <f t="shared" si="26"/>
        <v>1896.0847600000002</v>
      </c>
      <c r="G186">
        <f t="shared" si="27"/>
        <v>-0.37080999999999997</v>
      </c>
      <c r="H186">
        <f t="shared" si="28"/>
        <v>-703.08718985559995</v>
      </c>
      <c r="I186">
        <v>1</v>
      </c>
      <c r="J186">
        <f t="shared" si="29"/>
        <v>0.6397911074749576</v>
      </c>
      <c r="K186">
        <f t="shared" si="30"/>
        <v>-0.85091515177521748</v>
      </c>
      <c r="L186">
        <v>1</v>
      </c>
      <c r="M186">
        <f t="shared" si="31"/>
        <v>0.53692591252159483</v>
      </c>
      <c r="N186">
        <f t="shared" si="32"/>
        <v>0.14410244176000001</v>
      </c>
      <c r="O186">
        <f t="shared" si="33"/>
        <v>0.110636545746</v>
      </c>
      <c r="P186">
        <f t="shared" si="34"/>
        <v>5.9250251747622648E-2</v>
      </c>
    </row>
    <row r="187" spans="1:16" x14ac:dyDescent="0.3">
      <c r="A187">
        <v>9.5313417999999999</v>
      </c>
      <c r="B187">
        <v>0.36820999999999998</v>
      </c>
      <c r="C187">
        <f t="shared" si="25"/>
        <v>3.5095353641779998</v>
      </c>
      <c r="D187">
        <v>1.52E-2</v>
      </c>
      <c r="E187">
        <v>1.167E-2</v>
      </c>
      <c r="F187">
        <f t="shared" si="26"/>
        <v>1906.26836</v>
      </c>
      <c r="G187">
        <f t="shared" si="27"/>
        <v>-0.36820999999999998</v>
      </c>
      <c r="H187">
        <f t="shared" si="28"/>
        <v>-701.90707283559993</v>
      </c>
      <c r="I187">
        <v>1</v>
      </c>
      <c r="J187">
        <f t="shared" si="29"/>
        <v>0.64514759280261225</v>
      </c>
      <c r="K187">
        <f t="shared" si="30"/>
        <v>-0.85351515177521753</v>
      </c>
      <c r="L187">
        <v>1</v>
      </c>
      <c r="M187">
        <f t="shared" si="31"/>
        <v>0.53720509253687221</v>
      </c>
      <c r="N187">
        <f t="shared" si="32"/>
        <v>0.14487639535999999</v>
      </c>
      <c r="O187">
        <f t="shared" si="33"/>
        <v>0.111230758806</v>
      </c>
      <c r="P187">
        <f t="shared" si="34"/>
        <v>6.0202905072345325E-2</v>
      </c>
    </row>
    <row r="188" spans="1:16" x14ac:dyDescent="0.3">
      <c r="A188">
        <v>9.5827694999999995</v>
      </c>
      <c r="B188">
        <v>0.36560999999999999</v>
      </c>
      <c r="C188">
        <f t="shared" si="25"/>
        <v>3.5035563568949999</v>
      </c>
      <c r="D188">
        <v>1.52E-2</v>
      </c>
      <c r="E188">
        <v>1.167E-2</v>
      </c>
      <c r="F188">
        <f t="shared" si="26"/>
        <v>1916.5538999999999</v>
      </c>
      <c r="G188">
        <f t="shared" si="27"/>
        <v>-0.36560999999999999</v>
      </c>
      <c r="H188">
        <f t="shared" si="28"/>
        <v>-700.71127137899998</v>
      </c>
      <c r="I188">
        <v>1</v>
      </c>
      <c r="J188">
        <f t="shared" si="29"/>
        <v>0.65052872962770691</v>
      </c>
      <c r="K188">
        <f t="shared" si="30"/>
        <v>-0.85611515177521746</v>
      </c>
      <c r="L188">
        <v>1</v>
      </c>
      <c r="M188">
        <f t="shared" si="31"/>
        <v>0.53748555738819614</v>
      </c>
      <c r="N188">
        <f t="shared" si="32"/>
        <v>0.14565809639999999</v>
      </c>
      <c r="O188">
        <f t="shared" si="33"/>
        <v>0.11183092006499999</v>
      </c>
      <c r="P188">
        <f t="shared" si="34"/>
        <v>6.1140577922021336E-2</v>
      </c>
    </row>
    <row r="189" spans="1:16" x14ac:dyDescent="0.3">
      <c r="A189">
        <v>9.6331787000000002</v>
      </c>
      <c r="B189">
        <v>0.36242000000000002</v>
      </c>
      <c r="C189">
        <f t="shared" si="25"/>
        <v>3.4912566244540004</v>
      </c>
      <c r="D189">
        <v>1.52E-2</v>
      </c>
      <c r="E189">
        <v>1.167E-2</v>
      </c>
      <c r="F189">
        <f t="shared" si="26"/>
        <v>1926.6357399999999</v>
      </c>
      <c r="G189">
        <f t="shared" si="27"/>
        <v>-0.36242000000000002</v>
      </c>
      <c r="H189">
        <f t="shared" si="28"/>
        <v>-698.25132489080011</v>
      </c>
      <c r="I189">
        <v>1</v>
      </c>
      <c r="J189">
        <f t="shared" si="29"/>
        <v>0.65577534198422904</v>
      </c>
      <c r="K189">
        <f t="shared" si="30"/>
        <v>-0.85930515177521749</v>
      </c>
      <c r="L189">
        <v>1</v>
      </c>
      <c r="M189">
        <f t="shared" si="31"/>
        <v>0.53775901082421806</v>
      </c>
      <c r="N189">
        <f t="shared" si="32"/>
        <v>0.14642431623999999</v>
      </c>
      <c r="O189">
        <f t="shared" si="33"/>
        <v>0.112419195429</v>
      </c>
      <c r="P189">
        <f t="shared" si="34"/>
        <v>6.2702629281999434E-2</v>
      </c>
    </row>
    <row r="190" spans="1:16" x14ac:dyDescent="0.3">
      <c r="A190">
        <v>9.6856249999999999</v>
      </c>
      <c r="B190">
        <v>0.35949999999999999</v>
      </c>
      <c r="C190">
        <f t="shared" si="25"/>
        <v>3.4819821874999999</v>
      </c>
      <c r="D190">
        <v>1.52E-2</v>
      </c>
      <c r="E190">
        <v>1.167E-2</v>
      </c>
      <c r="F190">
        <f t="shared" si="26"/>
        <v>1937.125</v>
      </c>
      <c r="G190">
        <f t="shared" si="27"/>
        <v>-0.35949999999999999</v>
      </c>
      <c r="H190">
        <f t="shared" si="28"/>
        <v>-696.39643749999993</v>
      </c>
      <c r="I190">
        <v>1</v>
      </c>
      <c r="J190">
        <f t="shared" si="29"/>
        <v>0.66120491512536195</v>
      </c>
      <c r="K190">
        <f t="shared" si="30"/>
        <v>-0.86222515177521752</v>
      </c>
      <c r="L190">
        <v>1</v>
      </c>
      <c r="M190">
        <f t="shared" si="31"/>
        <v>0.53804200017633386</v>
      </c>
      <c r="N190">
        <f t="shared" si="32"/>
        <v>0.14722150000000001</v>
      </c>
      <c r="O190">
        <f t="shared" si="33"/>
        <v>0.11303124375</v>
      </c>
      <c r="P190">
        <f t="shared" si="34"/>
        <v>6.3930407848883666E-2</v>
      </c>
    </row>
    <row r="191" spans="1:16" x14ac:dyDescent="0.3">
      <c r="A191">
        <v>9.7365429999999993</v>
      </c>
      <c r="B191">
        <v>0.35693000000000003</v>
      </c>
      <c r="C191">
        <f t="shared" si="25"/>
        <v>3.4752642929899999</v>
      </c>
      <c r="D191">
        <v>1.52E-2</v>
      </c>
      <c r="E191">
        <v>1.167E-2</v>
      </c>
      <c r="F191">
        <f t="shared" si="26"/>
        <v>1947.3085999999998</v>
      </c>
      <c r="G191">
        <f t="shared" si="27"/>
        <v>-0.35693000000000003</v>
      </c>
      <c r="H191">
        <f t="shared" si="28"/>
        <v>-695.05285859799994</v>
      </c>
      <c r="I191">
        <v>1</v>
      </c>
      <c r="J191">
        <f t="shared" si="29"/>
        <v>0.66644821408702937</v>
      </c>
      <c r="K191">
        <f t="shared" si="30"/>
        <v>-0.86479515177521749</v>
      </c>
      <c r="L191">
        <v>1</v>
      </c>
      <c r="M191">
        <f t="shared" si="31"/>
        <v>0.53831528091821601</v>
      </c>
      <c r="N191">
        <f t="shared" si="32"/>
        <v>0.14799545359999999</v>
      </c>
      <c r="O191">
        <f t="shared" si="33"/>
        <v>0.11362545680999998</v>
      </c>
      <c r="P191">
        <f t="shared" si="34"/>
        <v>6.4858960447001499E-2</v>
      </c>
    </row>
    <row r="192" spans="1:16" x14ac:dyDescent="0.3">
      <c r="A192">
        <v>9.7905166000000001</v>
      </c>
      <c r="B192">
        <v>0.35382999999999998</v>
      </c>
      <c r="C192">
        <f t="shared" si="25"/>
        <v>3.4641784885779998</v>
      </c>
      <c r="D192">
        <v>1.52E-2</v>
      </c>
      <c r="E192">
        <v>1.167E-2</v>
      </c>
      <c r="F192">
        <f t="shared" si="26"/>
        <v>1958.1033199999999</v>
      </c>
      <c r="G192">
        <f t="shared" si="27"/>
        <v>-0.35382999999999998</v>
      </c>
      <c r="H192">
        <f t="shared" si="28"/>
        <v>-692.83569771559996</v>
      </c>
      <c r="I192">
        <v>1</v>
      </c>
      <c r="J192">
        <f t="shared" si="29"/>
        <v>0.67197631084687548</v>
      </c>
      <c r="K192">
        <f t="shared" si="30"/>
        <v>-0.86789515177521748</v>
      </c>
      <c r="L192">
        <v>1</v>
      </c>
      <c r="M192">
        <f t="shared" si="31"/>
        <v>0.53860340532133921</v>
      </c>
      <c r="N192">
        <f t="shared" si="32"/>
        <v>0.14881585232</v>
      </c>
      <c r="O192">
        <f t="shared" si="33"/>
        <v>0.114255328722</v>
      </c>
      <c r="P192">
        <f t="shared" si="34"/>
        <v>6.6220565411878263E-2</v>
      </c>
    </row>
    <row r="193" spans="1:16" x14ac:dyDescent="0.3">
      <c r="A193">
        <v>9.8409247999999998</v>
      </c>
      <c r="B193">
        <v>0.35099000000000002</v>
      </c>
      <c r="C193">
        <f t="shared" si="25"/>
        <v>3.454066195552</v>
      </c>
      <c r="D193">
        <v>1.52E-2</v>
      </c>
      <c r="E193">
        <v>1.167E-2</v>
      </c>
      <c r="F193">
        <f t="shared" si="26"/>
        <v>1968.18496</v>
      </c>
      <c r="G193">
        <f t="shared" si="27"/>
        <v>-0.35099000000000002</v>
      </c>
      <c r="H193">
        <f t="shared" si="28"/>
        <v>-690.81323911039999</v>
      </c>
      <c r="I193">
        <v>1</v>
      </c>
      <c r="J193">
        <f t="shared" si="29"/>
        <v>0.67711177795370414</v>
      </c>
      <c r="K193">
        <f t="shared" si="30"/>
        <v>-0.87073515177521743</v>
      </c>
      <c r="L193">
        <v>1</v>
      </c>
      <c r="M193">
        <f t="shared" si="31"/>
        <v>0.53887106586694711</v>
      </c>
      <c r="N193">
        <f t="shared" si="32"/>
        <v>0.14958205695999999</v>
      </c>
      <c r="O193">
        <f t="shared" si="33"/>
        <v>0.11484359241599999</v>
      </c>
      <c r="P193">
        <f t="shared" si="34"/>
        <v>6.7438436532270343E-2</v>
      </c>
    </row>
    <row r="194" spans="1:16" x14ac:dyDescent="0.3">
      <c r="A194">
        <v>9.8969354999999997</v>
      </c>
      <c r="B194">
        <v>0.34799000000000002</v>
      </c>
      <c r="C194">
        <f t="shared" si="25"/>
        <v>3.4440345846450002</v>
      </c>
      <c r="D194">
        <v>1.52E-2</v>
      </c>
      <c r="E194">
        <v>1.167E-2</v>
      </c>
      <c r="F194">
        <f t="shared" si="26"/>
        <v>1979.3870999999999</v>
      </c>
      <c r="G194">
        <f t="shared" si="27"/>
        <v>-0.34799000000000002</v>
      </c>
      <c r="H194">
        <f t="shared" si="28"/>
        <v>-688.80691692900007</v>
      </c>
      <c r="I194">
        <v>1</v>
      </c>
      <c r="J194">
        <f t="shared" si="29"/>
        <v>0.68278725133281515</v>
      </c>
      <c r="K194">
        <f t="shared" si="30"/>
        <v>-0.87373515177521743</v>
      </c>
      <c r="L194">
        <v>1</v>
      </c>
      <c r="M194">
        <f t="shared" si="31"/>
        <v>0.53916687153946641</v>
      </c>
      <c r="N194">
        <f t="shared" si="32"/>
        <v>0.15043341960000001</v>
      </c>
      <c r="O194">
        <f t="shared" si="33"/>
        <v>0.115497237285</v>
      </c>
      <c r="P194">
        <f t="shared" si="34"/>
        <v>6.863762335075102E-2</v>
      </c>
    </row>
    <row r="195" spans="1:16" x14ac:dyDescent="0.3">
      <c r="A195">
        <v>9.9473447000000004</v>
      </c>
      <c r="B195">
        <v>0.34505000000000002</v>
      </c>
      <c r="C195">
        <f t="shared" si="25"/>
        <v>3.4323312887350004</v>
      </c>
      <c r="D195">
        <v>1.52E-2</v>
      </c>
      <c r="E195">
        <v>1.167E-2</v>
      </c>
      <c r="F195">
        <f t="shared" si="26"/>
        <v>1989.46894</v>
      </c>
      <c r="G195">
        <f t="shared" si="27"/>
        <v>-0.34505000000000002</v>
      </c>
      <c r="H195">
        <f t="shared" si="28"/>
        <v>-686.4662577470001</v>
      </c>
      <c r="I195">
        <v>1</v>
      </c>
      <c r="J195">
        <f t="shared" si="29"/>
        <v>0.6878677388001736</v>
      </c>
      <c r="K195">
        <f t="shared" si="30"/>
        <v>-0.87667515177521738</v>
      </c>
      <c r="L195">
        <v>1</v>
      </c>
      <c r="M195">
        <f t="shared" si="31"/>
        <v>0.53943166654626507</v>
      </c>
      <c r="N195">
        <f t="shared" si="32"/>
        <v>0.15119963944000001</v>
      </c>
      <c r="O195">
        <f t="shared" si="33"/>
        <v>0.11608551264900001</v>
      </c>
      <c r="P195">
        <f t="shared" si="34"/>
        <v>6.9958333139952297E-2</v>
      </c>
    </row>
    <row r="196" spans="1:16" x14ac:dyDescent="0.3">
      <c r="A196">
        <v>9.9997910000000001</v>
      </c>
      <c r="B196">
        <v>0.34215000000000001</v>
      </c>
      <c r="C196">
        <f t="shared" ref="C196:C259" si="36">A196*B196</f>
        <v>3.4214284906500003</v>
      </c>
      <c r="D196">
        <v>1.52E-2</v>
      </c>
      <c r="E196">
        <v>1.167E-2</v>
      </c>
      <c r="F196">
        <f t="shared" ref="F196:F259" si="37">A196*200</f>
        <v>1999.9582</v>
      </c>
      <c r="G196">
        <f t="shared" ref="G196:G259" si="38">-B196</f>
        <v>-0.34215000000000001</v>
      </c>
      <c r="H196">
        <f t="shared" ref="H196:H259" si="39">-C196*200</f>
        <v>-684.28569813000001</v>
      </c>
      <c r="I196">
        <v>1</v>
      </c>
      <c r="J196">
        <f t="shared" ref="J196:J259" si="40">LN(F196/1000)</f>
        <v>0.69312628034153723</v>
      </c>
      <c r="K196">
        <f t="shared" ref="K196:K259" si="41">((-G196)-$N$2)</f>
        <v>-0.8795751517752175</v>
      </c>
      <c r="L196">
        <v>1</v>
      </c>
      <c r="M196">
        <f t="shared" ref="M196:M259" si="42">-1*($S$4+($S$5*J196))</f>
        <v>0.53970574173140096</v>
      </c>
      <c r="N196">
        <f t="shared" ref="N196:N259" si="43">D196*A196</f>
        <v>0.15199682319999999</v>
      </c>
      <c r="O196">
        <f t="shared" ref="O196:O259" si="44">E196*A196</f>
        <v>0.11669756097</v>
      </c>
      <c r="P196">
        <f t="shared" ref="P196:P259" si="45">-K196-M196-N196-O196</f>
        <v>7.117502587381655E-2</v>
      </c>
    </row>
    <row r="197" spans="1:16" x14ac:dyDescent="0.3">
      <c r="A197">
        <v>10.052745</v>
      </c>
      <c r="B197">
        <v>0.33918999999999999</v>
      </c>
      <c r="C197">
        <f t="shared" si="36"/>
        <v>3.4097905765499998</v>
      </c>
      <c r="D197">
        <v>1.52E-2</v>
      </c>
      <c r="E197">
        <v>1.167E-2</v>
      </c>
      <c r="F197">
        <f t="shared" si="37"/>
        <v>2010.549</v>
      </c>
      <c r="G197">
        <f t="shared" si="38"/>
        <v>-0.33918999999999999</v>
      </c>
      <c r="H197">
        <f t="shared" si="39"/>
        <v>-681.95811530999993</v>
      </c>
      <c r="I197">
        <v>1</v>
      </c>
      <c r="J197">
        <f t="shared" si="40"/>
        <v>0.69840781910495275</v>
      </c>
      <c r="K197">
        <f t="shared" si="41"/>
        <v>-0.88253515177521746</v>
      </c>
      <c r="L197">
        <v>1</v>
      </c>
      <c r="M197">
        <f t="shared" si="42"/>
        <v>0.53998101553175015</v>
      </c>
      <c r="N197">
        <f t="shared" si="43"/>
        <v>0.152801724</v>
      </c>
      <c r="O197">
        <f t="shared" si="44"/>
        <v>0.11731553415</v>
      </c>
      <c r="P197">
        <f t="shared" si="45"/>
        <v>7.2436878093467313E-2</v>
      </c>
    </row>
    <row r="198" spans="1:16" x14ac:dyDescent="0.3">
      <c r="A198">
        <v>10.104172999999999</v>
      </c>
      <c r="B198">
        <v>0.33638000000000001</v>
      </c>
      <c r="C198">
        <f t="shared" si="36"/>
        <v>3.39884171374</v>
      </c>
      <c r="D198">
        <v>1.52E-2</v>
      </c>
      <c r="E198">
        <v>1.167E-2</v>
      </c>
      <c r="F198">
        <f t="shared" si="37"/>
        <v>2020.8345999999999</v>
      </c>
      <c r="G198">
        <f t="shared" si="38"/>
        <v>-0.33638000000000001</v>
      </c>
      <c r="H198">
        <f t="shared" si="39"/>
        <v>-679.76834274800001</v>
      </c>
      <c r="I198">
        <v>1</v>
      </c>
      <c r="J198">
        <f t="shared" si="40"/>
        <v>0.70351059439941899</v>
      </c>
      <c r="K198">
        <f t="shared" si="41"/>
        <v>-0.88534515177521744</v>
      </c>
      <c r="L198">
        <v>1</v>
      </c>
      <c r="M198">
        <f t="shared" si="42"/>
        <v>0.54024697218009776</v>
      </c>
      <c r="N198">
        <f t="shared" si="43"/>
        <v>0.15358342959999999</v>
      </c>
      <c r="O198">
        <f t="shared" si="44"/>
        <v>0.11791569890999999</v>
      </c>
      <c r="P198">
        <f t="shared" si="45"/>
        <v>7.3599051085119702E-2</v>
      </c>
    </row>
    <row r="199" spans="1:16" x14ac:dyDescent="0.3">
      <c r="A199">
        <v>10.155091000000001</v>
      </c>
      <c r="B199">
        <v>0.33338000000000001</v>
      </c>
      <c r="C199">
        <f t="shared" si="36"/>
        <v>3.3855042375800002</v>
      </c>
      <c r="D199">
        <v>1.52E-2</v>
      </c>
      <c r="E199">
        <v>1.167E-2</v>
      </c>
      <c r="F199">
        <f t="shared" si="37"/>
        <v>2031.0182000000002</v>
      </c>
      <c r="G199">
        <f t="shared" si="38"/>
        <v>-0.33338000000000001</v>
      </c>
      <c r="H199">
        <f t="shared" si="39"/>
        <v>-677.10084751600004</v>
      </c>
      <c r="I199">
        <v>1</v>
      </c>
      <c r="J199">
        <f t="shared" si="40"/>
        <v>0.70853724366100224</v>
      </c>
      <c r="K199">
        <f t="shared" si="41"/>
        <v>-0.88834515177521745</v>
      </c>
      <c r="L199">
        <v>1</v>
      </c>
      <c r="M199">
        <f t="shared" si="42"/>
        <v>0.54050896113961144</v>
      </c>
      <c r="N199">
        <f t="shared" si="43"/>
        <v>0.1543573832</v>
      </c>
      <c r="O199">
        <f t="shared" si="44"/>
        <v>0.11850991197000001</v>
      </c>
      <c r="P199">
        <f t="shared" si="45"/>
        <v>7.4968895465605992E-2</v>
      </c>
    </row>
    <row r="200" spans="1:16" x14ac:dyDescent="0.3">
      <c r="A200">
        <v>10.206009999999999</v>
      </c>
      <c r="B200">
        <v>0.3306</v>
      </c>
      <c r="C200">
        <f t="shared" si="36"/>
        <v>3.3741069059999997</v>
      </c>
      <c r="D200">
        <v>1.52E-2</v>
      </c>
      <c r="E200">
        <v>1.167E-2</v>
      </c>
      <c r="F200">
        <f t="shared" si="37"/>
        <v>2041.2019999999998</v>
      </c>
      <c r="G200">
        <f t="shared" si="38"/>
        <v>-0.3306</v>
      </c>
      <c r="H200">
        <f t="shared" si="39"/>
        <v>-674.82138119999991</v>
      </c>
      <c r="I200">
        <v>1</v>
      </c>
      <c r="J200">
        <f t="shared" si="40"/>
        <v>0.71353885002299378</v>
      </c>
      <c r="K200">
        <f t="shared" si="41"/>
        <v>-0.89112515177521745</v>
      </c>
      <c r="L200">
        <v>1</v>
      </c>
      <c r="M200">
        <f t="shared" si="42"/>
        <v>0.54076964486319845</v>
      </c>
      <c r="N200">
        <f t="shared" si="43"/>
        <v>0.155131352</v>
      </c>
      <c r="O200">
        <f t="shared" si="44"/>
        <v>0.11910413669999999</v>
      </c>
      <c r="P200">
        <f t="shared" si="45"/>
        <v>7.6120018212019011E-2</v>
      </c>
    </row>
    <row r="201" spans="1:16" x14ac:dyDescent="0.3">
      <c r="A201">
        <v>10.258965</v>
      </c>
      <c r="B201">
        <v>0.32784999999999997</v>
      </c>
      <c r="C201">
        <f t="shared" si="36"/>
        <v>3.3634016752499996</v>
      </c>
      <c r="D201">
        <v>1.52E-2</v>
      </c>
      <c r="E201">
        <v>1.167E-2</v>
      </c>
      <c r="F201">
        <f t="shared" si="37"/>
        <v>2051.7930000000001</v>
      </c>
      <c r="G201">
        <f t="shared" si="38"/>
        <v>-0.32784999999999997</v>
      </c>
      <c r="H201">
        <f t="shared" si="39"/>
        <v>-672.68033504999994</v>
      </c>
      <c r="I201">
        <v>1</v>
      </c>
      <c r="J201">
        <f t="shared" si="40"/>
        <v>0.71871404502709435</v>
      </c>
      <c r="K201">
        <f t="shared" si="41"/>
        <v>-0.89387515177521748</v>
      </c>
      <c r="L201">
        <v>1</v>
      </c>
      <c r="M201">
        <f t="shared" si="42"/>
        <v>0.54103937602681218</v>
      </c>
      <c r="N201">
        <f t="shared" si="43"/>
        <v>0.15593626799999999</v>
      </c>
      <c r="O201">
        <f t="shared" si="44"/>
        <v>0.11972212154999999</v>
      </c>
      <c r="P201">
        <f t="shared" si="45"/>
        <v>7.7177386198405321E-2</v>
      </c>
    </row>
    <row r="202" spans="1:16" x14ac:dyDescent="0.3">
      <c r="A202">
        <v>10.309882999999999</v>
      </c>
      <c r="B202">
        <v>0.32501999999999998</v>
      </c>
      <c r="C202">
        <f t="shared" si="36"/>
        <v>3.3509181726599997</v>
      </c>
      <c r="D202">
        <v>1.52E-2</v>
      </c>
      <c r="E202">
        <v>1.167E-2</v>
      </c>
      <c r="F202">
        <f t="shared" si="37"/>
        <v>2061.9766</v>
      </c>
      <c r="G202">
        <f t="shared" si="38"/>
        <v>-0.32501999999999998</v>
      </c>
      <c r="H202">
        <f t="shared" si="39"/>
        <v>-670.18363453199993</v>
      </c>
      <c r="I202">
        <v>1</v>
      </c>
      <c r="J202">
        <f t="shared" si="40"/>
        <v>0.72366503732475118</v>
      </c>
      <c r="K202">
        <f t="shared" si="41"/>
        <v>-0.89670515177521748</v>
      </c>
      <c r="L202">
        <v>1</v>
      </c>
      <c r="M202">
        <f t="shared" si="42"/>
        <v>0.5412974217453661</v>
      </c>
      <c r="N202">
        <f t="shared" si="43"/>
        <v>0.15671022159999998</v>
      </c>
      <c r="O202">
        <f t="shared" si="44"/>
        <v>0.12031633460999999</v>
      </c>
      <c r="P202">
        <f t="shared" si="45"/>
        <v>7.8381173819851407E-2</v>
      </c>
    </row>
    <row r="203" spans="1:16" x14ac:dyDescent="0.3">
      <c r="A203">
        <v>10.360802</v>
      </c>
      <c r="B203">
        <v>0.32224999999999998</v>
      </c>
      <c r="C203">
        <f t="shared" si="36"/>
        <v>3.3387684444999999</v>
      </c>
      <c r="D203">
        <v>1.52E-2</v>
      </c>
      <c r="E203">
        <v>1.167E-2</v>
      </c>
      <c r="F203">
        <f t="shared" si="37"/>
        <v>2072.1603999999998</v>
      </c>
      <c r="G203">
        <f t="shared" si="38"/>
        <v>-0.32224999999999998</v>
      </c>
      <c r="H203">
        <f t="shared" si="39"/>
        <v>-667.75368889999993</v>
      </c>
      <c r="I203">
        <v>1</v>
      </c>
      <c r="J203">
        <f t="shared" si="40"/>
        <v>0.72859173452840797</v>
      </c>
      <c r="K203">
        <f t="shared" si="41"/>
        <v>-0.89947515177521753</v>
      </c>
      <c r="L203">
        <v>1</v>
      </c>
      <c r="M203">
        <f t="shared" si="42"/>
        <v>0.54155420120362063</v>
      </c>
      <c r="N203">
        <f t="shared" si="43"/>
        <v>0.1574841904</v>
      </c>
      <c r="O203">
        <f t="shared" si="44"/>
        <v>0.12091055933999999</v>
      </c>
      <c r="P203">
        <f t="shared" si="45"/>
        <v>7.9526200831596908E-2</v>
      </c>
    </row>
    <row r="204" spans="1:16" x14ac:dyDescent="0.3">
      <c r="A204">
        <v>10.411720000000001</v>
      </c>
      <c r="B204">
        <v>0.31929000000000002</v>
      </c>
      <c r="C204">
        <f t="shared" si="36"/>
        <v>3.3243580788000004</v>
      </c>
      <c r="D204">
        <v>1.52E-2</v>
      </c>
      <c r="E204">
        <v>1.167E-2</v>
      </c>
      <c r="F204">
        <f t="shared" si="37"/>
        <v>2082.3440000000001</v>
      </c>
      <c r="G204">
        <f t="shared" si="38"/>
        <v>-0.31929000000000002</v>
      </c>
      <c r="H204">
        <f t="shared" si="39"/>
        <v>-664.87161576000005</v>
      </c>
      <c r="I204">
        <v>1</v>
      </c>
      <c r="J204">
        <f t="shared" si="40"/>
        <v>0.73349418228898366</v>
      </c>
      <c r="K204">
        <f t="shared" si="41"/>
        <v>-0.90243515177521738</v>
      </c>
      <c r="L204">
        <v>1</v>
      </c>
      <c r="M204">
        <f t="shared" si="42"/>
        <v>0.54180971678090184</v>
      </c>
      <c r="N204">
        <f t="shared" si="43"/>
        <v>0.15825814400000002</v>
      </c>
      <c r="O204">
        <f t="shared" si="44"/>
        <v>0.1215047724</v>
      </c>
      <c r="P204">
        <f t="shared" si="45"/>
        <v>8.0862518594315522E-2</v>
      </c>
    </row>
    <row r="205" spans="1:16" x14ac:dyDescent="0.3">
      <c r="A205">
        <v>10.464166000000001</v>
      </c>
      <c r="B205">
        <v>0.31651000000000001</v>
      </c>
      <c r="C205">
        <f t="shared" si="36"/>
        <v>3.3120131806600002</v>
      </c>
      <c r="D205">
        <v>1.52E-2</v>
      </c>
      <c r="E205">
        <v>1.167E-2</v>
      </c>
      <c r="F205">
        <f t="shared" si="37"/>
        <v>2092.8332</v>
      </c>
      <c r="G205">
        <f t="shared" si="38"/>
        <v>-0.31651000000000001</v>
      </c>
      <c r="H205">
        <f t="shared" si="39"/>
        <v>-662.402636132</v>
      </c>
      <c r="I205">
        <v>1</v>
      </c>
      <c r="J205">
        <f t="shared" si="40"/>
        <v>0.73851874606928491</v>
      </c>
      <c r="K205">
        <f t="shared" si="41"/>
        <v>-0.90521515177521739</v>
      </c>
      <c r="L205">
        <v>1</v>
      </c>
      <c r="M205">
        <f t="shared" si="42"/>
        <v>0.54207159704513119</v>
      </c>
      <c r="N205">
        <f t="shared" si="43"/>
        <v>0.15905532320000002</v>
      </c>
      <c r="O205">
        <f t="shared" si="44"/>
        <v>0.12211681722000001</v>
      </c>
      <c r="P205">
        <f t="shared" si="45"/>
        <v>8.1971414310086171E-2</v>
      </c>
    </row>
    <row r="206" spans="1:16" x14ac:dyDescent="0.3">
      <c r="A206">
        <v>10.515593000000001</v>
      </c>
      <c r="B206">
        <v>0.31342999999999999</v>
      </c>
      <c r="C206">
        <f t="shared" si="36"/>
        <v>3.2959023139900001</v>
      </c>
      <c r="D206">
        <v>1.52E-2</v>
      </c>
      <c r="E206">
        <v>1.167E-2</v>
      </c>
      <c r="F206">
        <f t="shared" si="37"/>
        <v>2103.1186000000002</v>
      </c>
      <c r="G206">
        <f t="shared" si="38"/>
        <v>-0.31342999999999999</v>
      </c>
      <c r="H206">
        <f t="shared" si="39"/>
        <v>-659.18046279800001</v>
      </c>
      <c r="I206">
        <v>1</v>
      </c>
      <c r="J206">
        <f t="shared" si="40"/>
        <v>0.74342129075568653</v>
      </c>
      <c r="K206">
        <f t="shared" si="41"/>
        <v>-0.90829515177521747</v>
      </c>
      <c r="L206">
        <v>1</v>
      </c>
      <c r="M206">
        <f t="shared" si="42"/>
        <v>0.5423271176741864</v>
      </c>
      <c r="N206">
        <f t="shared" si="43"/>
        <v>0.15983701360000002</v>
      </c>
      <c r="O206">
        <f t="shared" si="44"/>
        <v>0.12271697031000001</v>
      </c>
      <c r="P206">
        <f t="shared" si="45"/>
        <v>8.3414050191031042E-2</v>
      </c>
    </row>
    <row r="207" spans="1:16" x14ac:dyDescent="0.3">
      <c r="A207">
        <v>10.569565000000001</v>
      </c>
      <c r="B207">
        <v>0.31047000000000002</v>
      </c>
      <c r="C207">
        <f t="shared" si="36"/>
        <v>3.2815328455500006</v>
      </c>
      <c r="D207">
        <v>1.52E-2</v>
      </c>
      <c r="E207">
        <v>1.167E-2</v>
      </c>
      <c r="F207">
        <f t="shared" si="37"/>
        <v>2113.913</v>
      </c>
      <c r="G207">
        <f t="shared" si="38"/>
        <v>-0.31047000000000002</v>
      </c>
      <c r="H207">
        <f t="shared" si="39"/>
        <v>-656.30656911000017</v>
      </c>
      <c r="I207">
        <v>1</v>
      </c>
      <c r="J207">
        <f t="shared" si="40"/>
        <v>0.74854073239115981</v>
      </c>
      <c r="K207">
        <f t="shared" si="41"/>
        <v>-0.91125515177521743</v>
      </c>
      <c r="L207">
        <v>1</v>
      </c>
      <c r="M207">
        <f t="shared" si="42"/>
        <v>0.54259394297222729</v>
      </c>
      <c r="N207">
        <f t="shared" si="43"/>
        <v>0.16065738800000001</v>
      </c>
      <c r="O207">
        <f t="shared" si="44"/>
        <v>0.12334682355000001</v>
      </c>
      <c r="P207">
        <f t="shared" si="45"/>
        <v>8.4656997252990113E-2</v>
      </c>
    </row>
    <row r="208" spans="1:16" x14ac:dyDescent="0.3">
      <c r="A208">
        <v>10.620994</v>
      </c>
      <c r="B208">
        <v>0.30758999999999997</v>
      </c>
      <c r="C208">
        <f t="shared" si="36"/>
        <v>3.2669115444599997</v>
      </c>
      <c r="D208">
        <v>1.52E-2</v>
      </c>
      <c r="E208">
        <v>1.167E-2</v>
      </c>
      <c r="F208">
        <f t="shared" si="37"/>
        <v>2124.1988000000001</v>
      </c>
      <c r="G208">
        <f t="shared" si="38"/>
        <v>-0.30758999999999997</v>
      </c>
      <c r="H208">
        <f t="shared" si="39"/>
        <v>-653.38230889199997</v>
      </c>
      <c r="I208">
        <v>1</v>
      </c>
      <c r="J208">
        <f t="shared" si="40"/>
        <v>0.75339469598658515</v>
      </c>
      <c r="K208">
        <f t="shared" si="41"/>
        <v>-0.91413515177521742</v>
      </c>
      <c r="L208">
        <v>1</v>
      </c>
      <c r="M208">
        <f t="shared" si="42"/>
        <v>0.54284693155482089</v>
      </c>
      <c r="N208">
        <f t="shared" si="43"/>
        <v>0.16143910879999998</v>
      </c>
      <c r="O208">
        <f t="shared" si="44"/>
        <v>0.12394699998</v>
      </c>
      <c r="P208">
        <f t="shared" si="45"/>
        <v>8.5902111440396556E-2</v>
      </c>
    </row>
    <row r="209" spans="1:16" x14ac:dyDescent="0.3">
      <c r="A209">
        <v>10.671912000000001</v>
      </c>
      <c r="B209">
        <v>0.30484</v>
      </c>
      <c r="C209">
        <f t="shared" si="36"/>
        <v>3.2532256540800004</v>
      </c>
      <c r="D209">
        <v>1.52E-2</v>
      </c>
      <c r="E209">
        <v>1.167E-2</v>
      </c>
      <c r="F209">
        <f t="shared" si="37"/>
        <v>2134.3824</v>
      </c>
      <c r="G209">
        <f t="shared" si="38"/>
        <v>-0.30484</v>
      </c>
      <c r="H209">
        <f t="shared" si="39"/>
        <v>-650.64513081600012</v>
      </c>
      <c r="I209">
        <v>1</v>
      </c>
      <c r="J209">
        <f t="shared" si="40"/>
        <v>0.75817733082810856</v>
      </c>
      <c r="K209">
        <f t="shared" si="41"/>
        <v>-0.91688515177521746</v>
      </c>
      <c r="L209">
        <v>1</v>
      </c>
      <c r="M209">
        <f t="shared" si="42"/>
        <v>0.54309620248276103</v>
      </c>
      <c r="N209">
        <f t="shared" si="43"/>
        <v>0.16221306240000002</v>
      </c>
      <c r="O209">
        <f t="shared" si="44"/>
        <v>0.12454121304</v>
      </c>
      <c r="P209">
        <f t="shared" si="45"/>
        <v>8.7034673852456404E-2</v>
      </c>
    </row>
    <row r="210" spans="1:16" x14ac:dyDescent="0.3">
      <c r="A210">
        <v>10.723849</v>
      </c>
      <c r="B210">
        <v>0.30193999999999999</v>
      </c>
      <c r="C210">
        <f t="shared" si="36"/>
        <v>3.2379589670599995</v>
      </c>
      <c r="D210">
        <v>1.52E-2</v>
      </c>
      <c r="E210">
        <v>1.167E-2</v>
      </c>
      <c r="F210">
        <f t="shared" si="37"/>
        <v>2144.7698</v>
      </c>
      <c r="G210">
        <f t="shared" si="38"/>
        <v>-0.30193999999999999</v>
      </c>
      <c r="H210">
        <f t="shared" si="39"/>
        <v>-647.5917934119999</v>
      </c>
      <c r="I210">
        <v>1</v>
      </c>
      <c r="J210">
        <f t="shared" si="40"/>
        <v>0.76303222727352782</v>
      </c>
      <c r="K210">
        <f t="shared" si="41"/>
        <v>-0.91978515177521747</v>
      </c>
      <c r="L210">
        <v>1</v>
      </c>
      <c r="M210">
        <f t="shared" si="42"/>
        <v>0.54334923968549631</v>
      </c>
      <c r="N210">
        <f t="shared" si="43"/>
        <v>0.1630025048</v>
      </c>
      <c r="O210">
        <f t="shared" si="44"/>
        <v>0.12514731782999999</v>
      </c>
      <c r="P210">
        <f t="shared" si="45"/>
        <v>8.8286089459721162E-2</v>
      </c>
    </row>
    <row r="211" spans="1:16" x14ac:dyDescent="0.3">
      <c r="A211">
        <v>10.774768</v>
      </c>
      <c r="B211">
        <v>0.29887999999999998</v>
      </c>
      <c r="C211">
        <f t="shared" si="36"/>
        <v>3.2203626598399997</v>
      </c>
      <c r="D211">
        <v>1.52E-2</v>
      </c>
      <c r="E211">
        <v>1.167E-2</v>
      </c>
      <c r="F211">
        <f t="shared" si="37"/>
        <v>2154.9535999999998</v>
      </c>
      <c r="G211">
        <f t="shared" si="38"/>
        <v>-0.29887999999999998</v>
      </c>
      <c r="H211">
        <f t="shared" si="39"/>
        <v>-644.07253196799991</v>
      </c>
      <c r="I211">
        <v>1</v>
      </c>
      <c r="J211">
        <f t="shared" si="40"/>
        <v>0.76776919200140292</v>
      </c>
      <c r="K211">
        <f t="shared" si="41"/>
        <v>-0.92284515177521742</v>
      </c>
      <c r="L211">
        <v>1</v>
      </c>
      <c r="M211">
        <f t="shared" si="42"/>
        <v>0.54359613028711318</v>
      </c>
      <c r="N211">
        <f t="shared" si="43"/>
        <v>0.1637764736</v>
      </c>
      <c r="O211">
        <f t="shared" si="44"/>
        <v>0.12574154256</v>
      </c>
      <c r="P211">
        <f t="shared" si="45"/>
        <v>8.9731005328104241E-2</v>
      </c>
    </row>
    <row r="212" spans="1:16" x14ac:dyDescent="0.3">
      <c r="A212">
        <v>10.826193999999999</v>
      </c>
      <c r="B212">
        <v>0.29615000000000002</v>
      </c>
      <c r="C212">
        <f t="shared" si="36"/>
        <v>3.2061773531000002</v>
      </c>
      <c r="D212">
        <v>1.52E-2</v>
      </c>
      <c r="E212">
        <v>1.167E-2</v>
      </c>
      <c r="F212">
        <f t="shared" si="37"/>
        <v>2165.2387999999996</v>
      </c>
      <c r="G212">
        <f t="shared" si="38"/>
        <v>-0.29615000000000002</v>
      </c>
      <c r="H212">
        <f t="shared" si="39"/>
        <v>-641.23547062</v>
      </c>
      <c r="I212">
        <v>1</v>
      </c>
      <c r="J212">
        <f t="shared" si="40"/>
        <v>0.77253065560277667</v>
      </c>
      <c r="K212">
        <f t="shared" si="41"/>
        <v>-0.92557515177521743</v>
      </c>
      <c r="L212">
        <v>1</v>
      </c>
      <c r="M212">
        <f t="shared" si="42"/>
        <v>0.54384429777001675</v>
      </c>
      <c r="N212">
        <f t="shared" si="43"/>
        <v>0.1645581488</v>
      </c>
      <c r="O212">
        <f t="shared" si="44"/>
        <v>0.12634168397999998</v>
      </c>
      <c r="P212">
        <f t="shared" si="45"/>
        <v>9.0831021225200703E-2</v>
      </c>
    </row>
    <row r="213" spans="1:16" x14ac:dyDescent="0.3">
      <c r="A213">
        <v>10.880167999999999</v>
      </c>
      <c r="B213">
        <v>0.29321000000000003</v>
      </c>
      <c r="C213">
        <f t="shared" si="36"/>
        <v>3.1901740592800003</v>
      </c>
      <c r="D213">
        <v>1.52E-2</v>
      </c>
      <c r="E213">
        <v>1.167E-2</v>
      </c>
      <c r="F213">
        <f t="shared" si="37"/>
        <v>2176.0335999999998</v>
      </c>
      <c r="G213">
        <f t="shared" si="38"/>
        <v>-0.29321000000000003</v>
      </c>
      <c r="H213">
        <f t="shared" si="39"/>
        <v>-638.03481185600003</v>
      </c>
      <c r="I213">
        <v>1</v>
      </c>
      <c r="J213">
        <f t="shared" si="40"/>
        <v>0.77750377005095295</v>
      </c>
      <c r="K213">
        <f t="shared" si="41"/>
        <v>-0.92851515177521748</v>
      </c>
      <c r="L213">
        <v>1</v>
      </c>
      <c r="M213">
        <f t="shared" si="42"/>
        <v>0.54410349649505574</v>
      </c>
      <c r="N213">
        <f t="shared" si="43"/>
        <v>0.16537855359999998</v>
      </c>
      <c r="O213">
        <f t="shared" si="44"/>
        <v>0.12697156056</v>
      </c>
      <c r="P213">
        <f t="shared" si="45"/>
        <v>9.2061541120161766E-2</v>
      </c>
    </row>
    <row r="214" spans="1:16" x14ac:dyDescent="0.3">
      <c r="A214">
        <v>10.931086000000001</v>
      </c>
      <c r="B214">
        <v>0.29054000000000002</v>
      </c>
      <c r="C214">
        <f t="shared" si="36"/>
        <v>3.1759177264400003</v>
      </c>
      <c r="D214">
        <v>1.52E-2</v>
      </c>
      <c r="E214">
        <v>1.167E-2</v>
      </c>
      <c r="F214">
        <f t="shared" si="37"/>
        <v>2186.2172</v>
      </c>
      <c r="G214">
        <f t="shared" si="38"/>
        <v>-0.29054000000000002</v>
      </c>
      <c r="H214">
        <f t="shared" si="39"/>
        <v>-635.183545288</v>
      </c>
      <c r="I214">
        <v>1</v>
      </c>
      <c r="J214">
        <f t="shared" si="40"/>
        <v>0.78217274437935436</v>
      </c>
      <c r="K214">
        <f t="shared" si="41"/>
        <v>-0.93118515177521743</v>
      </c>
      <c r="L214">
        <v>1</v>
      </c>
      <c r="M214">
        <f t="shared" si="42"/>
        <v>0.54434684343705197</v>
      </c>
      <c r="N214">
        <f t="shared" si="43"/>
        <v>0.16615250720000002</v>
      </c>
      <c r="O214">
        <f t="shared" si="44"/>
        <v>0.12756577362000002</v>
      </c>
      <c r="P214">
        <f t="shared" si="45"/>
        <v>9.3120027518165421E-2</v>
      </c>
    </row>
    <row r="215" spans="1:16" x14ac:dyDescent="0.3">
      <c r="A215">
        <v>10.981496</v>
      </c>
      <c r="B215">
        <v>0.28731000000000001</v>
      </c>
      <c r="C215">
        <f t="shared" si="36"/>
        <v>3.1550936157600002</v>
      </c>
      <c r="D215">
        <v>1.52E-2</v>
      </c>
      <c r="E215">
        <v>1.167E-2</v>
      </c>
      <c r="F215">
        <f t="shared" si="37"/>
        <v>2196.2991999999999</v>
      </c>
      <c r="G215">
        <f t="shared" si="38"/>
        <v>-0.28731000000000001</v>
      </c>
      <c r="H215">
        <f t="shared" si="39"/>
        <v>-631.01872315200001</v>
      </c>
      <c r="I215">
        <v>1</v>
      </c>
      <c r="J215">
        <f t="shared" si="40"/>
        <v>0.78677376208953909</v>
      </c>
      <c r="K215">
        <f t="shared" si="41"/>
        <v>-0.9344151517752175</v>
      </c>
      <c r="L215">
        <v>1</v>
      </c>
      <c r="M215">
        <f t="shared" si="42"/>
        <v>0.54458664848010685</v>
      </c>
      <c r="N215">
        <f t="shared" si="43"/>
        <v>0.1669187392</v>
      </c>
      <c r="O215">
        <f t="shared" si="44"/>
        <v>0.12815405831999999</v>
      </c>
      <c r="P215">
        <f t="shared" si="45"/>
        <v>9.4755705775110666E-2</v>
      </c>
    </row>
    <row r="216" spans="1:16" x14ac:dyDescent="0.3">
      <c r="A216">
        <v>11.032924</v>
      </c>
      <c r="B216">
        <v>0.28453000000000001</v>
      </c>
      <c r="C216">
        <f t="shared" si="36"/>
        <v>3.1391978657199999</v>
      </c>
      <c r="D216">
        <v>1.52E-2</v>
      </c>
      <c r="E216">
        <v>1.167E-2</v>
      </c>
      <c r="F216">
        <f t="shared" si="37"/>
        <v>2206.5848000000001</v>
      </c>
      <c r="G216">
        <f t="shared" si="38"/>
        <v>-0.28453000000000001</v>
      </c>
      <c r="H216">
        <f t="shared" si="39"/>
        <v>-627.83957314400004</v>
      </c>
      <c r="I216">
        <v>1</v>
      </c>
      <c r="J216">
        <f t="shared" si="40"/>
        <v>0.79144598089471108</v>
      </c>
      <c r="K216">
        <f t="shared" si="41"/>
        <v>-0.93719515177521751</v>
      </c>
      <c r="L216">
        <v>1</v>
      </c>
      <c r="M216">
        <f t="shared" si="42"/>
        <v>0.54483016452423239</v>
      </c>
      <c r="N216">
        <f t="shared" si="43"/>
        <v>0.16770044479999999</v>
      </c>
      <c r="O216">
        <f t="shared" si="44"/>
        <v>0.12875422307999998</v>
      </c>
      <c r="P216">
        <f t="shared" si="45"/>
        <v>9.5910319370985153E-2</v>
      </c>
    </row>
    <row r="217" spans="1:16" x14ac:dyDescent="0.3">
      <c r="A217">
        <v>11.083333</v>
      </c>
      <c r="B217">
        <v>0.28193000000000001</v>
      </c>
      <c r="C217">
        <f t="shared" si="36"/>
        <v>3.1247240726899999</v>
      </c>
      <c r="D217">
        <v>1.52E-2</v>
      </c>
      <c r="E217">
        <v>1.167E-2</v>
      </c>
      <c r="F217">
        <f t="shared" si="37"/>
        <v>2216.6666</v>
      </c>
      <c r="G217">
        <f t="shared" si="38"/>
        <v>-0.28193000000000001</v>
      </c>
      <c r="H217">
        <f t="shared" si="39"/>
        <v>-624.94481453799995</v>
      </c>
      <c r="I217">
        <v>1</v>
      </c>
      <c r="J217">
        <f t="shared" si="40"/>
        <v>0.79600453592446463</v>
      </c>
      <c r="K217">
        <f t="shared" si="41"/>
        <v>-0.93979515177521744</v>
      </c>
      <c r="L217">
        <v>1</v>
      </c>
      <c r="M217">
        <f t="shared" si="42"/>
        <v>0.54506775641238314</v>
      </c>
      <c r="N217">
        <f t="shared" si="43"/>
        <v>0.16846666159999998</v>
      </c>
      <c r="O217">
        <f t="shared" si="44"/>
        <v>0.12934249610999998</v>
      </c>
      <c r="P217">
        <f t="shared" si="45"/>
        <v>9.6918237652834333E-2</v>
      </c>
    </row>
    <row r="218" spans="1:16" x14ac:dyDescent="0.3">
      <c r="A218">
        <v>11.135268999999999</v>
      </c>
      <c r="B218">
        <v>0.27907999999999999</v>
      </c>
      <c r="C218">
        <f t="shared" si="36"/>
        <v>3.1076308725199997</v>
      </c>
      <c r="D218">
        <v>1.52E-2</v>
      </c>
      <c r="E218">
        <v>1.167E-2</v>
      </c>
      <c r="F218">
        <f t="shared" si="37"/>
        <v>2227.0537999999997</v>
      </c>
      <c r="G218">
        <f t="shared" si="38"/>
        <v>-0.27907999999999999</v>
      </c>
      <c r="H218">
        <f t="shared" si="39"/>
        <v>-621.52617450399998</v>
      </c>
      <c r="I218">
        <v>1</v>
      </c>
      <c r="J218">
        <f t="shared" si="40"/>
        <v>0.80067954604359981</v>
      </c>
      <c r="K218">
        <f t="shared" si="41"/>
        <v>-0.94264515177521746</v>
      </c>
      <c r="L218">
        <v>1</v>
      </c>
      <c r="M218">
        <f t="shared" si="42"/>
        <v>0.54531141793979243</v>
      </c>
      <c r="N218">
        <f t="shared" si="43"/>
        <v>0.16925608879999998</v>
      </c>
      <c r="O218">
        <f t="shared" si="44"/>
        <v>0.12994858922999999</v>
      </c>
      <c r="P218">
        <f t="shared" si="45"/>
        <v>9.8129055805425053E-2</v>
      </c>
    </row>
    <row r="219" spans="1:16" x14ac:dyDescent="0.3">
      <c r="A219">
        <v>11.188732</v>
      </c>
      <c r="B219">
        <v>0.27582000000000001</v>
      </c>
      <c r="C219">
        <f t="shared" si="36"/>
        <v>3.0860760602399999</v>
      </c>
      <c r="D219">
        <v>1.52E-2</v>
      </c>
      <c r="E219">
        <v>1.167E-2</v>
      </c>
      <c r="F219">
        <f t="shared" si="37"/>
        <v>2237.7464</v>
      </c>
      <c r="G219">
        <f t="shared" si="38"/>
        <v>-0.27582000000000001</v>
      </c>
      <c r="H219">
        <f t="shared" si="39"/>
        <v>-617.21521204800001</v>
      </c>
      <c r="I219">
        <v>1</v>
      </c>
      <c r="J219">
        <f t="shared" si="40"/>
        <v>0.80546928800881923</v>
      </c>
      <c r="K219">
        <f t="shared" si="41"/>
        <v>-0.9459051517752175</v>
      </c>
      <c r="L219">
        <v>1</v>
      </c>
      <c r="M219">
        <f t="shared" si="42"/>
        <v>0.54556105929101972</v>
      </c>
      <c r="N219">
        <f t="shared" si="43"/>
        <v>0.17006872640000001</v>
      </c>
      <c r="O219">
        <f t="shared" si="44"/>
        <v>0.13057250243999999</v>
      </c>
      <c r="P219">
        <f t="shared" si="45"/>
        <v>9.9702863644197781E-2</v>
      </c>
    </row>
    <row r="220" spans="1:16" x14ac:dyDescent="0.3">
      <c r="A220">
        <v>11.241179000000001</v>
      </c>
      <c r="B220">
        <v>0.27306999999999998</v>
      </c>
      <c r="C220">
        <f t="shared" si="36"/>
        <v>3.0696287495300001</v>
      </c>
      <c r="D220">
        <v>1.52E-2</v>
      </c>
      <c r="E220">
        <v>1.167E-2</v>
      </c>
      <c r="F220">
        <f t="shared" si="37"/>
        <v>2248.2357999999999</v>
      </c>
      <c r="G220">
        <f t="shared" si="38"/>
        <v>-0.27306999999999998</v>
      </c>
      <c r="H220">
        <f t="shared" si="39"/>
        <v>-613.92574990599996</v>
      </c>
      <c r="I220">
        <v>1</v>
      </c>
      <c r="J220">
        <f t="shared" si="40"/>
        <v>0.8101458197689676</v>
      </c>
      <c r="K220">
        <f t="shared" si="41"/>
        <v>-0.94865515177521753</v>
      </c>
      <c r="L220">
        <v>1</v>
      </c>
      <c r="M220">
        <f t="shared" si="42"/>
        <v>0.54580480012635857</v>
      </c>
      <c r="N220">
        <f t="shared" si="43"/>
        <v>0.17086592080000002</v>
      </c>
      <c r="O220">
        <f t="shared" si="44"/>
        <v>0.13118455893</v>
      </c>
      <c r="P220">
        <f t="shared" si="45"/>
        <v>0.10079987191885895</v>
      </c>
    </row>
    <row r="221" spans="1:16" x14ac:dyDescent="0.3">
      <c r="A221">
        <v>11.293115999999999</v>
      </c>
      <c r="B221">
        <v>0.27011000000000002</v>
      </c>
      <c r="C221">
        <f t="shared" si="36"/>
        <v>3.05038356276</v>
      </c>
      <c r="D221">
        <v>1.52E-2</v>
      </c>
      <c r="E221">
        <v>1.167E-2</v>
      </c>
      <c r="F221">
        <f t="shared" si="37"/>
        <v>2258.6232</v>
      </c>
      <c r="G221">
        <f t="shared" si="38"/>
        <v>-0.27011000000000002</v>
      </c>
      <c r="H221">
        <f t="shared" si="39"/>
        <v>-610.076712552</v>
      </c>
      <c r="I221">
        <v>1</v>
      </c>
      <c r="J221">
        <f t="shared" si="40"/>
        <v>0.81475542410449631</v>
      </c>
      <c r="K221">
        <f t="shared" si="41"/>
        <v>-0.95161515177521738</v>
      </c>
      <c r="L221">
        <v>1</v>
      </c>
      <c r="M221">
        <f t="shared" si="42"/>
        <v>0.54604505270432635</v>
      </c>
      <c r="N221">
        <f t="shared" si="43"/>
        <v>0.17165536319999999</v>
      </c>
      <c r="O221">
        <f t="shared" si="44"/>
        <v>0.13179066371999998</v>
      </c>
      <c r="P221">
        <f t="shared" si="45"/>
        <v>0.10212407215089106</v>
      </c>
    </row>
    <row r="222" spans="1:16" x14ac:dyDescent="0.3">
      <c r="A222">
        <v>11.345563</v>
      </c>
      <c r="B222">
        <v>0.26715</v>
      </c>
      <c r="C222">
        <f t="shared" si="36"/>
        <v>3.03096715545</v>
      </c>
      <c r="D222">
        <v>1.52E-2</v>
      </c>
      <c r="E222">
        <v>1.167E-2</v>
      </c>
      <c r="F222">
        <f t="shared" si="37"/>
        <v>2269.1125999999999</v>
      </c>
      <c r="G222">
        <f t="shared" si="38"/>
        <v>-0.26715</v>
      </c>
      <c r="H222">
        <f t="shared" si="39"/>
        <v>-606.19343108999999</v>
      </c>
      <c r="I222">
        <v>1</v>
      </c>
      <c r="J222">
        <f t="shared" si="40"/>
        <v>0.81938882995203843</v>
      </c>
      <c r="K222">
        <f t="shared" si="41"/>
        <v>-0.95457515177521746</v>
      </c>
      <c r="L222">
        <v>1</v>
      </c>
      <c r="M222">
        <f t="shared" si="42"/>
        <v>0.54628654581710023</v>
      </c>
      <c r="N222">
        <f t="shared" si="43"/>
        <v>0.1724525576</v>
      </c>
      <c r="O222">
        <f t="shared" si="44"/>
        <v>0.13240272020999999</v>
      </c>
      <c r="P222">
        <f t="shared" si="45"/>
        <v>0.10343332814811723</v>
      </c>
    </row>
    <row r="223" spans="1:16" x14ac:dyDescent="0.3">
      <c r="A223">
        <v>11.39648</v>
      </c>
      <c r="B223">
        <v>0.26421</v>
      </c>
      <c r="C223">
        <f t="shared" si="36"/>
        <v>3.0110639807999999</v>
      </c>
      <c r="D223">
        <v>1.52E-2</v>
      </c>
      <c r="E223">
        <v>1.167E-2</v>
      </c>
      <c r="F223">
        <f t="shared" si="37"/>
        <v>2279.2960000000003</v>
      </c>
      <c r="G223">
        <f t="shared" si="38"/>
        <v>-0.26421</v>
      </c>
      <c r="H223">
        <f t="shared" si="39"/>
        <v>-602.21279616000004</v>
      </c>
      <c r="I223">
        <v>1</v>
      </c>
      <c r="J223">
        <f t="shared" si="40"/>
        <v>0.82386662335665761</v>
      </c>
      <c r="K223">
        <f t="shared" si="41"/>
        <v>-0.9575151517752174</v>
      </c>
      <c r="L223">
        <v>1</v>
      </c>
      <c r="M223">
        <f t="shared" si="42"/>
        <v>0.54651992840934904</v>
      </c>
      <c r="N223">
        <f t="shared" si="43"/>
        <v>0.17322649600000001</v>
      </c>
      <c r="O223">
        <f t="shared" si="44"/>
        <v>0.13299692160000001</v>
      </c>
      <c r="P223">
        <f t="shared" si="45"/>
        <v>0.10477180576586834</v>
      </c>
    </row>
    <row r="224" spans="1:16" x14ac:dyDescent="0.3">
      <c r="A224">
        <v>11.449436</v>
      </c>
      <c r="B224">
        <v>0.26129000000000002</v>
      </c>
      <c r="C224">
        <f t="shared" si="36"/>
        <v>2.9916231324400004</v>
      </c>
      <c r="D224">
        <v>1.52E-2</v>
      </c>
      <c r="E224">
        <v>1.167E-2</v>
      </c>
      <c r="F224">
        <f t="shared" si="37"/>
        <v>2289.8872000000001</v>
      </c>
      <c r="G224">
        <f t="shared" si="38"/>
        <v>-0.26129000000000002</v>
      </c>
      <c r="H224">
        <f t="shared" si="39"/>
        <v>-598.32462648800004</v>
      </c>
      <c r="I224">
        <v>1</v>
      </c>
      <c r="J224">
        <f t="shared" si="40"/>
        <v>0.8285025587110294</v>
      </c>
      <c r="K224">
        <f t="shared" si="41"/>
        <v>-0.96043515177521743</v>
      </c>
      <c r="L224">
        <v>1</v>
      </c>
      <c r="M224">
        <f t="shared" si="42"/>
        <v>0.54676155336001886</v>
      </c>
      <c r="N224">
        <f t="shared" si="43"/>
        <v>0.17403142720000001</v>
      </c>
      <c r="O224">
        <f t="shared" si="44"/>
        <v>0.13361491812000001</v>
      </c>
      <c r="P224">
        <f t="shared" si="45"/>
        <v>0.10602725309519856</v>
      </c>
    </row>
    <row r="225" spans="1:18" x14ac:dyDescent="0.3">
      <c r="A225">
        <v>11.500862</v>
      </c>
      <c r="B225">
        <v>0.25822000000000001</v>
      </c>
      <c r="C225">
        <f t="shared" si="36"/>
        <v>2.9697525856399998</v>
      </c>
      <c r="D225">
        <v>1.52E-2</v>
      </c>
      <c r="E225">
        <v>1.167E-2</v>
      </c>
      <c r="F225">
        <f t="shared" si="37"/>
        <v>2300.1723999999999</v>
      </c>
      <c r="G225">
        <f t="shared" si="38"/>
        <v>-0.25822000000000001</v>
      </c>
      <c r="H225">
        <f t="shared" si="39"/>
        <v>-593.950517128</v>
      </c>
      <c r="I225">
        <v>1</v>
      </c>
      <c r="J225">
        <f t="shared" si="40"/>
        <v>0.83298407664774343</v>
      </c>
      <c r="K225">
        <f t="shared" si="41"/>
        <v>-0.96350515177521745</v>
      </c>
      <c r="L225">
        <v>1</v>
      </c>
      <c r="M225">
        <f t="shared" si="42"/>
        <v>0.54699513007488043</v>
      </c>
      <c r="N225">
        <f t="shared" si="43"/>
        <v>0.1748131024</v>
      </c>
      <c r="O225">
        <f t="shared" si="44"/>
        <v>0.13421505953999999</v>
      </c>
      <c r="P225">
        <f t="shared" si="45"/>
        <v>0.10748185976033703</v>
      </c>
      <c r="R225">
        <f>O225+N225+M225</f>
        <v>0.85602329201488048</v>
      </c>
    </row>
    <row r="226" spans="1:18" x14ac:dyDescent="0.3">
      <c r="A226">
        <v>11.553309</v>
      </c>
      <c r="B226">
        <v>0.25545000000000001</v>
      </c>
      <c r="C226">
        <f t="shared" si="36"/>
        <v>2.9512927840500001</v>
      </c>
      <c r="D226">
        <v>1.52E-2</v>
      </c>
      <c r="E226">
        <v>1.167E-2</v>
      </c>
      <c r="F226">
        <f t="shared" si="37"/>
        <v>2310.6618000000003</v>
      </c>
      <c r="G226">
        <f t="shared" si="38"/>
        <v>-0.25545000000000001</v>
      </c>
      <c r="H226">
        <f t="shared" si="39"/>
        <v>-590.25855680999996</v>
      </c>
      <c r="I226">
        <v>1</v>
      </c>
      <c r="J226">
        <f t="shared" si="40"/>
        <v>0.83753397700876775</v>
      </c>
      <c r="K226">
        <f t="shared" si="41"/>
        <v>-0.9662751517752175</v>
      </c>
      <c r="L226">
        <v>1</v>
      </c>
      <c r="M226">
        <f t="shared" si="42"/>
        <v>0.54723227088169701</v>
      </c>
      <c r="N226">
        <f t="shared" si="43"/>
        <v>0.17561029680000001</v>
      </c>
      <c r="O226">
        <f t="shared" si="44"/>
        <v>0.13482711603</v>
      </c>
      <c r="P226">
        <f t="shared" si="45"/>
        <v>0.10860546806352048</v>
      </c>
    </row>
    <row r="227" spans="1:18" x14ac:dyDescent="0.3">
      <c r="A227">
        <v>11.605245</v>
      </c>
      <c r="B227">
        <v>0.25255</v>
      </c>
      <c r="C227">
        <f t="shared" si="36"/>
        <v>2.9309046247500001</v>
      </c>
      <c r="D227">
        <v>1.52E-2</v>
      </c>
      <c r="E227">
        <v>1.167E-2</v>
      </c>
      <c r="F227">
        <f t="shared" si="37"/>
        <v>2321.049</v>
      </c>
      <c r="G227">
        <f t="shared" si="38"/>
        <v>-0.25255</v>
      </c>
      <c r="H227">
        <f t="shared" si="39"/>
        <v>-586.18092495000008</v>
      </c>
      <c r="I227">
        <v>1</v>
      </c>
      <c r="J227">
        <f t="shared" si="40"/>
        <v>0.84201923865928541</v>
      </c>
      <c r="K227">
        <f t="shared" si="41"/>
        <v>-0.9691751517752174</v>
      </c>
      <c r="L227">
        <v>1</v>
      </c>
      <c r="M227">
        <f t="shared" si="42"/>
        <v>0.54746604271892196</v>
      </c>
      <c r="N227">
        <f t="shared" si="43"/>
        <v>0.17639972400000001</v>
      </c>
      <c r="O227">
        <f t="shared" si="44"/>
        <v>0.13543320915000001</v>
      </c>
      <c r="P227">
        <f t="shared" si="45"/>
        <v>0.10987617590629542</v>
      </c>
    </row>
    <row r="228" spans="1:18" x14ac:dyDescent="0.3">
      <c r="A228">
        <v>11.618992</v>
      </c>
      <c r="B228">
        <v>0.25169000000000002</v>
      </c>
      <c r="C228">
        <f t="shared" si="36"/>
        <v>2.9243840964800003</v>
      </c>
      <c r="D228">
        <v>1.52E-2</v>
      </c>
      <c r="E228">
        <v>1.167E-2</v>
      </c>
      <c r="F228">
        <f t="shared" si="37"/>
        <v>2323.7984000000001</v>
      </c>
      <c r="G228">
        <f t="shared" si="38"/>
        <v>-0.25169000000000002</v>
      </c>
      <c r="H228">
        <f t="shared" si="39"/>
        <v>-584.87681929600001</v>
      </c>
      <c r="I228">
        <v>1</v>
      </c>
      <c r="J228">
        <f t="shared" si="40"/>
        <v>0.8432030882389755</v>
      </c>
      <c r="K228">
        <f t="shared" si="41"/>
        <v>-0.97003515177521749</v>
      </c>
      <c r="L228">
        <v>1</v>
      </c>
      <c r="M228">
        <f t="shared" si="42"/>
        <v>0.54752774495901546</v>
      </c>
      <c r="N228">
        <f t="shared" si="43"/>
        <v>0.1766086784</v>
      </c>
      <c r="O228">
        <f t="shared" si="44"/>
        <v>0.13559363664000001</v>
      </c>
      <c r="P228">
        <f t="shared" si="45"/>
        <v>0.11030509177620201</v>
      </c>
    </row>
    <row r="229" spans="1:18" x14ac:dyDescent="0.3">
      <c r="C229">
        <f t="shared" si="36"/>
        <v>0</v>
      </c>
      <c r="D229">
        <v>1.4999999999999999E-2</v>
      </c>
      <c r="E229">
        <v>1.0999999999999999E-2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v>1</v>
      </c>
      <c r="J229" t="e">
        <f t="shared" si="40"/>
        <v>#NUM!</v>
      </c>
      <c r="K229">
        <f t="shared" si="41"/>
        <v>-1.2217251517752175</v>
      </c>
      <c r="L229">
        <v>1</v>
      </c>
      <c r="M229" t="e">
        <f t="shared" si="42"/>
        <v>#NUM!</v>
      </c>
      <c r="N229">
        <f t="shared" si="43"/>
        <v>0</v>
      </c>
      <c r="O229">
        <f t="shared" si="44"/>
        <v>0</v>
      </c>
      <c r="P229" t="e">
        <f t="shared" si="45"/>
        <v>#NUM!</v>
      </c>
    </row>
    <row r="230" spans="1:18" x14ac:dyDescent="0.3">
      <c r="C230">
        <f t="shared" si="36"/>
        <v>0</v>
      </c>
      <c r="D230">
        <v>1.4999999999999999E-2</v>
      </c>
      <c r="E230">
        <v>1.0999999999999999E-2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1:18" x14ac:dyDescent="0.3">
      <c r="C231">
        <f t="shared" si="36"/>
        <v>0</v>
      </c>
      <c r="D231">
        <v>1.4999999999999999E-2</v>
      </c>
      <c r="E231">
        <v>1.0999999999999999E-2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1:18" x14ac:dyDescent="0.3">
      <c r="C232">
        <f t="shared" si="36"/>
        <v>0</v>
      </c>
      <c r="D232">
        <v>1.4999999999999999E-2</v>
      </c>
      <c r="E232">
        <v>1.0999999999999999E-2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1:18" x14ac:dyDescent="0.3">
      <c r="C233">
        <f t="shared" si="36"/>
        <v>0</v>
      </c>
      <c r="D233">
        <v>1.4999999999999999E-2</v>
      </c>
      <c r="E233">
        <v>1.0999999999999999E-2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1:18" x14ac:dyDescent="0.3">
      <c r="C234">
        <f t="shared" si="36"/>
        <v>0</v>
      </c>
      <c r="D234">
        <v>1.4999999999999999E-2</v>
      </c>
      <c r="E234">
        <v>1.0999999999999999E-2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1:18" x14ac:dyDescent="0.3">
      <c r="C235">
        <f t="shared" si="36"/>
        <v>0</v>
      </c>
      <c r="D235">
        <v>1.4999999999999999E-2</v>
      </c>
      <c r="E235">
        <v>1.0999999999999999E-2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1:18" x14ac:dyDescent="0.3">
      <c r="C236">
        <f t="shared" si="36"/>
        <v>0</v>
      </c>
      <c r="D236">
        <v>1.4999999999999999E-2</v>
      </c>
      <c r="E236">
        <v>1.0999999999999999E-2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1:18" x14ac:dyDescent="0.3">
      <c r="C237">
        <f t="shared" si="36"/>
        <v>0</v>
      </c>
      <c r="D237">
        <v>1.4999999999999999E-2</v>
      </c>
      <c r="E237">
        <v>1.0999999999999999E-2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1:18" x14ac:dyDescent="0.3">
      <c r="C238">
        <f t="shared" si="36"/>
        <v>0</v>
      </c>
      <c r="D238">
        <v>1.4999999999999999E-2</v>
      </c>
      <c r="E238">
        <v>1.0999999999999999E-2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1:18" x14ac:dyDescent="0.3">
      <c r="C239">
        <f t="shared" si="36"/>
        <v>0</v>
      </c>
      <c r="D239">
        <v>1.4999999999999999E-2</v>
      </c>
      <c r="E239">
        <v>1.0999999999999999E-2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1:18" x14ac:dyDescent="0.3">
      <c r="C240">
        <f t="shared" si="36"/>
        <v>0</v>
      </c>
      <c r="D240">
        <v>1.4999999999999999E-2</v>
      </c>
      <c r="E240">
        <v>1.0999999999999999E-2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1.4999999999999999E-2</v>
      </c>
      <c r="E241">
        <v>1.0999999999999999E-2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1.4999999999999999E-2</v>
      </c>
      <c r="E242">
        <v>1.0999999999999999E-2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1.4999999999999999E-2</v>
      </c>
      <c r="E243">
        <v>1.0999999999999999E-2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1.4999999999999999E-2</v>
      </c>
      <c r="E244">
        <v>1.0999999999999999E-2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1.4999999999999999E-2</v>
      </c>
      <c r="E245">
        <v>1.0999999999999999E-2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1.4999999999999999E-2</v>
      </c>
      <c r="E246">
        <v>1.0999999999999999E-2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1.4999999999999999E-2</v>
      </c>
      <c r="E247">
        <v>1.0999999999999999E-2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1.4999999999999999E-2</v>
      </c>
      <c r="E248">
        <v>1.0999999999999999E-2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1.4999999999999999E-2</v>
      </c>
      <c r="E249">
        <v>1.0999999999999999E-2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1.4999999999999999E-2</v>
      </c>
      <c r="E250">
        <v>1.0999999999999999E-2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1.4999999999999999E-2</v>
      </c>
      <c r="E251">
        <v>1.0999999999999999E-2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1.4999999999999999E-2</v>
      </c>
      <c r="E252">
        <v>1.0999999999999999E-2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1.4999999999999999E-2</v>
      </c>
      <c r="E253">
        <v>1.0999999999999999E-2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1.4999999999999999E-2</v>
      </c>
      <c r="E254">
        <v>1.0999999999999999E-2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1.4999999999999999E-2</v>
      </c>
      <c r="E255">
        <v>1.0999999999999999E-2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1.4999999999999999E-2</v>
      </c>
      <c r="E256">
        <v>1.0999999999999999E-2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1.4999999999999999E-2</v>
      </c>
      <c r="E257">
        <v>1.0999999999999999E-2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1.4999999999999999E-2</v>
      </c>
      <c r="E258">
        <v>1.0999999999999999E-2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1.4999999999999999E-2</v>
      </c>
      <c r="E259">
        <v>1.0999999999999999E-2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03" si="46">A260*B260</f>
        <v>0</v>
      </c>
      <c r="D260">
        <v>1.4999999999999999E-2</v>
      </c>
      <c r="E260">
        <v>1.0999999999999999E-2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03" si="55">-K260-M260-N260-O260</f>
        <v>#NUM!</v>
      </c>
    </row>
    <row r="261" spans="3:16" x14ac:dyDescent="0.3">
      <c r="C261">
        <f t="shared" si="46"/>
        <v>0</v>
      </c>
      <c r="D261">
        <v>1.4999999999999999E-2</v>
      </c>
      <c r="E261">
        <v>1.0999999999999999E-2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1.4999999999999999E-2</v>
      </c>
      <c r="E262">
        <v>1.0999999999999999E-2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1.4999999999999999E-2</v>
      </c>
      <c r="E263">
        <v>1.0999999999999999E-2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1.4999999999999999E-2</v>
      </c>
      <c r="E264">
        <v>1.0999999999999999E-2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1.4999999999999999E-2</v>
      </c>
      <c r="E265">
        <v>1.0999999999999999E-2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1.4999999999999999E-2</v>
      </c>
      <c r="E266">
        <v>1.0999999999999999E-2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1.4999999999999999E-2</v>
      </c>
      <c r="E267">
        <v>1.0999999999999999E-2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1.4999999999999999E-2</v>
      </c>
      <c r="E268">
        <v>1.0999999999999999E-2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1.4999999999999999E-2</v>
      </c>
      <c r="E269">
        <v>1.0999999999999999E-2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1.4999999999999999E-2</v>
      </c>
      <c r="E270">
        <v>1.0999999999999999E-2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1.4999999999999999E-2</v>
      </c>
      <c r="E271">
        <v>1.0999999999999999E-2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1.4999999999999999E-2</v>
      </c>
      <c r="E272">
        <v>1.0999999999999999E-2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1.4999999999999999E-2</v>
      </c>
      <c r="E273">
        <v>1.0999999999999999E-2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1.4999999999999999E-2</v>
      </c>
      <c r="E274">
        <v>1.0999999999999999E-2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1.4999999999999999E-2</v>
      </c>
      <c r="E275">
        <v>1.0999999999999999E-2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1.4999999999999999E-2</v>
      </c>
      <c r="E276">
        <v>1.0999999999999999E-2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1.4999999999999999E-2</v>
      </c>
      <c r="E277">
        <v>1.0999999999999999E-2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1.4999999999999999E-2</v>
      </c>
      <c r="E278">
        <v>1.0999999999999999E-2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1.4999999999999999E-2</v>
      </c>
      <c r="E279">
        <v>1.0999999999999999E-2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1.4999999999999999E-2</v>
      </c>
      <c r="E280">
        <v>1.0999999999999999E-2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1.4999999999999999E-2</v>
      </c>
      <c r="E281">
        <v>1.0999999999999999E-2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1.4999999999999999E-2</v>
      </c>
      <c r="E282">
        <v>1.0999999999999999E-2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1.4999999999999999E-2</v>
      </c>
      <c r="E283">
        <v>1.0999999999999999E-2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1.4999999999999999E-2</v>
      </c>
      <c r="E284">
        <v>1.0999999999999999E-2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1.4999999999999999E-2</v>
      </c>
      <c r="E285">
        <v>1.0999999999999999E-2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1.4999999999999999E-2</v>
      </c>
      <c r="E286">
        <v>1.0999999999999999E-2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1.4999999999999999E-2</v>
      </c>
      <c r="E287">
        <v>1.0999999999999999E-2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1.4999999999999999E-2</v>
      </c>
      <c r="E288">
        <v>1.0999999999999999E-2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1.4999999999999999E-2</v>
      </c>
      <c r="E289">
        <v>1.0999999999999999E-2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1.4999999999999999E-2</v>
      </c>
      <c r="E290">
        <v>1.0999999999999999E-2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1.4999999999999999E-2</v>
      </c>
      <c r="E291">
        <v>1.0999999999999999E-2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1.4999999999999999E-2</v>
      </c>
      <c r="E292">
        <v>1.0999999999999999E-2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1.4999999999999999E-2</v>
      </c>
      <c r="E293">
        <v>1.0999999999999999E-2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1.4999999999999999E-2</v>
      </c>
      <c r="E294">
        <v>1.0999999999999999E-2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1.4999999999999999E-2</v>
      </c>
      <c r="E295">
        <v>1.0999999999999999E-2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1.4999999999999999E-2</v>
      </c>
      <c r="E296">
        <v>1.0999999999999999E-2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1.4999999999999999E-2</v>
      </c>
      <c r="E297">
        <v>1.0999999999999999E-2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1.4999999999999999E-2</v>
      </c>
      <c r="E298">
        <v>1.0999999999999999E-2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1.4999999999999999E-2</v>
      </c>
      <c r="E299">
        <v>1.0999999999999999E-2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1.4999999999999999E-2</v>
      </c>
      <c r="E300">
        <v>1.0999999999999999E-2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1.4999999999999999E-2</v>
      </c>
      <c r="E301">
        <v>1.0999999999999999E-2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1.4999999999999999E-2</v>
      </c>
      <c r="E302">
        <v>1.0999999999999999E-2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1.4999999999999999E-2</v>
      </c>
      <c r="E303">
        <v>1.0999999999999999E-2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23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23" si="28">K194-$I$1</f>
        <v>-0.65273690721887978</v>
      </c>
      <c r="N194">
        <v>2004.2352000000001</v>
      </c>
      <c r="O194">
        <f t="shared" ref="O194:O232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2026-06-15T05:33:53Z</dcterms:modified>
</cp:coreProperties>
</file>