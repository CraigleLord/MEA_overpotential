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ential DATA raw alt\O2 BP\AB BM\75K\"/>
    </mc:Choice>
  </mc:AlternateContent>
  <xr:revisionPtr revIDLastSave="0" documentId="13_ncr:1_{E5C4D9BB-DC07-488E-953C-6A47EE2EB040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3" sheetId="2" r:id="rId2"/>
    <sheet name="Sheet2" sheetId="3" r:id="rId3"/>
  </sheets>
  <calcPr calcId="191029"/>
</workbook>
</file>

<file path=xl/calcChain.xml><?xml version="1.0" encoding="utf-8"?>
<calcChain xmlns="http://schemas.openxmlformats.org/spreadsheetml/2006/main">
  <c r="O232" i="3" l="1"/>
  <c r="O231" i="3"/>
  <c r="O230" i="3"/>
  <c r="O229" i="3"/>
  <c r="O228" i="3"/>
  <c r="O227" i="3"/>
  <c r="O226" i="3"/>
  <c r="O225" i="3"/>
  <c r="O224" i="3"/>
  <c r="O223" i="3"/>
  <c r="K223" i="3"/>
  <c r="I223" i="3"/>
  <c r="B223" i="3"/>
  <c r="E223" i="3" s="1"/>
  <c r="O222" i="3"/>
  <c r="I222" i="3"/>
  <c r="K222" i="3" s="1"/>
  <c r="E222" i="3"/>
  <c r="B222" i="3"/>
  <c r="O221" i="3"/>
  <c r="K221" i="3"/>
  <c r="I221" i="3"/>
  <c r="B221" i="3"/>
  <c r="E221" i="3" s="1"/>
  <c r="O220" i="3"/>
  <c r="I220" i="3"/>
  <c r="K220" i="3" s="1"/>
  <c r="E220" i="3"/>
  <c r="B220" i="3"/>
  <c r="O219" i="3"/>
  <c r="K219" i="3"/>
  <c r="I219" i="3"/>
  <c r="B219" i="3"/>
  <c r="E219" i="3" s="1"/>
  <c r="O218" i="3"/>
  <c r="I218" i="3"/>
  <c r="K218" i="3" s="1"/>
  <c r="E218" i="3"/>
  <c r="B218" i="3"/>
  <c r="O217" i="3"/>
  <c r="K217" i="3"/>
  <c r="I217" i="3"/>
  <c r="B217" i="3"/>
  <c r="E217" i="3" s="1"/>
  <c r="O216" i="3"/>
  <c r="I216" i="3"/>
  <c r="K216" i="3" s="1"/>
  <c r="E216" i="3"/>
  <c r="B216" i="3"/>
  <c r="O215" i="3"/>
  <c r="K215" i="3"/>
  <c r="I215" i="3"/>
  <c r="B215" i="3"/>
  <c r="E215" i="3" s="1"/>
  <c r="O214" i="3"/>
  <c r="I214" i="3"/>
  <c r="K214" i="3" s="1"/>
  <c r="E214" i="3"/>
  <c r="B214" i="3"/>
  <c r="O213" i="3"/>
  <c r="K213" i="3"/>
  <c r="I213" i="3"/>
  <c r="B213" i="3"/>
  <c r="E213" i="3" s="1"/>
  <c r="O212" i="3"/>
  <c r="I212" i="3"/>
  <c r="K212" i="3" s="1"/>
  <c r="E212" i="3"/>
  <c r="B212" i="3"/>
  <c r="O211" i="3"/>
  <c r="K211" i="3"/>
  <c r="I211" i="3"/>
  <c r="B211" i="3"/>
  <c r="E211" i="3" s="1"/>
  <c r="O210" i="3"/>
  <c r="I210" i="3"/>
  <c r="K210" i="3" s="1"/>
  <c r="E210" i="3"/>
  <c r="B210" i="3"/>
  <c r="O209" i="3"/>
  <c r="K209" i="3"/>
  <c r="I209" i="3"/>
  <c r="B209" i="3"/>
  <c r="E209" i="3" s="1"/>
  <c r="O208" i="3"/>
  <c r="I208" i="3"/>
  <c r="K208" i="3" s="1"/>
  <c r="E208" i="3"/>
  <c r="B208" i="3"/>
  <c r="O207" i="3"/>
  <c r="K207" i="3"/>
  <c r="I207" i="3"/>
  <c r="B207" i="3"/>
  <c r="E207" i="3" s="1"/>
  <c r="O206" i="3"/>
  <c r="I206" i="3"/>
  <c r="K206" i="3" s="1"/>
  <c r="E206" i="3"/>
  <c r="B206" i="3"/>
  <c r="O205" i="3"/>
  <c r="K205" i="3"/>
  <c r="I205" i="3"/>
  <c r="B205" i="3"/>
  <c r="E205" i="3" s="1"/>
  <c r="O204" i="3"/>
  <c r="I204" i="3"/>
  <c r="K204" i="3" s="1"/>
  <c r="E204" i="3"/>
  <c r="B204" i="3"/>
  <c r="O203" i="3"/>
  <c r="K203" i="3"/>
  <c r="I203" i="3"/>
  <c r="B203" i="3"/>
  <c r="E203" i="3" s="1"/>
  <c r="O202" i="3"/>
  <c r="I202" i="3"/>
  <c r="K202" i="3" s="1"/>
  <c r="E202" i="3"/>
  <c r="B202" i="3"/>
  <c r="O201" i="3"/>
  <c r="K201" i="3"/>
  <c r="I201" i="3"/>
  <c r="B201" i="3"/>
  <c r="E201" i="3" s="1"/>
  <c r="O200" i="3"/>
  <c r="I200" i="3"/>
  <c r="K200" i="3" s="1"/>
  <c r="E200" i="3"/>
  <c r="B200" i="3"/>
  <c r="O199" i="3"/>
  <c r="K199" i="3"/>
  <c r="I199" i="3"/>
  <c r="B199" i="3"/>
  <c r="E199" i="3" s="1"/>
  <c r="O198" i="3"/>
  <c r="I198" i="3"/>
  <c r="K198" i="3" s="1"/>
  <c r="E198" i="3"/>
  <c r="B198" i="3"/>
  <c r="O197" i="3"/>
  <c r="K197" i="3"/>
  <c r="I197" i="3"/>
  <c r="B197" i="3"/>
  <c r="E197" i="3" s="1"/>
  <c r="O196" i="3"/>
  <c r="I196" i="3"/>
  <c r="K196" i="3" s="1"/>
  <c r="E196" i="3"/>
  <c r="B196" i="3"/>
  <c r="O195" i="3"/>
  <c r="K195" i="3"/>
  <c r="I195" i="3"/>
  <c r="F195" i="3"/>
  <c r="B195" i="3"/>
  <c r="E195" i="3" s="1"/>
  <c r="O194" i="3"/>
  <c r="K194" i="3"/>
  <c r="I194" i="3"/>
  <c r="F194" i="3"/>
  <c r="B194" i="3"/>
  <c r="E194" i="3" s="1"/>
  <c r="O193" i="3"/>
  <c r="I193" i="3"/>
  <c r="K193" i="3" s="1"/>
  <c r="F193" i="3"/>
  <c r="E193" i="3"/>
  <c r="B193" i="3"/>
  <c r="O192" i="3"/>
  <c r="I192" i="3"/>
  <c r="F192" i="3"/>
  <c r="K192" i="3" s="1"/>
  <c r="E192" i="3"/>
  <c r="B192" i="3"/>
  <c r="O191" i="3"/>
  <c r="K191" i="3"/>
  <c r="I191" i="3"/>
  <c r="F191" i="3"/>
  <c r="E191" i="3"/>
  <c r="B191" i="3"/>
  <c r="O190" i="3"/>
  <c r="I190" i="3"/>
  <c r="K190" i="3" s="1"/>
  <c r="F190" i="3"/>
  <c r="B190" i="3"/>
  <c r="E190" i="3" s="1"/>
  <c r="O189" i="3"/>
  <c r="I189" i="3"/>
  <c r="K189" i="3" s="1"/>
  <c r="F189" i="3"/>
  <c r="E189" i="3"/>
  <c r="B189" i="3"/>
  <c r="O188" i="3"/>
  <c r="I188" i="3"/>
  <c r="F188" i="3"/>
  <c r="K188" i="3" s="1"/>
  <c r="E188" i="3"/>
  <c r="B188" i="3"/>
  <c r="O187" i="3"/>
  <c r="K187" i="3"/>
  <c r="I187" i="3"/>
  <c r="F187" i="3"/>
  <c r="B187" i="3"/>
  <c r="E187" i="3" s="1"/>
  <c r="O186" i="3"/>
  <c r="I186" i="3"/>
  <c r="K186" i="3" s="1"/>
  <c r="F186" i="3"/>
  <c r="B186" i="3"/>
  <c r="E186" i="3" s="1"/>
  <c r="O185" i="3"/>
  <c r="I185" i="3"/>
  <c r="F185" i="3"/>
  <c r="E185" i="3"/>
  <c r="B185" i="3"/>
  <c r="O184" i="3"/>
  <c r="I184" i="3"/>
  <c r="F184" i="3"/>
  <c r="K184" i="3" s="1"/>
  <c r="E184" i="3"/>
  <c r="B184" i="3"/>
  <c r="O183" i="3"/>
  <c r="K183" i="3"/>
  <c r="I183" i="3"/>
  <c r="F183" i="3"/>
  <c r="B183" i="3"/>
  <c r="E183" i="3" s="1"/>
  <c r="O182" i="3"/>
  <c r="I182" i="3"/>
  <c r="K182" i="3" s="1"/>
  <c r="F182" i="3"/>
  <c r="B182" i="3"/>
  <c r="E182" i="3" s="1"/>
  <c r="O181" i="3"/>
  <c r="I181" i="3"/>
  <c r="F181" i="3"/>
  <c r="E181" i="3"/>
  <c r="B181" i="3"/>
  <c r="O180" i="3"/>
  <c r="I180" i="3"/>
  <c r="F180" i="3"/>
  <c r="K180" i="3" s="1"/>
  <c r="E180" i="3"/>
  <c r="B180" i="3"/>
  <c r="O179" i="3"/>
  <c r="K179" i="3"/>
  <c r="I179" i="3"/>
  <c r="F179" i="3"/>
  <c r="B179" i="3"/>
  <c r="E179" i="3" s="1"/>
  <c r="O178" i="3"/>
  <c r="K178" i="3"/>
  <c r="I178" i="3"/>
  <c r="F178" i="3"/>
  <c r="B178" i="3"/>
  <c r="E178" i="3" s="1"/>
  <c r="O177" i="3"/>
  <c r="I177" i="3"/>
  <c r="F177" i="3"/>
  <c r="E177" i="3"/>
  <c r="B177" i="3"/>
  <c r="O176" i="3"/>
  <c r="I176" i="3"/>
  <c r="F176" i="3"/>
  <c r="K176" i="3" s="1"/>
  <c r="E176" i="3"/>
  <c r="B176" i="3"/>
  <c r="O175" i="3"/>
  <c r="K175" i="3"/>
  <c r="I175" i="3"/>
  <c r="F175" i="3"/>
  <c r="E175" i="3"/>
  <c r="B175" i="3"/>
  <c r="O174" i="3"/>
  <c r="I174" i="3"/>
  <c r="K174" i="3" s="1"/>
  <c r="F174" i="3"/>
  <c r="B174" i="3"/>
  <c r="E174" i="3" s="1"/>
  <c r="O173" i="3"/>
  <c r="I173" i="3"/>
  <c r="K173" i="3" s="1"/>
  <c r="F173" i="3"/>
  <c r="E173" i="3"/>
  <c r="B173" i="3"/>
  <c r="O172" i="3"/>
  <c r="I172" i="3"/>
  <c r="F172" i="3"/>
  <c r="K172" i="3" s="1"/>
  <c r="E172" i="3"/>
  <c r="B172" i="3"/>
  <c r="O171" i="3"/>
  <c r="K171" i="3"/>
  <c r="I171" i="3"/>
  <c r="F171" i="3"/>
  <c r="B171" i="3"/>
  <c r="E171" i="3" s="1"/>
  <c r="O170" i="3"/>
  <c r="I170" i="3"/>
  <c r="K170" i="3" s="1"/>
  <c r="F170" i="3"/>
  <c r="B170" i="3"/>
  <c r="E170" i="3" s="1"/>
  <c r="O169" i="3"/>
  <c r="I169" i="3"/>
  <c r="F169" i="3"/>
  <c r="E169" i="3"/>
  <c r="B169" i="3"/>
  <c r="O168" i="3"/>
  <c r="I168" i="3"/>
  <c r="F168" i="3"/>
  <c r="K168" i="3" s="1"/>
  <c r="E168" i="3"/>
  <c r="B168" i="3"/>
  <c r="O167" i="3"/>
  <c r="K167" i="3"/>
  <c r="I167" i="3"/>
  <c r="F167" i="3"/>
  <c r="B167" i="3"/>
  <c r="E167" i="3" s="1"/>
  <c r="O166" i="3"/>
  <c r="I166" i="3"/>
  <c r="K166" i="3" s="1"/>
  <c r="F166" i="3"/>
  <c r="B166" i="3"/>
  <c r="E166" i="3" s="1"/>
  <c r="O165" i="3"/>
  <c r="I165" i="3"/>
  <c r="F165" i="3"/>
  <c r="E165" i="3"/>
  <c r="B165" i="3"/>
  <c r="O164" i="3"/>
  <c r="I164" i="3"/>
  <c r="F164" i="3"/>
  <c r="K164" i="3" s="1"/>
  <c r="E164" i="3"/>
  <c r="B164" i="3"/>
  <c r="O163" i="3"/>
  <c r="K163" i="3"/>
  <c r="I163" i="3"/>
  <c r="F163" i="3"/>
  <c r="B163" i="3"/>
  <c r="E163" i="3" s="1"/>
  <c r="O162" i="3"/>
  <c r="K162" i="3"/>
  <c r="I162" i="3"/>
  <c r="F162" i="3"/>
  <c r="B162" i="3"/>
  <c r="E162" i="3" s="1"/>
  <c r="O161" i="3"/>
  <c r="I161" i="3"/>
  <c r="K161" i="3" s="1"/>
  <c r="F161" i="3"/>
  <c r="E161" i="3"/>
  <c r="B161" i="3"/>
  <c r="O160" i="3"/>
  <c r="I160" i="3"/>
  <c r="F160" i="3"/>
  <c r="K160" i="3" s="1"/>
  <c r="E160" i="3"/>
  <c r="B160" i="3"/>
  <c r="O159" i="3"/>
  <c r="K159" i="3"/>
  <c r="I159" i="3"/>
  <c r="F159" i="3"/>
  <c r="E159" i="3"/>
  <c r="B159" i="3"/>
  <c r="O158" i="3"/>
  <c r="I158" i="3"/>
  <c r="K158" i="3" s="1"/>
  <c r="F158" i="3"/>
  <c r="B158" i="3"/>
  <c r="E158" i="3" s="1"/>
  <c r="O157" i="3"/>
  <c r="I157" i="3"/>
  <c r="K157" i="3" s="1"/>
  <c r="F157" i="3"/>
  <c r="E157" i="3"/>
  <c r="B157" i="3"/>
  <c r="O156" i="3"/>
  <c r="I156" i="3"/>
  <c r="F156" i="3"/>
  <c r="K156" i="3" s="1"/>
  <c r="E156" i="3"/>
  <c r="B156" i="3"/>
  <c r="O155" i="3"/>
  <c r="K155" i="3"/>
  <c r="I155" i="3"/>
  <c r="F155" i="3"/>
  <c r="B155" i="3"/>
  <c r="E155" i="3" s="1"/>
  <c r="O154" i="3"/>
  <c r="I154" i="3"/>
  <c r="K154" i="3" s="1"/>
  <c r="F154" i="3"/>
  <c r="B154" i="3"/>
  <c r="E154" i="3" s="1"/>
  <c r="O153" i="3"/>
  <c r="I153" i="3"/>
  <c r="F153" i="3"/>
  <c r="E153" i="3"/>
  <c r="B153" i="3"/>
  <c r="O152" i="3"/>
  <c r="I152" i="3"/>
  <c r="F152" i="3"/>
  <c r="K152" i="3" s="1"/>
  <c r="E152" i="3"/>
  <c r="B152" i="3"/>
  <c r="O151" i="3"/>
  <c r="K151" i="3"/>
  <c r="I151" i="3"/>
  <c r="F151" i="3"/>
  <c r="B151" i="3"/>
  <c r="E151" i="3" s="1"/>
  <c r="O150" i="3"/>
  <c r="I150" i="3"/>
  <c r="K150" i="3" s="1"/>
  <c r="F150" i="3"/>
  <c r="B150" i="3"/>
  <c r="E150" i="3" s="1"/>
  <c r="O149" i="3"/>
  <c r="I149" i="3"/>
  <c r="F149" i="3"/>
  <c r="E149" i="3"/>
  <c r="B149" i="3"/>
  <c r="O148" i="3"/>
  <c r="I148" i="3"/>
  <c r="F148" i="3"/>
  <c r="K148" i="3" s="1"/>
  <c r="E148" i="3"/>
  <c r="B148" i="3"/>
  <c r="O147" i="3"/>
  <c r="K147" i="3"/>
  <c r="I147" i="3"/>
  <c r="F147" i="3"/>
  <c r="B147" i="3"/>
  <c r="E147" i="3" s="1"/>
  <c r="O146" i="3"/>
  <c r="K146" i="3"/>
  <c r="I146" i="3"/>
  <c r="F146" i="3"/>
  <c r="B146" i="3"/>
  <c r="E146" i="3" s="1"/>
  <c r="O145" i="3"/>
  <c r="I145" i="3"/>
  <c r="K145" i="3" s="1"/>
  <c r="F145" i="3"/>
  <c r="E145" i="3"/>
  <c r="B145" i="3"/>
  <c r="O144" i="3"/>
  <c r="I144" i="3"/>
  <c r="F144" i="3"/>
  <c r="K144" i="3" s="1"/>
  <c r="E144" i="3"/>
  <c r="B144" i="3"/>
  <c r="O143" i="3"/>
  <c r="K143" i="3"/>
  <c r="I143" i="3"/>
  <c r="F143" i="3"/>
  <c r="E143" i="3"/>
  <c r="B143" i="3"/>
  <c r="O142" i="3"/>
  <c r="I142" i="3"/>
  <c r="K142" i="3" s="1"/>
  <c r="F142" i="3"/>
  <c r="B142" i="3"/>
  <c r="E142" i="3" s="1"/>
  <c r="O141" i="3"/>
  <c r="I141" i="3"/>
  <c r="K141" i="3" s="1"/>
  <c r="F141" i="3"/>
  <c r="E141" i="3"/>
  <c r="B141" i="3"/>
  <c r="O140" i="3"/>
  <c r="I140" i="3"/>
  <c r="F140" i="3"/>
  <c r="K140" i="3" s="1"/>
  <c r="E140" i="3"/>
  <c r="B140" i="3"/>
  <c r="O139" i="3"/>
  <c r="K139" i="3"/>
  <c r="I139" i="3"/>
  <c r="F139" i="3"/>
  <c r="B139" i="3"/>
  <c r="E139" i="3" s="1"/>
  <c r="O138" i="3"/>
  <c r="I138" i="3"/>
  <c r="K138" i="3" s="1"/>
  <c r="F138" i="3"/>
  <c r="B138" i="3"/>
  <c r="E138" i="3" s="1"/>
  <c r="O137" i="3"/>
  <c r="I137" i="3"/>
  <c r="F137" i="3"/>
  <c r="E137" i="3"/>
  <c r="B137" i="3"/>
  <c r="O136" i="3"/>
  <c r="I136" i="3"/>
  <c r="F136" i="3"/>
  <c r="K136" i="3" s="1"/>
  <c r="E136" i="3"/>
  <c r="B136" i="3"/>
  <c r="O135" i="3"/>
  <c r="K135" i="3"/>
  <c r="I135" i="3"/>
  <c r="F135" i="3"/>
  <c r="B135" i="3"/>
  <c r="E135" i="3" s="1"/>
  <c r="O134" i="3"/>
  <c r="I134" i="3"/>
  <c r="K134" i="3" s="1"/>
  <c r="F134" i="3"/>
  <c r="B134" i="3"/>
  <c r="E134" i="3" s="1"/>
  <c r="O133" i="3"/>
  <c r="I133" i="3"/>
  <c r="F133" i="3"/>
  <c r="E133" i="3"/>
  <c r="B133" i="3"/>
  <c r="O132" i="3"/>
  <c r="I132" i="3"/>
  <c r="F132" i="3"/>
  <c r="K132" i="3" s="1"/>
  <c r="E132" i="3"/>
  <c r="B132" i="3"/>
  <c r="O131" i="3"/>
  <c r="K131" i="3"/>
  <c r="I131" i="3"/>
  <c r="F131" i="3"/>
  <c r="B131" i="3"/>
  <c r="E131" i="3" s="1"/>
  <c r="O130" i="3"/>
  <c r="K130" i="3"/>
  <c r="I130" i="3"/>
  <c r="F130" i="3"/>
  <c r="B130" i="3"/>
  <c r="E130" i="3" s="1"/>
  <c r="O129" i="3"/>
  <c r="I129" i="3"/>
  <c r="F129" i="3"/>
  <c r="E129" i="3"/>
  <c r="B129" i="3"/>
  <c r="O128" i="3"/>
  <c r="I128" i="3"/>
  <c r="F128" i="3"/>
  <c r="K128" i="3" s="1"/>
  <c r="E128" i="3"/>
  <c r="B128" i="3"/>
  <c r="O127" i="3"/>
  <c r="K127" i="3"/>
  <c r="I127" i="3"/>
  <c r="F127" i="3"/>
  <c r="E127" i="3"/>
  <c r="B127" i="3"/>
  <c r="O126" i="3"/>
  <c r="I126" i="3"/>
  <c r="K126" i="3" s="1"/>
  <c r="F126" i="3"/>
  <c r="B126" i="3"/>
  <c r="E126" i="3" s="1"/>
  <c r="O125" i="3"/>
  <c r="I125" i="3"/>
  <c r="K125" i="3" s="1"/>
  <c r="F125" i="3"/>
  <c r="E125" i="3"/>
  <c r="B125" i="3"/>
  <c r="O124" i="3"/>
  <c r="I124" i="3"/>
  <c r="F124" i="3"/>
  <c r="K124" i="3" s="1"/>
  <c r="E124" i="3"/>
  <c r="B124" i="3"/>
  <c r="O123" i="3"/>
  <c r="K123" i="3"/>
  <c r="I123" i="3"/>
  <c r="F123" i="3"/>
  <c r="E123" i="3"/>
  <c r="B123" i="3"/>
  <c r="O122" i="3"/>
  <c r="I122" i="3"/>
  <c r="K122" i="3" s="1"/>
  <c r="F122" i="3"/>
  <c r="B122" i="3"/>
  <c r="E122" i="3" s="1"/>
  <c r="O121" i="3"/>
  <c r="I121" i="3"/>
  <c r="K121" i="3" s="1"/>
  <c r="F121" i="3"/>
  <c r="B121" i="3"/>
  <c r="E121" i="3" s="1"/>
  <c r="O120" i="3"/>
  <c r="I120" i="3"/>
  <c r="K120" i="3" s="1"/>
  <c r="F120" i="3"/>
  <c r="B120" i="3"/>
  <c r="E120" i="3" s="1"/>
  <c r="O119" i="3"/>
  <c r="I119" i="3"/>
  <c r="K119" i="3" s="1"/>
  <c r="F119" i="3"/>
  <c r="E119" i="3"/>
  <c r="B119" i="3"/>
  <c r="O118" i="3"/>
  <c r="I118" i="3"/>
  <c r="F118" i="3"/>
  <c r="K118" i="3" s="1"/>
  <c r="E118" i="3"/>
  <c r="B118" i="3"/>
  <c r="O117" i="3"/>
  <c r="K117" i="3"/>
  <c r="I117" i="3"/>
  <c r="F117" i="3"/>
  <c r="B117" i="3"/>
  <c r="E117" i="3" s="1"/>
  <c r="O116" i="3"/>
  <c r="I116" i="3"/>
  <c r="K116" i="3" s="1"/>
  <c r="F116" i="3"/>
  <c r="B116" i="3"/>
  <c r="E116" i="3" s="1"/>
  <c r="O115" i="3"/>
  <c r="I115" i="3"/>
  <c r="K115" i="3" s="1"/>
  <c r="F115" i="3"/>
  <c r="E115" i="3"/>
  <c r="B115" i="3"/>
  <c r="O114" i="3"/>
  <c r="I114" i="3"/>
  <c r="F114" i="3"/>
  <c r="K114" i="3" s="1"/>
  <c r="E114" i="3"/>
  <c r="B114" i="3"/>
  <c r="O113" i="3"/>
  <c r="K113" i="3"/>
  <c r="I113" i="3"/>
  <c r="F113" i="3"/>
  <c r="B113" i="3"/>
  <c r="E113" i="3" s="1"/>
  <c r="O112" i="3"/>
  <c r="I112" i="3"/>
  <c r="K112" i="3" s="1"/>
  <c r="F112" i="3"/>
  <c r="B112" i="3"/>
  <c r="E112" i="3" s="1"/>
  <c r="O111" i="3"/>
  <c r="I111" i="3"/>
  <c r="K111" i="3" s="1"/>
  <c r="F111" i="3"/>
  <c r="E111" i="3"/>
  <c r="B111" i="3"/>
  <c r="O110" i="3"/>
  <c r="I110" i="3"/>
  <c r="F110" i="3"/>
  <c r="K110" i="3" s="1"/>
  <c r="E110" i="3"/>
  <c r="B110" i="3"/>
  <c r="O109" i="3"/>
  <c r="K109" i="3"/>
  <c r="I109" i="3"/>
  <c r="F109" i="3"/>
  <c r="B109" i="3"/>
  <c r="E109" i="3" s="1"/>
  <c r="O108" i="3"/>
  <c r="I108" i="3"/>
  <c r="K108" i="3" s="1"/>
  <c r="F108" i="3"/>
  <c r="B108" i="3"/>
  <c r="E108" i="3" s="1"/>
  <c r="O107" i="3"/>
  <c r="I107" i="3"/>
  <c r="K107" i="3" s="1"/>
  <c r="F107" i="3"/>
  <c r="E107" i="3"/>
  <c r="B107" i="3"/>
  <c r="O106" i="3"/>
  <c r="I106" i="3"/>
  <c r="F106" i="3"/>
  <c r="K106" i="3" s="1"/>
  <c r="E106" i="3"/>
  <c r="B106" i="3"/>
  <c r="O105" i="3"/>
  <c r="K105" i="3"/>
  <c r="I105" i="3"/>
  <c r="F105" i="3"/>
  <c r="B105" i="3"/>
  <c r="E105" i="3" s="1"/>
  <c r="O104" i="3"/>
  <c r="I104" i="3"/>
  <c r="K104" i="3" s="1"/>
  <c r="F104" i="3"/>
  <c r="B104" i="3"/>
  <c r="E104" i="3" s="1"/>
  <c r="O103" i="3"/>
  <c r="I103" i="3"/>
  <c r="K103" i="3" s="1"/>
  <c r="F103" i="3"/>
  <c r="E103" i="3"/>
  <c r="B103" i="3"/>
  <c r="O102" i="3"/>
  <c r="I102" i="3"/>
  <c r="F102" i="3"/>
  <c r="K102" i="3" s="1"/>
  <c r="E102" i="3"/>
  <c r="B102" i="3"/>
  <c r="O101" i="3"/>
  <c r="K101" i="3"/>
  <c r="I101" i="3"/>
  <c r="F101" i="3"/>
  <c r="B101" i="3"/>
  <c r="E101" i="3" s="1"/>
  <c r="O100" i="3"/>
  <c r="I100" i="3"/>
  <c r="K100" i="3" s="1"/>
  <c r="F100" i="3"/>
  <c r="B100" i="3"/>
  <c r="E100" i="3" s="1"/>
  <c r="O99" i="3"/>
  <c r="I99" i="3"/>
  <c r="K99" i="3" s="1"/>
  <c r="F99" i="3"/>
  <c r="E99" i="3"/>
  <c r="B99" i="3"/>
  <c r="O98" i="3"/>
  <c r="I98" i="3"/>
  <c r="F98" i="3"/>
  <c r="K98" i="3" s="1"/>
  <c r="E98" i="3"/>
  <c r="B98" i="3"/>
  <c r="O97" i="3"/>
  <c r="K97" i="3"/>
  <c r="I97" i="3"/>
  <c r="F97" i="3"/>
  <c r="B97" i="3"/>
  <c r="E97" i="3" s="1"/>
  <c r="O96" i="3"/>
  <c r="I96" i="3"/>
  <c r="K96" i="3" s="1"/>
  <c r="F96" i="3"/>
  <c r="B96" i="3"/>
  <c r="E96" i="3" s="1"/>
  <c r="O95" i="3"/>
  <c r="I95" i="3"/>
  <c r="K95" i="3" s="1"/>
  <c r="F95" i="3"/>
  <c r="E95" i="3"/>
  <c r="B95" i="3"/>
  <c r="O94" i="3"/>
  <c r="I94" i="3"/>
  <c r="F94" i="3"/>
  <c r="K94" i="3" s="1"/>
  <c r="E94" i="3"/>
  <c r="B94" i="3"/>
  <c r="O93" i="3"/>
  <c r="K93" i="3"/>
  <c r="I93" i="3"/>
  <c r="F93" i="3"/>
  <c r="B93" i="3"/>
  <c r="E93" i="3" s="1"/>
  <c r="O92" i="3"/>
  <c r="I92" i="3"/>
  <c r="K92" i="3" s="1"/>
  <c r="F92" i="3"/>
  <c r="B92" i="3"/>
  <c r="E92" i="3" s="1"/>
  <c r="O91" i="3"/>
  <c r="I91" i="3"/>
  <c r="K91" i="3" s="1"/>
  <c r="F91" i="3"/>
  <c r="E91" i="3"/>
  <c r="B91" i="3"/>
  <c r="O90" i="3"/>
  <c r="I90" i="3"/>
  <c r="F90" i="3"/>
  <c r="K90" i="3" s="1"/>
  <c r="E90" i="3"/>
  <c r="B90" i="3"/>
  <c r="O89" i="3"/>
  <c r="K89" i="3"/>
  <c r="I89" i="3"/>
  <c r="F89" i="3"/>
  <c r="B89" i="3"/>
  <c r="E89" i="3" s="1"/>
  <c r="O88" i="3"/>
  <c r="I88" i="3"/>
  <c r="K88" i="3" s="1"/>
  <c r="F88" i="3"/>
  <c r="B88" i="3"/>
  <c r="E88" i="3" s="1"/>
  <c r="O87" i="3"/>
  <c r="I87" i="3"/>
  <c r="K87" i="3" s="1"/>
  <c r="F87" i="3"/>
  <c r="E87" i="3"/>
  <c r="B87" i="3"/>
  <c r="O86" i="3"/>
  <c r="I86" i="3"/>
  <c r="F86" i="3"/>
  <c r="K86" i="3" s="1"/>
  <c r="E86" i="3"/>
  <c r="B86" i="3"/>
  <c r="O85" i="3"/>
  <c r="K85" i="3"/>
  <c r="I85" i="3"/>
  <c r="F85" i="3"/>
  <c r="B85" i="3"/>
  <c r="E85" i="3" s="1"/>
  <c r="O84" i="3"/>
  <c r="I84" i="3"/>
  <c r="K84" i="3" s="1"/>
  <c r="F84" i="3"/>
  <c r="B84" i="3"/>
  <c r="E84" i="3" s="1"/>
  <c r="O83" i="3"/>
  <c r="I83" i="3"/>
  <c r="F83" i="3"/>
  <c r="E83" i="3"/>
  <c r="B83" i="3"/>
  <c r="O82" i="3"/>
  <c r="I82" i="3"/>
  <c r="F82" i="3"/>
  <c r="K82" i="3" s="1"/>
  <c r="E82" i="3"/>
  <c r="B82" i="3"/>
  <c r="O81" i="3"/>
  <c r="K81" i="3"/>
  <c r="I81" i="3"/>
  <c r="F81" i="3"/>
  <c r="B81" i="3"/>
  <c r="E81" i="3" s="1"/>
  <c r="O80" i="3"/>
  <c r="K80" i="3"/>
  <c r="I80" i="3"/>
  <c r="F80" i="3"/>
  <c r="B80" i="3"/>
  <c r="E80" i="3" s="1"/>
  <c r="O79" i="3"/>
  <c r="I79" i="3"/>
  <c r="F79" i="3"/>
  <c r="E79" i="3"/>
  <c r="B79" i="3"/>
  <c r="O78" i="3"/>
  <c r="I78" i="3"/>
  <c r="F78" i="3"/>
  <c r="K78" i="3" s="1"/>
  <c r="E78" i="3"/>
  <c r="B78" i="3"/>
  <c r="O77" i="3"/>
  <c r="K77" i="3"/>
  <c r="I77" i="3"/>
  <c r="F77" i="3"/>
  <c r="E77" i="3"/>
  <c r="B77" i="3"/>
  <c r="O76" i="3"/>
  <c r="I76" i="3"/>
  <c r="K76" i="3" s="1"/>
  <c r="F76" i="3"/>
  <c r="B76" i="3"/>
  <c r="E76" i="3" s="1"/>
  <c r="O75" i="3"/>
  <c r="I75" i="3"/>
  <c r="K75" i="3" s="1"/>
  <c r="F75" i="3"/>
  <c r="E75" i="3"/>
  <c r="B75" i="3"/>
  <c r="O74" i="3"/>
  <c r="I74" i="3"/>
  <c r="F74" i="3"/>
  <c r="K74" i="3" s="1"/>
  <c r="E74" i="3"/>
  <c r="B74" i="3"/>
  <c r="O73" i="3"/>
  <c r="K73" i="3"/>
  <c r="I73" i="3"/>
  <c r="F73" i="3"/>
  <c r="B73" i="3"/>
  <c r="E73" i="3" s="1"/>
  <c r="O72" i="3"/>
  <c r="I72" i="3"/>
  <c r="K72" i="3" s="1"/>
  <c r="F72" i="3"/>
  <c r="B72" i="3"/>
  <c r="E72" i="3" s="1"/>
  <c r="O71" i="3"/>
  <c r="I71" i="3"/>
  <c r="K71" i="3" s="1"/>
  <c r="F71" i="3"/>
  <c r="E71" i="3"/>
  <c r="B71" i="3"/>
  <c r="O70" i="3"/>
  <c r="I70" i="3"/>
  <c r="F70" i="3"/>
  <c r="K70" i="3" s="1"/>
  <c r="E70" i="3"/>
  <c r="B70" i="3"/>
  <c r="O69" i="3"/>
  <c r="K69" i="3"/>
  <c r="I69" i="3"/>
  <c r="F69" i="3"/>
  <c r="B69" i="3"/>
  <c r="E69" i="3" s="1"/>
  <c r="O68" i="3"/>
  <c r="I68" i="3"/>
  <c r="K68" i="3" s="1"/>
  <c r="F68" i="3"/>
  <c r="B68" i="3"/>
  <c r="E68" i="3" s="1"/>
  <c r="O67" i="3"/>
  <c r="I67" i="3"/>
  <c r="F67" i="3"/>
  <c r="E67" i="3"/>
  <c r="B67" i="3"/>
  <c r="O66" i="3"/>
  <c r="I66" i="3"/>
  <c r="F66" i="3"/>
  <c r="K66" i="3" s="1"/>
  <c r="E66" i="3"/>
  <c r="B66" i="3"/>
  <c r="O65" i="3"/>
  <c r="K65" i="3"/>
  <c r="I65" i="3"/>
  <c r="F65" i="3"/>
  <c r="B65" i="3"/>
  <c r="E65" i="3" s="1"/>
  <c r="O64" i="3"/>
  <c r="K64" i="3"/>
  <c r="I64" i="3"/>
  <c r="F64" i="3"/>
  <c r="B64" i="3"/>
  <c r="E64" i="3" s="1"/>
  <c r="O63" i="3"/>
  <c r="I63" i="3"/>
  <c r="F63" i="3"/>
  <c r="E63" i="3"/>
  <c r="B63" i="3"/>
  <c r="O62" i="3"/>
  <c r="I62" i="3"/>
  <c r="F62" i="3"/>
  <c r="K62" i="3" s="1"/>
  <c r="E62" i="3"/>
  <c r="B62" i="3"/>
  <c r="O61" i="3"/>
  <c r="K61" i="3"/>
  <c r="I61" i="3"/>
  <c r="F61" i="3"/>
  <c r="E61" i="3"/>
  <c r="B61" i="3"/>
  <c r="O60" i="3"/>
  <c r="I60" i="3"/>
  <c r="K60" i="3" s="1"/>
  <c r="F60" i="3"/>
  <c r="B60" i="3"/>
  <c r="E60" i="3" s="1"/>
  <c r="O59" i="3"/>
  <c r="I59" i="3"/>
  <c r="K59" i="3" s="1"/>
  <c r="F59" i="3"/>
  <c r="E59" i="3"/>
  <c r="B59" i="3"/>
  <c r="O58" i="3"/>
  <c r="I58" i="3"/>
  <c r="F58" i="3"/>
  <c r="K58" i="3" s="1"/>
  <c r="E58" i="3"/>
  <c r="B58" i="3"/>
  <c r="O57" i="3"/>
  <c r="K57" i="3"/>
  <c r="I57" i="3"/>
  <c r="F57" i="3"/>
  <c r="B57" i="3"/>
  <c r="E57" i="3" s="1"/>
  <c r="O56" i="3"/>
  <c r="I56" i="3"/>
  <c r="K56" i="3" s="1"/>
  <c r="F56" i="3"/>
  <c r="B56" i="3"/>
  <c r="E56" i="3" s="1"/>
  <c r="O55" i="3"/>
  <c r="I55" i="3"/>
  <c r="K55" i="3" s="1"/>
  <c r="F55" i="3"/>
  <c r="E55" i="3"/>
  <c r="B55" i="3"/>
  <c r="O54" i="3"/>
  <c r="I54" i="3"/>
  <c r="F54" i="3"/>
  <c r="K54" i="3" s="1"/>
  <c r="E54" i="3"/>
  <c r="B54" i="3"/>
  <c r="O53" i="3"/>
  <c r="K53" i="3"/>
  <c r="I53" i="3"/>
  <c r="F53" i="3"/>
  <c r="B53" i="3"/>
  <c r="E53" i="3" s="1"/>
  <c r="O52" i="3"/>
  <c r="I52" i="3"/>
  <c r="K52" i="3" s="1"/>
  <c r="F52" i="3"/>
  <c r="B52" i="3"/>
  <c r="E52" i="3" s="1"/>
  <c r="O51" i="3"/>
  <c r="I51" i="3"/>
  <c r="F51" i="3"/>
  <c r="E51" i="3"/>
  <c r="B51" i="3"/>
  <c r="O50" i="3"/>
  <c r="I50" i="3"/>
  <c r="F50" i="3"/>
  <c r="K50" i="3" s="1"/>
  <c r="E50" i="3"/>
  <c r="B50" i="3"/>
  <c r="O49" i="3"/>
  <c r="K49" i="3"/>
  <c r="I49" i="3"/>
  <c r="F49" i="3"/>
  <c r="B49" i="3"/>
  <c r="E49" i="3" s="1"/>
  <c r="O48" i="3"/>
  <c r="K48" i="3"/>
  <c r="I48" i="3"/>
  <c r="F48" i="3"/>
  <c r="B48" i="3"/>
  <c r="E48" i="3" s="1"/>
  <c r="O47" i="3"/>
  <c r="I47" i="3"/>
  <c r="F47" i="3"/>
  <c r="E47" i="3"/>
  <c r="B47" i="3"/>
  <c r="O46" i="3"/>
  <c r="I46" i="3"/>
  <c r="F46" i="3"/>
  <c r="K46" i="3" s="1"/>
  <c r="E46" i="3"/>
  <c r="B46" i="3"/>
  <c r="O45" i="3"/>
  <c r="K45" i="3"/>
  <c r="I45" i="3"/>
  <c r="F45" i="3"/>
  <c r="E45" i="3"/>
  <c r="B45" i="3"/>
  <c r="O44" i="3"/>
  <c r="I44" i="3"/>
  <c r="K44" i="3" s="1"/>
  <c r="F44" i="3"/>
  <c r="B44" i="3"/>
  <c r="E44" i="3" s="1"/>
  <c r="O43" i="3"/>
  <c r="I43" i="3"/>
  <c r="K43" i="3" s="1"/>
  <c r="F43" i="3"/>
  <c r="E43" i="3"/>
  <c r="B43" i="3"/>
  <c r="O42" i="3"/>
  <c r="I42" i="3"/>
  <c r="F42" i="3"/>
  <c r="K42" i="3" s="1"/>
  <c r="E42" i="3"/>
  <c r="B42" i="3"/>
  <c r="O41" i="3"/>
  <c r="K41" i="3"/>
  <c r="I41" i="3"/>
  <c r="F41" i="3"/>
  <c r="B41" i="3"/>
  <c r="E41" i="3" s="1"/>
  <c r="O40" i="3"/>
  <c r="I40" i="3"/>
  <c r="K40" i="3" s="1"/>
  <c r="F40" i="3"/>
  <c r="B40" i="3"/>
  <c r="E40" i="3" s="1"/>
  <c r="O39" i="3"/>
  <c r="I39" i="3"/>
  <c r="K39" i="3" s="1"/>
  <c r="F39" i="3"/>
  <c r="E39" i="3"/>
  <c r="B39" i="3"/>
  <c r="O38" i="3"/>
  <c r="I38" i="3"/>
  <c r="F38" i="3"/>
  <c r="K38" i="3" s="1"/>
  <c r="E38" i="3"/>
  <c r="B38" i="3"/>
  <c r="O37" i="3"/>
  <c r="K37" i="3"/>
  <c r="I37" i="3"/>
  <c r="F37" i="3"/>
  <c r="B37" i="3"/>
  <c r="E37" i="3" s="1"/>
  <c r="O36" i="3"/>
  <c r="I36" i="3"/>
  <c r="K36" i="3" s="1"/>
  <c r="F36" i="3"/>
  <c r="B36" i="3"/>
  <c r="E36" i="3" s="1"/>
  <c r="O35" i="3"/>
  <c r="I35" i="3"/>
  <c r="F35" i="3"/>
  <c r="E35" i="3"/>
  <c r="B35" i="3"/>
  <c r="O34" i="3"/>
  <c r="I34" i="3"/>
  <c r="F34" i="3"/>
  <c r="K34" i="3" s="1"/>
  <c r="E34" i="3"/>
  <c r="B34" i="3"/>
  <c r="O33" i="3"/>
  <c r="K33" i="3"/>
  <c r="I33" i="3"/>
  <c r="F33" i="3"/>
  <c r="B33" i="3"/>
  <c r="E33" i="3" s="1"/>
  <c r="O32" i="3"/>
  <c r="K32" i="3"/>
  <c r="I32" i="3"/>
  <c r="F32" i="3"/>
  <c r="B32" i="3"/>
  <c r="E32" i="3" s="1"/>
  <c r="O31" i="3"/>
  <c r="I31" i="3"/>
  <c r="F31" i="3"/>
  <c r="E31" i="3"/>
  <c r="B31" i="3"/>
  <c r="O30" i="3"/>
  <c r="I30" i="3"/>
  <c r="F30" i="3"/>
  <c r="K30" i="3" s="1"/>
  <c r="E30" i="3"/>
  <c r="B30" i="3"/>
  <c r="O29" i="3"/>
  <c r="K29" i="3"/>
  <c r="I29" i="3"/>
  <c r="F29" i="3"/>
  <c r="E29" i="3"/>
  <c r="B29" i="3"/>
  <c r="O28" i="3"/>
  <c r="I28" i="3"/>
  <c r="K28" i="3" s="1"/>
  <c r="F28" i="3"/>
  <c r="B28" i="3"/>
  <c r="E28" i="3" s="1"/>
  <c r="O27" i="3"/>
  <c r="I27" i="3"/>
  <c r="K27" i="3" s="1"/>
  <c r="F27" i="3"/>
  <c r="E27" i="3"/>
  <c r="B27" i="3"/>
  <c r="O26" i="3"/>
  <c r="I26" i="3"/>
  <c r="F26" i="3"/>
  <c r="K26" i="3" s="1"/>
  <c r="E26" i="3"/>
  <c r="B26" i="3"/>
  <c r="O25" i="3"/>
  <c r="K25" i="3"/>
  <c r="I25" i="3"/>
  <c r="F25" i="3"/>
  <c r="B25" i="3"/>
  <c r="E25" i="3" s="1"/>
  <c r="O24" i="3"/>
  <c r="I24" i="3"/>
  <c r="K24" i="3" s="1"/>
  <c r="F24" i="3"/>
  <c r="B24" i="3"/>
  <c r="E24" i="3" s="1"/>
  <c r="O23" i="3"/>
  <c r="I23" i="3"/>
  <c r="K23" i="3" s="1"/>
  <c r="F23" i="3"/>
  <c r="E23" i="3"/>
  <c r="B23" i="3"/>
  <c r="O22" i="3"/>
  <c r="I22" i="3"/>
  <c r="F22" i="3"/>
  <c r="K22" i="3" s="1"/>
  <c r="E22" i="3"/>
  <c r="B22" i="3"/>
  <c r="O21" i="3"/>
  <c r="K21" i="3"/>
  <c r="I21" i="3"/>
  <c r="F21" i="3"/>
  <c r="B21" i="3"/>
  <c r="E21" i="3" s="1"/>
  <c r="O20" i="3"/>
  <c r="I20" i="3"/>
  <c r="K20" i="3" s="1"/>
  <c r="F20" i="3"/>
  <c r="B20" i="3"/>
  <c r="E20" i="3" s="1"/>
  <c r="O19" i="3"/>
  <c r="I19" i="3"/>
  <c r="F19" i="3"/>
  <c r="E19" i="3"/>
  <c r="B19" i="3"/>
  <c r="O18" i="3"/>
  <c r="I18" i="3"/>
  <c r="F18" i="3"/>
  <c r="K18" i="3" s="1"/>
  <c r="E18" i="3"/>
  <c r="B18" i="3"/>
  <c r="O17" i="3"/>
  <c r="K17" i="3"/>
  <c r="I17" i="3"/>
  <c r="F17" i="3"/>
  <c r="B17" i="3"/>
  <c r="E17" i="3" s="1"/>
  <c r="O16" i="3"/>
  <c r="K16" i="3"/>
  <c r="I16" i="3"/>
  <c r="F16" i="3"/>
  <c r="B16" i="3"/>
  <c r="E16" i="3" s="1"/>
  <c r="O15" i="3"/>
  <c r="I15" i="3"/>
  <c r="F15" i="3"/>
  <c r="E15" i="3"/>
  <c r="B15" i="3"/>
  <c r="O14" i="3"/>
  <c r="I14" i="3"/>
  <c r="F14" i="3"/>
  <c r="K14" i="3" s="1"/>
  <c r="B14" i="3"/>
  <c r="E14" i="3" s="1"/>
  <c r="O13" i="3"/>
  <c r="I13" i="3"/>
  <c r="K13" i="3" s="1"/>
  <c r="F13" i="3"/>
  <c r="E13" i="3"/>
  <c r="B13" i="3"/>
  <c r="O12" i="3"/>
  <c r="K12" i="3"/>
  <c r="I12" i="3"/>
  <c r="F12" i="3"/>
  <c r="B12" i="3"/>
  <c r="E12" i="3" s="1"/>
  <c r="O11" i="3"/>
  <c r="I11" i="3"/>
  <c r="F11" i="3"/>
  <c r="E11" i="3"/>
  <c r="B11" i="3"/>
  <c r="O10" i="3"/>
  <c r="K10" i="3"/>
  <c r="I10" i="3"/>
  <c r="F10" i="3"/>
  <c r="B10" i="3"/>
  <c r="E10" i="3" s="1"/>
  <c r="O9" i="3"/>
  <c r="I9" i="3"/>
  <c r="K9" i="3" s="1"/>
  <c r="F9" i="3"/>
  <c r="B9" i="3"/>
  <c r="E9" i="3" s="1"/>
  <c r="O8" i="3"/>
  <c r="K8" i="3"/>
  <c r="I8" i="3"/>
  <c r="F8" i="3"/>
  <c r="B8" i="3"/>
  <c r="E8" i="3" s="1"/>
  <c r="O7" i="3"/>
  <c r="I7" i="3"/>
  <c r="F7" i="3"/>
  <c r="E7" i="3"/>
  <c r="B7" i="3"/>
  <c r="O6" i="3"/>
  <c r="K6" i="3"/>
  <c r="I6" i="3"/>
  <c r="F6" i="3"/>
  <c r="B6" i="3"/>
  <c r="E6" i="3" s="1"/>
  <c r="O5" i="3"/>
  <c r="I5" i="3"/>
  <c r="K5" i="3" s="1"/>
  <c r="F5" i="3"/>
  <c r="B5" i="3"/>
  <c r="E5" i="3" s="1"/>
  <c r="O4" i="3"/>
  <c r="I4" i="3"/>
  <c r="F4" i="3"/>
  <c r="B4" i="3"/>
  <c r="E4" i="3" s="1"/>
  <c r="O3" i="3"/>
  <c r="I3" i="3"/>
  <c r="K3" i="3" s="1"/>
  <c r="F3" i="3"/>
  <c r="E3" i="3"/>
  <c r="B3" i="3"/>
  <c r="O2" i="3"/>
  <c r="K2" i="3"/>
  <c r="I2" i="3"/>
  <c r="F2" i="3"/>
  <c r="E2" i="3"/>
  <c r="B2" i="3"/>
  <c r="O303" i="1"/>
  <c r="N303" i="1"/>
  <c r="J303" i="1"/>
  <c r="M303" i="1" s="1"/>
  <c r="G303" i="1"/>
  <c r="F303" i="1"/>
  <c r="C303" i="1"/>
  <c r="H303" i="1" s="1"/>
  <c r="O302" i="1"/>
  <c r="N302" i="1"/>
  <c r="M302" i="1"/>
  <c r="H302" i="1"/>
  <c r="G302" i="1"/>
  <c r="F302" i="1"/>
  <c r="J302" i="1" s="1"/>
  <c r="C302" i="1"/>
  <c r="O301" i="1"/>
  <c r="N301" i="1"/>
  <c r="J301" i="1"/>
  <c r="M301" i="1" s="1"/>
  <c r="G301" i="1"/>
  <c r="F301" i="1"/>
  <c r="C301" i="1"/>
  <c r="H301" i="1" s="1"/>
  <c r="O300" i="1"/>
  <c r="N300" i="1"/>
  <c r="M300" i="1"/>
  <c r="H300" i="1"/>
  <c r="G300" i="1"/>
  <c r="F300" i="1"/>
  <c r="J300" i="1" s="1"/>
  <c r="C300" i="1"/>
  <c r="O299" i="1"/>
  <c r="N299" i="1"/>
  <c r="J299" i="1"/>
  <c r="M299" i="1" s="1"/>
  <c r="G299" i="1"/>
  <c r="F299" i="1"/>
  <c r="C299" i="1"/>
  <c r="H299" i="1" s="1"/>
  <c r="O298" i="1"/>
  <c r="N298" i="1"/>
  <c r="H298" i="1"/>
  <c r="G298" i="1"/>
  <c r="F298" i="1"/>
  <c r="J298" i="1" s="1"/>
  <c r="M298" i="1" s="1"/>
  <c r="C298" i="1"/>
  <c r="O297" i="1"/>
  <c r="N297" i="1"/>
  <c r="J297" i="1"/>
  <c r="M297" i="1" s="1"/>
  <c r="G297" i="1"/>
  <c r="F297" i="1"/>
  <c r="C297" i="1"/>
  <c r="H297" i="1" s="1"/>
  <c r="O296" i="1"/>
  <c r="N296" i="1"/>
  <c r="M296" i="1"/>
  <c r="H296" i="1"/>
  <c r="G296" i="1"/>
  <c r="K296" i="1" s="1"/>
  <c r="P296" i="1" s="1"/>
  <c r="F296" i="1"/>
  <c r="J296" i="1" s="1"/>
  <c r="C296" i="1"/>
  <c r="O295" i="1"/>
  <c r="N295" i="1"/>
  <c r="J295" i="1"/>
  <c r="M295" i="1" s="1"/>
  <c r="G295" i="1"/>
  <c r="F295" i="1"/>
  <c r="C295" i="1"/>
  <c r="H295" i="1" s="1"/>
  <c r="O294" i="1"/>
  <c r="N294" i="1"/>
  <c r="M294" i="1"/>
  <c r="H294" i="1"/>
  <c r="G294" i="1"/>
  <c r="F294" i="1"/>
  <c r="J294" i="1" s="1"/>
  <c r="C294" i="1"/>
  <c r="O293" i="1"/>
  <c r="N293" i="1"/>
  <c r="J293" i="1"/>
  <c r="M293" i="1" s="1"/>
  <c r="G293" i="1"/>
  <c r="F293" i="1"/>
  <c r="C293" i="1"/>
  <c r="H293" i="1" s="1"/>
  <c r="O292" i="1"/>
  <c r="N292" i="1"/>
  <c r="M292" i="1"/>
  <c r="H292" i="1"/>
  <c r="G292" i="1"/>
  <c r="F292" i="1"/>
  <c r="J292" i="1" s="1"/>
  <c r="C292" i="1"/>
  <c r="O291" i="1"/>
  <c r="N291" i="1"/>
  <c r="J291" i="1"/>
  <c r="M291" i="1" s="1"/>
  <c r="G291" i="1"/>
  <c r="F291" i="1"/>
  <c r="C291" i="1"/>
  <c r="H291" i="1" s="1"/>
  <c r="O290" i="1"/>
  <c r="N290" i="1"/>
  <c r="H290" i="1"/>
  <c r="G290" i="1"/>
  <c r="F290" i="1"/>
  <c r="J290" i="1" s="1"/>
  <c r="M290" i="1" s="1"/>
  <c r="C290" i="1"/>
  <c r="O289" i="1"/>
  <c r="N289" i="1"/>
  <c r="J289" i="1"/>
  <c r="M289" i="1" s="1"/>
  <c r="G289" i="1"/>
  <c r="F289" i="1"/>
  <c r="C289" i="1"/>
  <c r="H289" i="1" s="1"/>
  <c r="O288" i="1"/>
  <c r="N288" i="1"/>
  <c r="M288" i="1"/>
  <c r="H288" i="1"/>
  <c r="G288" i="1"/>
  <c r="F288" i="1"/>
  <c r="J288" i="1" s="1"/>
  <c r="C288" i="1"/>
  <c r="O287" i="1"/>
  <c r="N287" i="1"/>
  <c r="J287" i="1"/>
  <c r="M287" i="1" s="1"/>
  <c r="G287" i="1"/>
  <c r="F287" i="1"/>
  <c r="C287" i="1"/>
  <c r="H287" i="1" s="1"/>
  <c r="O286" i="1"/>
  <c r="N286" i="1"/>
  <c r="M286" i="1"/>
  <c r="H286" i="1"/>
  <c r="G286" i="1"/>
  <c r="F286" i="1"/>
  <c r="J286" i="1" s="1"/>
  <c r="C286" i="1"/>
  <c r="O285" i="1"/>
  <c r="N285" i="1"/>
  <c r="J285" i="1"/>
  <c r="M285" i="1" s="1"/>
  <c r="G285" i="1"/>
  <c r="F285" i="1"/>
  <c r="C285" i="1"/>
  <c r="H285" i="1" s="1"/>
  <c r="O284" i="1"/>
  <c r="N284" i="1"/>
  <c r="M284" i="1"/>
  <c r="H284" i="1"/>
  <c r="G284" i="1"/>
  <c r="F284" i="1"/>
  <c r="J284" i="1" s="1"/>
  <c r="C284" i="1"/>
  <c r="O283" i="1"/>
  <c r="N283" i="1"/>
  <c r="J283" i="1"/>
  <c r="M283" i="1" s="1"/>
  <c r="G283" i="1"/>
  <c r="F283" i="1"/>
  <c r="C283" i="1"/>
  <c r="H283" i="1" s="1"/>
  <c r="O282" i="1"/>
  <c r="N282" i="1"/>
  <c r="H282" i="1"/>
  <c r="G282" i="1"/>
  <c r="F282" i="1"/>
  <c r="J282" i="1" s="1"/>
  <c r="M282" i="1" s="1"/>
  <c r="C282" i="1"/>
  <c r="O281" i="1"/>
  <c r="N281" i="1"/>
  <c r="J281" i="1"/>
  <c r="M281" i="1" s="1"/>
  <c r="G281" i="1"/>
  <c r="F281" i="1"/>
  <c r="C281" i="1"/>
  <c r="H281" i="1" s="1"/>
  <c r="O280" i="1"/>
  <c r="N280" i="1"/>
  <c r="M280" i="1"/>
  <c r="H280" i="1"/>
  <c r="G280" i="1"/>
  <c r="F280" i="1"/>
  <c r="J280" i="1" s="1"/>
  <c r="C280" i="1"/>
  <c r="O279" i="1"/>
  <c r="N279" i="1"/>
  <c r="J279" i="1"/>
  <c r="M279" i="1" s="1"/>
  <c r="G279" i="1"/>
  <c r="F279" i="1"/>
  <c r="C279" i="1"/>
  <c r="H279" i="1" s="1"/>
  <c r="O278" i="1"/>
  <c r="N278" i="1"/>
  <c r="M278" i="1"/>
  <c r="H278" i="1"/>
  <c r="G278" i="1"/>
  <c r="F278" i="1"/>
  <c r="J278" i="1" s="1"/>
  <c r="C278" i="1"/>
  <c r="O277" i="1"/>
  <c r="N277" i="1"/>
  <c r="J277" i="1"/>
  <c r="M277" i="1" s="1"/>
  <c r="G277" i="1"/>
  <c r="F277" i="1"/>
  <c r="C277" i="1"/>
  <c r="H277" i="1" s="1"/>
  <c r="O276" i="1"/>
  <c r="N276" i="1"/>
  <c r="M276" i="1"/>
  <c r="H276" i="1"/>
  <c r="G276" i="1"/>
  <c r="F276" i="1"/>
  <c r="J276" i="1" s="1"/>
  <c r="C276" i="1"/>
  <c r="O275" i="1"/>
  <c r="N275" i="1"/>
  <c r="J275" i="1"/>
  <c r="M275" i="1" s="1"/>
  <c r="G275" i="1"/>
  <c r="F275" i="1"/>
  <c r="C275" i="1"/>
  <c r="H275" i="1" s="1"/>
  <c r="O274" i="1"/>
  <c r="N274" i="1"/>
  <c r="H274" i="1"/>
  <c r="G274" i="1"/>
  <c r="F274" i="1"/>
  <c r="J274" i="1" s="1"/>
  <c r="M274" i="1" s="1"/>
  <c r="C274" i="1"/>
  <c r="O273" i="1"/>
  <c r="N273" i="1"/>
  <c r="J273" i="1"/>
  <c r="M273" i="1" s="1"/>
  <c r="G273" i="1"/>
  <c r="F273" i="1"/>
  <c r="C273" i="1"/>
  <c r="H273" i="1" s="1"/>
  <c r="O272" i="1"/>
  <c r="N272" i="1"/>
  <c r="M272" i="1"/>
  <c r="H272" i="1"/>
  <c r="G272" i="1"/>
  <c r="F272" i="1"/>
  <c r="J272" i="1" s="1"/>
  <c r="C272" i="1"/>
  <c r="O271" i="1"/>
  <c r="N271" i="1"/>
  <c r="J271" i="1"/>
  <c r="M271" i="1" s="1"/>
  <c r="G271" i="1"/>
  <c r="F271" i="1"/>
  <c r="C271" i="1"/>
  <c r="H271" i="1" s="1"/>
  <c r="O270" i="1"/>
  <c r="N270" i="1"/>
  <c r="M270" i="1"/>
  <c r="H270" i="1"/>
  <c r="G270" i="1"/>
  <c r="F270" i="1"/>
  <c r="J270" i="1" s="1"/>
  <c r="C270" i="1"/>
  <c r="O269" i="1"/>
  <c r="N269" i="1"/>
  <c r="J269" i="1"/>
  <c r="M269" i="1" s="1"/>
  <c r="G269" i="1"/>
  <c r="F269" i="1"/>
  <c r="C269" i="1"/>
  <c r="H269" i="1" s="1"/>
  <c r="O268" i="1"/>
  <c r="N268" i="1"/>
  <c r="M268" i="1"/>
  <c r="H268" i="1"/>
  <c r="G268" i="1"/>
  <c r="F268" i="1"/>
  <c r="J268" i="1" s="1"/>
  <c r="C268" i="1"/>
  <c r="O267" i="1"/>
  <c r="N267" i="1"/>
  <c r="J267" i="1"/>
  <c r="M267" i="1" s="1"/>
  <c r="G267" i="1"/>
  <c r="F267" i="1"/>
  <c r="C267" i="1"/>
  <c r="H267" i="1" s="1"/>
  <c r="O266" i="1"/>
  <c r="N266" i="1"/>
  <c r="H266" i="1"/>
  <c r="G266" i="1"/>
  <c r="F266" i="1"/>
  <c r="J266" i="1" s="1"/>
  <c r="M266" i="1" s="1"/>
  <c r="C266" i="1"/>
  <c r="O265" i="1"/>
  <c r="N265" i="1"/>
  <c r="J265" i="1"/>
  <c r="M265" i="1" s="1"/>
  <c r="G265" i="1"/>
  <c r="F265" i="1"/>
  <c r="C265" i="1"/>
  <c r="H265" i="1" s="1"/>
  <c r="O264" i="1"/>
  <c r="N264" i="1"/>
  <c r="M264" i="1"/>
  <c r="H264" i="1"/>
  <c r="G264" i="1"/>
  <c r="K264" i="1" s="1"/>
  <c r="F264" i="1"/>
  <c r="J264" i="1" s="1"/>
  <c r="C264" i="1"/>
  <c r="O263" i="1"/>
  <c r="N263" i="1"/>
  <c r="J263" i="1"/>
  <c r="M263" i="1" s="1"/>
  <c r="G263" i="1"/>
  <c r="F263" i="1"/>
  <c r="C263" i="1"/>
  <c r="H263" i="1" s="1"/>
  <c r="O262" i="1"/>
  <c r="N262" i="1"/>
  <c r="M262" i="1"/>
  <c r="H262" i="1"/>
  <c r="G262" i="1"/>
  <c r="F262" i="1"/>
  <c r="J262" i="1" s="1"/>
  <c r="C262" i="1"/>
  <c r="O261" i="1"/>
  <c r="N261" i="1"/>
  <c r="J261" i="1"/>
  <c r="M261" i="1" s="1"/>
  <c r="G261" i="1"/>
  <c r="F261" i="1"/>
  <c r="C261" i="1"/>
  <c r="H261" i="1" s="1"/>
  <c r="O260" i="1"/>
  <c r="N260" i="1"/>
  <c r="M260" i="1"/>
  <c r="H260" i="1"/>
  <c r="G260" i="1"/>
  <c r="F260" i="1"/>
  <c r="J260" i="1" s="1"/>
  <c r="C260" i="1"/>
  <c r="O259" i="1"/>
  <c r="N259" i="1"/>
  <c r="J259" i="1"/>
  <c r="M259" i="1" s="1"/>
  <c r="G259" i="1"/>
  <c r="F259" i="1"/>
  <c r="C259" i="1"/>
  <c r="H259" i="1" s="1"/>
  <c r="O258" i="1"/>
  <c r="N258" i="1"/>
  <c r="H258" i="1"/>
  <c r="G258" i="1"/>
  <c r="F258" i="1"/>
  <c r="J258" i="1" s="1"/>
  <c r="M258" i="1" s="1"/>
  <c r="C258" i="1"/>
  <c r="O257" i="1"/>
  <c r="N257" i="1"/>
  <c r="J257" i="1"/>
  <c r="M257" i="1" s="1"/>
  <c r="G257" i="1"/>
  <c r="F257" i="1"/>
  <c r="C257" i="1"/>
  <c r="H257" i="1" s="1"/>
  <c r="O256" i="1"/>
  <c r="N256" i="1"/>
  <c r="M256" i="1"/>
  <c r="H256" i="1"/>
  <c r="G256" i="1"/>
  <c r="F256" i="1"/>
  <c r="J256" i="1" s="1"/>
  <c r="C256" i="1"/>
  <c r="O255" i="1"/>
  <c r="N255" i="1"/>
  <c r="J255" i="1"/>
  <c r="M255" i="1" s="1"/>
  <c r="G255" i="1"/>
  <c r="F255" i="1"/>
  <c r="C255" i="1"/>
  <c r="H255" i="1" s="1"/>
  <c r="O254" i="1"/>
  <c r="N254" i="1"/>
  <c r="M254" i="1"/>
  <c r="H254" i="1"/>
  <c r="G254" i="1"/>
  <c r="F254" i="1"/>
  <c r="J254" i="1" s="1"/>
  <c r="C254" i="1"/>
  <c r="O253" i="1"/>
  <c r="N253" i="1"/>
  <c r="J253" i="1"/>
  <c r="M253" i="1" s="1"/>
  <c r="G253" i="1"/>
  <c r="F253" i="1"/>
  <c r="C253" i="1"/>
  <c r="H253" i="1" s="1"/>
  <c r="O252" i="1"/>
  <c r="N252" i="1"/>
  <c r="M252" i="1"/>
  <c r="H252" i="1"/>
  <c r="G252" i="1"/>
  <c r="F252" i="1"/>
  <c r="J252" i="1" s="1"/>
  <c r="C252" i="1"/>
  <c r="O251" i="1"/>
  <c r="N251" i="1"/>
  <c r="J251" i="1"/>
  <c r="M251" i="1" s="1"/>
  <c r="G251" i="1"/>
  <c r="F251" i="1"/>
  <c r="C251" i="1"/>
  <c r="H251" i="1" s="1"/>
  <c r="O250" i="1"/>
  <c r="N250" i="1"/>
  <c r="H250" i="1"/>
  <c r="G250" i="1"/>
  <c r="F250" i="1"/>
  <c r="J250" i="1" s="1"/>
  <c r="M250" i="1" s="1"/>
  <c r="C250" i="1"/>
  <c r="O249" i="1"/>
  <c r="N249" i="1"/>
  <c r="J249" i="1"/>
  <c r="M249" i="1" s="1"/>
  <c r="G249" i="1"/>
  <c r="F249" i="1"/>
  <c r="C249" i="1"/>
  <c r="H249" i="1" s="1"/>
  <c r="O248" i="1"/>
  <c r="N248" i="1"/>
  <c r="M248" i="1"/>
  <c r="H248" i="1"/>
  <c r="G248" i="1"/>
  <c r="F248" i="1"/>
  <c r="J248" i="1" s="1"/>
  <c r="C248" i="1"/>
  <c r="O247" i="1"/>
  <c r="N247" i="1"/>
  <c r="J247" i="1"/>
  <c r="M247" i="1" s="1"/>
  <c r="G247" i="1"/>
  <c r="F247" i="1"/>
  <c r="C247" i="1"/>
  <c r="H247" i="1" s="1"/>
  <c r="O246" i="1"/>
  <c r="N246" i="1"/>
  <c r="M246" i="1"/>
  <c r="H246" i="1"/>
  <c r="G246" i="1"/>
  <c r="F246" i="1"/>
  <c r="J246" i="1" s="1"/>
  <c r="C246" i="1"/>
  <c r="O245" i="1"/>
  <c r="N245" i="1"/>
  <c r="J245" i="1"/>
  <c r="M245" i="1" s="1"/>
  <c r="G245" i="1"/>
  <c r="F245" i="1"/>
  <c r="C245" i="1"/>
  <c r="H245" i="1" s="1"/>
  <c r="O244" i="1"/>
  <c r="N244" i="1"/>
  <c r="M244" i="1"/>
  <c r="H244" i="1"/>
  <c r="G244" i="1"/>
  <c r="F244" i="1"/>
  <c r="J244" i="1" s="1"/>
  <c r="C244" i="1"/>
  <c r="O243" i="1"/>
  <c r="N243" i="1"/>
  <c r="J243" i="1"/>
  <c r="M243" i="1" s="1"/>
  <c r="G243" i="1"/>
  <c r="F243" i="1"/>
  <c r="C243" i="1"/>
  <c r="H243" i="1" s="1"/>
  <c r="O242" i="1"/>
  <c r="N242" i="1"/>
  <c r="H242" i="1"/>
  <c r="G242" i="1"/>
  <c r="F242" i="1"/>
  <c r="J242" i="1" s="1"/>
  <c r="M242" i="1" s="1"/>
  <c r="C242" i="1"/>
  <c r="O241" i="1"/>
  <c r="N241" i="1"/>
  <c r="J241" i="1"/>
  <c r="M241" i="1" s="1"/>
  <c r="G241" i="1"/>
  <c r="F241" i="1"/>
  <c r="C241" i="1"/>
  <c r="H241" i="1" s="1"/>
  <c r="O240" i="1"/>
  <c r="N240" i="1"/>
  <c r="M240" i="1"/>
  <c r="H240" i="1"/>
  <c r="G240" i="1"/>
  <c r="F240" i="1"/>
  <c r="J240" i="1" s="1"/>
  <c r="C240" i="1"/>
  <c r="O239" i="1"/>
  <c r="N239" i="1"/>
  <c r="J239" i="1"/>
  <c r="M239" i="1" s="1"/>
  <c r="G239" i="1"/>
  <c r="F239" i="1"/>
  <c r="C239" i="1"/>
  <c r="H239" i="1" s="1"/>
  <c r="O238" i="1"/>
  <c r="N238" i="1"/>
  <c r="M238" i="1"/>
  <c r="H238" i="1"/>
  <c r="G238" i="1"/>
  <c r="F238" i="1"/>
  <c r="J238" i="1" s="1"/>
  <c r="C238" i="1"/>
  <c r="O237" i="1"/>
  <c r="N237" i="1"/>
  <c r="J237" i="1"/>
  <c r="M237" i="1" s="1"/>
  <c r="G237" i="1"/>
  <c r="F237" i="1"/>
  <c r="C237" i="1"/>
  <c r="H237" i="1" s="1"/>
  <c r="O236" i="1"/>
  <c r="N236" i="1"/>
  <c r="M236" i="1"/>
  <c r="H236" i="1"/>
  <c r="G236" i="1"/>
  <c r="F236" i="1"/>
  <c r="J236" i="1" s="1"/>
  <c r="C236" i="1"/>
  <c r="O235" i="1"/>
  <c r="N235" i="1"/>
  <c r="J235" i="1"/>
  <c r="M235" i="1" s="1"/>
  <c r="G235" i="1"/>
  <c r="F235" i="1"/>
  <c r="C235" i="1"/>
  <c r="H235" i="1" s="1"/>
  <c r="O234" i="1"/>
  <c r="N234" i="1"/>
  <c r="H234" i="1"/>
  <c r="G234" i="1"/>
  <c r="F234" i="1"/>
  <c r="J234" i="1" s="1"/>
  <c r="M234" i="1" s="1"/>
  <c r="C234" i="1"/>
  <c r="O233" i="1"/>
  <c r="N233" i="1"/>
  <c r="J233" i="1"/>
  <c r="M233" i="1" s="1"/>
  <c r="G233" i="1"/>
  <c r="F233" i="1"/>
  <c r="C233" i="1"/>
  <c r="H233" i="1" s="1"/>
  <c r="O232" i="1"/>
  <c r="N232" i="1"/>
  <c r="M232" i="1"/>
  <c r="H232" i="1"/>
  <c r="G232" i="1"/>
  <c r="K232" i="1" s="1"/>
  <c r="F232" i="1"/>
  <c r="J232" i="1" s="1"/>
  <c r="C232" i="1"/>
  <c r="O231" i="1"/>
  <c r="N231" i="1"/>
  <c r="J231" i="1"/>
  <c r="M231" i="1" s="1"/>
  <c r="G231" i="1"/>
  <c r="F231" i="1"/>
  <c r="C231" i="1"/>
  <c r="H231" i="1" s="1"/>
  <c r="O230" i="1"/>
  <c r="N230" i="1"/>
  <c r="M230" i="1"/>
  <c r="H230" i="1"/>
  <c r="G230" i="1"/>
  <c r="F230" i="1"/>
  <c r="J230" i="1" s="1"/>
  <c r="C230" i="1"/>
  <c r="O229" i="1"/>
  <c r="N229" i="1"/>
  <c r="J229" i="1"/>
  <c r="M229" i="1" s="1"/>
  <c r="G229" i="1"/>
  <c r="F229" i="1"/>
  <c r="C229" i="1"/>
  <c r="H229" i="1" s="1"/>
  <c r="O228" i="1"/>
  <c r="N228" i="1"/>
  <c r="M228" i="1"/>
  <c r="H228" i="1"/>
  <c r="G228" i="1"/>
  <c r="F228" i="1"/>
  <c r="J228" i="1" s="1"/>
  <c r="C228" i="1"/>
  <c r="O227" i="1"/>
  <c r="N227" i="1"/>
  <c r="J227" i="1"/>
  <c r="M227" i="1" s="1"/>
  <c r="G227" i="1"/>
  <c r="F227" i="1"/>
  <c r="C227" i="1"/>
  <c r="H227" i="1" s="1"/>
  <c r="O226" i="1"/>
  <c r="N226" i="1"/>
  <c r="H226" i="1"/>
  <c r="G226" i="1"/>
  <c r="F226" i="1"/>
  <c r="J226" i="1" s="1"/>
  <c r="M226" i="1" s="1"/>
  <c r="C226" i="1"/>
  <c r="O225" i="1"/>
  <c r="N225" i="1"/>
  <c r="G225" i="1"/>
  <c r="F225" i="1"/>
  <c r="J225" i="1" s="1"/>
  <c r="M225" i="1" s="1"/>
  <c r="C225" i="1"/>
  <c r="H225" i="1" s="1"/>
  <c r="O224" i="1"/>
  <c r="N224" i="1"/>
  <c r="M224" i="1"/>
  <c r="J224" i="1"/>
  <c r="H224" i="1"/>
  <c r="G224" i="1"/>
  <c r="F224" i="1"/>
  <c r="C224" i="1"/>
  <c r="O223" i="1"/>
  <c r="N223" i="1"/>
  <c r="G223" i="1"/>
  <c r="F223" i="1"/>
  <c r="J223" i="1" s="1"/>
  <c r="M223" i="1" s="1"/>
  <c r="C223" i="1"/>
  <c r="H223" i="1" s="1"/>
  <c r="O222" i="1"/>
  <c r="N222" i="1"/>
  <c r="M222" i="1"/>
  <c r="J222" i="1"/>
  <c r="H222" i="1"/>
  <c r="G222" i="1"/>
  <c r="F222" i="1"/>
  <c r="C222" i="1"/>
  <c r="O221" i="1"/>
  <c r="N221" i="1"/>
  <c r="J221" i="1"/>
  <c r="M221" i="1" s="1"/>
  <c r="G221" i="1"/>
  <c r="F221" i="1"/>
  <c r="C221" i="1"/>
  <c r="H221" i="1" s="1"/>
  <c r="O220" i="1"/>
  <c r="N220" i="1"/>
  <c r="J220" i="1"/>
  <c r="M220" i="1" s="1"/>
  <c r="H220" i="1"/>
  <c r="G220" i="1"/>
  <c r="F220" i="1"/>
  <c r="C220" i="1"/>
  <c r="O219" i="1"/>
  <c r="N219" i="1"/>
  <c r="J219" i="1"/>
  <c r="M219" i="1" s="1"/>
  <c r="G219" i="1"/>
  <c r="F219" i="1"/>
  <c r="C219" i="1"/>
  <c r="H219" i="1" s="1"/>
  <c r="O218" i="1"/>
  <c r="N218" i="1"/>
  <c r="J218" i="1"/>
  <c r="M218" i="1" s="1"/>
  <c r="H218" i="1"/>
  <c r="G218" i="1"/>
  <c r="F218" i="1"/>
  <c r="C218" i="1"/>
  <c r="O217" i="1"/>
  <c r="N217" i="1"/>
  <c r="M217" i="1"/>
  <c r="G217" i="1"/>
  <c r="F217" i="1"/>
  <c r="J217" i="1" s="1"/>
  <c r="C217" i="1"/>
  <c r="H217" i="1" s="1"/>
  <c r="O216" i="1"/>
  <c r="N216" i="1"/>
  <c r="J216" i="1"/>
  <c r="M216" i="1" s="1"/>
  <c r="G216" i="1"/>
  <c r="F216" i="1"/>
  <c r="C216" i="1"/>
  <c r="H216" i="1" s="1"/>
  <c r="O215" i="1"/>
  <c r="N215" i="1"/>
  <c r="G215" i="1"/>
  <c r="F215" i="1"/>
  <c r="J215" i="1" s="1"/>
  <c r="M215" i="1" s="1"/>
  <c r="C215" i="1"/>
  <c r="H215" i="1" s="1"/>
  <c r="O214" i="1"/>
  <c r="N214" i="1"/>
  <c r="M214" i="1"/>
  <c r="J214" i="1"/>
  <c r="H214" i="1"/>
  <c r="G214" i="1"/>
  <c r="F214" i="1"/>
  <c r="C214" i="1"/>
  <c r="O213" i="1"/>
  <c r="N213" i="1"/>
  <c r="J213" i="1"/>
  <c r="M213" i="1" s="1"/>
  <c r="G213" i="1"/>
  <c r="K213" i="1" s="1"/>
  <c r="F213" i="1"/>
  <c r="C213" i="1"/>
  <c r="H213" i="1" s="1"/>
  <c r="O212" i="1"/>
  <c r="N212" i="1"/>
  <c r="J212" i="1"/>
  <c r="M212" i="1" s="1"/>
  <c r="H212" i="1"/>
  <c r="G212" i="1"/>
  <c r="F212" i="1"/>
  <c r="C212" i="1"/>
  <c r="O211" i="1"/>
  <c r="N211" i="1"/>
  <c r="J211" i="1"/>
  <c r="M211" i="1" s="1"/>
  <c r="G211" i="1"/>
  <c r="F211" i="1"/>
  <c r="C211" i="1"/>
  <c r="H211" i="1" s="1"/>
  <c r="O210" i="1"/>
  <c r="N210" i="1"/>
  <c r="J210" i="1"/>
  <c r="M210" i="1" s="1"/>
  <c r="G210" i="1"/>
  <c r="F210" i="1"/>
  <c r="C210" i="1"/>
  <c r="H210" i="1" s="1"/>
  <c r="O209" i="1"/>
  <c r="N209" i="1"/>
  <c r="M209" i="1"/>
  <c r="G209" i="1"/>
  <c r="F209" i="1"/>
  <c r="J209" i="1" s="1"/>
  <c r="C209" i="1"/>
  <c r="H209" i="1" s="1"/>
  <c r="O208" i="1"/>
  <c r="N208" i="1"/>
  <c r="J208" i="1"/>
  <c r="M208" i="1" s="1"/>
  <c r="G208" i="1"/>
  <c r="F208" i="1"/>
  <c r="C208" i="1"/>
  <c r="H208" i="1" s="1"/>
  <c r="O207" i="1"/>
  <c r="N207" i="1"/>
  <c r="G207" i="1"/>
  <c r="F207" i="1"/>
  <c r="J207" i="1" s="1"/>
  <c r="M207" i="1" s="1"/>
  <c r="C207" i="1"/>
  <c r="H207" i="1" s="1"/>
  <c r="O206" i="1"/>
  <c r="N206" i="1"/>
  <c r="M206" i="1"/>
  <c r="J206" i="1"/>
  <c r="H206" i="1"/>
  <c r="G206" i="1"/>
  <c r="F206" i="1"/>
  <c r="C206" i="1"/>
  <c r="O205" i="1"/>
  <c r="N205" i="1"/>
  <c r="J205" i="1"/>
  <c r="M205" i="1" s="1"/>
  <c r="G205" i="1"/>
  <c r="F205" i="1"/>
  <c r="C205" i="1"/>
  <c r="H205" i="1" s="1"/>
  <c r="O204" i="1"/>
  <c r="N204" i="1"/>
  <c r="J204" i="1"/>
  <c r="M204" i="1" s="1"/>
  <c r="H204" i="1"/>
  <c r="G204" i="1"/>
  <c r="F204" i="1"/>
  <c r="C204" i="1"/>
  <c r="O203" i="1"/>
  <c r="N203" i="1"/>
  <c r="J203" i="1"/>
  <c r="M203" i="1" s="1"/>
  <c r="G203" i="1"/>
  <c r="F203" i="1"/>
  <c r="C203" i="1"/>
  <c r="H203" i="1" s="1"/>
  <c r="O202" i="1"/>
  <c r="N202" i="1"/>
  <c r="J202" i="1"/>
  <c r="M202" i="1" s="1"/>
  <c r="H202" i="1"/>
  <c r="G202" i="1"/>
  <c r="F202" i="1"/>
  <c r="C202" i="1"/>
  <c r="O201" i="1"/>
  <c r="N201" i="1"/>
  <c r="G201" i="1"/>
  <c r="F201" i="1"/>
  <c r="J201" i="1" s="1"/>
  <c r="M201" i="1" s="1"/>
  <c r="C201" i="1"/>
  <c r="H201" i="1" s="1"/>
  <c r="O200" i="1"/>
  <c r="N200" i="1"/>
  <c r="M200" i="1"/>
  <c r="H200" i="1"/>
  <c r="G200" i="1"/>
  <c r="F200" i="1"/>
  <c r="J200" i="1" s="1"/>
  <c r="C200" i="1"/>
  <c r="O199" i="1"/>
  <c r="N199" i="1"/>
  <c r="J199" i="1"/>
  <c r="M199" i="1" s="1"/>
  <c r="G199" i="1"/>
  <c r="F199" i="1"/>
  <c r="C199" i="1"/>
  <c r="H199" i="1" s="1"/>
  <c r="O198" i="1"/>
  <c r="N198" i="1"/>
  <c r="H198" i="1"/>
  <c r="G198" i="1"/>
  <c r="F198" i="1"/>
  <c r="J198" i="1" s="1"/>
  <c r="M198" i="1" s="1"/>
  <c r="C198" i="1"/>
  <c r="O197" i="1"/>
  <c r="N197" i="1"/>
  <c r="J197" i="1"/>
  <c r="M197" i="1" s="1"/>
  <c r="G197" i="1"/>
  <c r="F197" i="1"/>
  <c r="C197" i="1"/>
  <c r="H197" i="1" s="1"/>
  <c r="O196" i="1"/>
  <c r="N196" i="1"/>
  <c r="H196" i="1"/>
  <c r="G196" i="1"/>
  <c r="K196" i="1" s="1"/>
  <c r="F196" i="1"/>
  <c r="J196" i="1" s="1"/>
  <c r="M196" i="1" s="1"/>
  <c r="C196" i="1"/>
  <c r="O195" i="1"/>
  <c r="N195" i="1"/>
  <c r="J195" i="1"/>
  <c r="M195" i="1" s="1"/>
  <c r="G195" i="1"/>
  <c r="F195" i="1"/>
  <c r="C195" i="1"/>
  <c r="H195" i="1" s="1"/>
  <c r="O194" i="1"/>
  <c r="N194" i="1"/>
  <c r="M194" i="1"/>
  <c r="H194" i="1"/>
  <c r="G194" i="1"/>
  <c r="F194" i="1"/>
  <c r="J194" i="1" s="1"/>
  <c r="C194" i="1"/>
  <c r="O193" i="1"/>
  <c r="N193" i="1"/>
  <c r="J193" i="1"/>
  <c r="M193" i="1" s="1"/>
  <c r="G193" i="1"/>
  <c r="F193" i="1"/>
  <c r="C193" i="1"/>
  <c r="H193" i="1" s="1"/>
  <c r="O192" i="1"/>
  <c r="N192" i="1"/>
  <c r="M192" i="1"/>
  <c r="H192" i="1"/>
  <c r="G192" i="1"/>
  <c r="F192" i="1"/>
  <c r="J192" i="1" s="1"/>
  <c r="C192" i="1"/>
  <c r="O191" i="1"/>
  <c r="N191" i="1"/>
  <c r="J191" i="1"/>
  <c r="M191" i="1" s="1"/>
  <c r="G191" i="1"/>
  <c r="F191" i="1"/>
  <c r="C191" i="1"/>
  <c r="H191" i="1" s="1"/>
  <c r="O190" i="1"/>
  <c r="N190" i="1"/>
  <c r="H190" i="1"/>
  <c r="G190" i="1"/>
  <c r="F190" i="1"/>
  <c r="J190" i="1" s="1"/>
  <c r="M190" i="1" s="1"/>
  <c r="C190" i="1"/>
  <c r="O189" i="1"/>
  <c r="N189" i="1"/>
  <c r="J189" i="1"/>
  <c r="M189" i="1" s="1"/>
  <c r="G189" i="1"/>
  <c r="F189" i="1"/>
  <c r="C189" i="1"/>
  <c r="H189" i="1" s="1"/>
  <c r="O188" i="1"/>
  <c r="N188" i="1"/>
  <c r="H188" i="1"/>
  <c r="G188" i="1"/>
  <c r="K188" i="1" s="1"/>
  <c r="F188" i="1"/>
  <c r="J188" i="1" s="1"/>
  <c r="M188" i="1" s="1"/>
  <c r="C188" i="1"/>
  <c r="O187" i="1"/>
  <c r="N187" i="1"/>
  <c r="J187" i="1"/>
  <c r="M187" i="1" s="1"/>
  <c r="G187" i="1"/>
  <c r="F187" i="1"/>
  <c r="C187" i="1"/>
  <c r="H187" i="1" s="1"/>
  <c r="O186" i="1"/>
  <c r="N186" i="1"/>
  <c r="M186" i="1"/>
  <c r="H186" i="1"/>
  <c r="G186" i="1"/>
  <c r="F186" i="1"/>
  <c r="J186" i="1" s="1"/>
  <c r="C186" i="1"/>
  <c r="O185" i="1"/>
  <c r="N185" i="1"/>
  <c r="J185" i="1"/>
  <c r="M185" i="1" s="1"/>
  <c r="G185" i="1"/>
  <c r="F185" i="1"/>
  <c r="C185" i="1"/>
  <c r="H185" i="1" s="1"/>
  <c r="O184" i="1"/>
  <c r="N184" i="1"/>
  <c r="M184" i="1"/>
  <c r="H184" i="1"/>
  <c r="G184" i="1"/>
  <c r="F184" i="1"/>
  <c r="J184" i="1" s="1"/>
  <c r="C184" i="1"/>
  <c r="O183" i="1"/>
  <c r="N183" i="1"/>
  <c r="J183" i="1"/>
  <c r="M183" i="1" s="1"/>
  <c r="G183" i="1"/>
  <c r="F183" i="1"/>
  <c r="C183" i="1"/>
  <c r="H183" i="1" s="1"/>
  <c r="O182" i="1"/>
  <c r="N182" i="1"/>
  <c r="H182" i="1"/>
  <c r="G182" i="1"/>
  <c r="F182" i="1"/>
  <c r="J182" i="1" s="1"/>
  <c r="M182" i="1" s="1"/>
  <c r="C182" i="1"/>
  <c r="O181" i="1"/>
  <c r="N181" i="1"/>
  <c r="J181" i="1"/>
  <c r="M181" i="1" s="1"/>
  <c r="G181" i="1"/>
  <c r="F181" i="1"/>
  <c r="C181" i="1"/>
  <c r="H181" i="1" s="1"/>
  <c r="O180" i="1"/>
  <c r="N180" i="1"/>
  <c r="H180" i="1"/>
  <c r="G180" i="1"/>
  <c r="K180" i="1" s="1"/>
  <c r="F180" i="1"/>
  <c r="J180" i="1" s="1"/>
  <c r="M180" i="1" s="1"/>
  <c r="C180" i="1"/>
  <c r="O179" i="1"/>
  <c r="N179" i="1"/>
  <c r="J179" i="1"/>
  <c r="M179" i="1" s="1"/>
  <c r="G179" i="1"/>
  <c r="F179" i="1"/>
  <c r="C179" i="1"/>
  <c r="H179" i="1" s="1"/>
  <c r="O178" i="1"/>
  <c r="N178" i="1"/>
  <c r="M178" i="1"/>
  <c r="H178" i="1"/>
  <c r="G178" i="1"/>
  <c r="F178" i="1"/>
  <c r="J178" i="1" s="1"/>
  <c r="C178" i="1"/>
  <c r="O177" i="1"/>
  <c r="N177" i="1"/>
  <c r="J177" i="1"/>
  <c r="M177" i="1" s="1"/>
  <c r="G177" i="1"/>
  <c r="F177" i="1"/>
  <c r="C177" i="1"/>
  <c r="H177" i="1" s="1"/>
  <c r="O176" i="1"/>
  <c r="N176" i="1"/>
  <c r="M176" i="1"/>
  <c r="H176" i="1"/>
  <c r="G176" i="1"/>
  <c r="F176" i="1"/>
  <c r="J176" i="1" s="1"/>
  <c r="C176" i="1"/>
  <c r="O175" i="1"/>
  <c r="N175" i="1"/>
  <c r="J175" i="1"/>
  <c r="M175" i="1" s="1"/>
  <c r="G175" i="1"/>
  <c r="F175" i="1"/>
  <c r="C175" i="1"/>
  <c r="H175" i="1" s="1"/>
  <c r="O174" i="1"/>
  <c r="N174" i="1"/>
  <c r="H174" i="1"/>
  <c r="G174" i="1"/>
  <c r="F174" i="1"/>
  <c r="J174" i="1" s="1"/>
  <c r="M174" i="1" s="1"/>
  <c r="C174" i="1"/>
  <c r="O173" i="1"/>
  <c r="N173" i="1"/>
  <c r="J173" i="1"/>
  <c r="M173" i="1" s="1"/>
  <c r="G173" i="1"/>
  <c r="F173" i="1"/>
  <c r="C173" i="1"/>
  <c r="H173" i="1" s="1"/>
  <c r="O172" i="1"/>
  <c r="N172" i="1"/>
  <c r="H172" i="1"/>
  <c r="G172" i="1"/>
  <c r="K172" i="1" s="1"/>
  <c r="F172" i="1"/>
  <c r="J172" i="1" s="1"/>
  <c r="M172" i="1" s="1"/>
  <c r="C172" i="1"/>
  <c r="O171" i="1"/>
  <c r="N171" i="1"/>
  <c r="J171" i="1"/>
  <c r="M171" i="1" s="1"/>
  <c r="G171" i="1"/>
  <c r="F171" i="1"/>
  <c r="C171" i="1"/>
  <c r="H171" i="1" s="1"/>
  <c r="O170" i="1"/>
  <c r="N170" i="1"/>
  <c r="M170" i="1"/>
  <c r="H170" i="1"/>
  <c r="G170" i="1"/>
  <c r="F170" i="1"/>
  <c r="J170" i="1" s="1"/>
  <c r="C170" i="1"/>
  <c r="O169" i="1"/>
  <c r="N169" i="1"/>
  <c r="J169" i="1"/>
  <c r="M169" i="1" s="1"/>
  <c r="G169" i="1"/>
  <c r="F169" i="1"/>
  <c r="C169" i="1"/>
  <c r="H169" i="1" s="1"/>
  <c r="O168" i="1"/>
  <c r="N168" i="1"/>
  <c r="M168" i="1"/>
  <c r="H168" i="1"/>
  <c r="G168" i="1"/>
  <c r="F168" i="1"/>
  <c r="J168" i="1" s="1"/>
  <c r="C168" i="1"/>
  <c r="O167" i="1"/>
  <c r="N167" i="1"/>
  <c r="J167" i="1"/>
  <c r="M167" i="1" s="1"/>
  <c r="G167" i="1"/>
  <c r="F167" i="1"/>
  <c r="C167" i="1"/>
  <c r="H167" i="1" s="1"/>
  <c r="O166" i="1"/>
  <c r="N166" i="1"/>
  <c r="H166" i="1"/>
  <c r="G166" i="1"/>
  <c r="F166" i="1"/>
  <c r="J166" i="1" s="1"/>
  <c r="M166" i="1" s="1"/>
  <c r="C166" i="1"/>
  <c r="O165" i="1"/>
  <c r="N165" i="1"/>
  <c r="J165" i="1"/>
  <c r="M165" i="1" s="1"/>
  <c r="G165" i="1"/>
  <c r="F165" i="1"/>
  <c r="C165" i="1"/>
  <c r="H165" i="1" s="1"/>
  <c r="O164" i="1"/>
  <c r="N164" i="1"/>
  <c r="H164" i="1"/>
  <c r="G164" i="1"/>
  <c r="K164" i="1" s="1"/>
  <c r="F164" i="1"/>
  <c r="J164" i="1" s="1"/>
  <c r="M164" i="1" s="1"/>
  <c r="C164" i="1"/>
  <c r="O163" i="1"/>
  <c r="N163" i="1"/>
  <c r="J163" i="1"/>
  <c r="M163" i="1" s="1"/>
  <c r="G163" i="1"/>
  <c r="F163" i="1"/>
  <c r="C163" i="1"/>
  <c r="H163" i="1" s="1"/>
  <c r="O162" i="1"/>
  <c r="N162" i="1"/>
  <c r="M162" i="1"/>
  <c r="H162" i="1"/>
  <c r="G162" i="1"/>
  <c r="F162" i="1"/>
  <c r="J162" i="1" s="1"/>
  <c r="C162" i="1"/>
  <c r="O161" i="1"/>
  <c r="N161" i="1"/>
  <c r="J161" i="1"/>
  <c r="M161" i="1" s="1"/>
  <c r="G161" i="1"/>
  <c r="F161" i="1"/>
  <c r="C161" i="1"/>
  <c r="H161" i="1" s="1"/>
  <c r="O160" i="1"/>
  <c r="N160" i="1"/>
  <c r="M160" i="1"/>
  <c r="H160" i="1"/>
  <c r="G160" i="1"/>
  <c r="F160" i="1"/>
  <c r="J160" i="1" s="1"/>
  <c r="C160" i="1"/>
  <c r="O159" i="1"/>
  <c r="N159" i="1"/>
  <c r="J159" i="1"/>
  <c r="M159" i="1" s="1"/>
  <c r="G159" i="1"/>
  <c r="F159" i="1"/>
  <c r="C159" i="1"/>
  <c r="H159" i="1" s="1"/>
  <c r="O158" i="1"/>
  <c r="N158" i="1"/>
  <c r="H158" i="1"/>
  <c r="G158" i="1"/>
  <c r="F158" i="1"/>
  <c r="J158" i="1" s="1"/>
  <c r="M158" i="1" s="1"/>
  <c r="C158" i="1"/>
  <c r="O157" i="1"/>
  <c r="N157" i="1"/>
  <c r="J157" i="1"/>
  <c r="M157" i="1" s="1"/>
  <c r="G157" i="1"/>
  <c r="F157" i="1"/>
  <c r="C157" i="1"/>
  <c r="H157" i="1" s="1"/>
  <c r="O156" i="1"/>
  <c r="N156" i="1"/>
  <c r="H156" i="1"/>
  <c r="G156" i="1"/>
  <c r="K156" i="1" s="1"/>
  <c r="F156" i="1"/>
  <c r="J156" i="1" s="1"/>
  <c r="M156" i="1" s="1"/>
  <c r="C156" i="1"/>
  <c r="O155" i="1"/>
  <c r="N155" i="1"/>
  <c r="J155" i="1"/>
  <c r="M155" i="1" s="1"/>
  <c r="G155" i="1"/>
  <c r="F155" i="1"/>
  <c r="C155" i="1"/>
  <c r="H155" i="1" s="1"/>
  <c r="O154" i="1"/>
  <c r="N154" i="1"/>
  <c r="M154" i="1"/>
  <c r="G154" i="1"/>
  <c r="K154" i="1" s="1"/>
  <c r="F154" i="1"/>
  <c r="J154" i="1" s="1"/>
  <c r="C154" i="1"/>
  <c r="H154" i="1" s="1"/>
  <c r="O153" i="1"/>
  <c r="N153" i="1"/>
  <c r="J153" i="1"/>
  <c r="M153" i="1" s="1"/>
  <c r="H153" i="1"/>
  <c r="G153" i="1"/>
  <c r="F153" i="1"/>
  <c r="C153" i="1"/>
  <c r="O152" i="1"/>
  <c r="N152" i="1"/>
  <c r="M152" i="1"/>
  <c r="G152" i="1"/>
  <c r="F152" i="1"/>
  <c r="J152" i="1" s="1"/>
  <c r="C152" i="1"/>
  <c r="H152" i="1" s="1"/>
  <c r="O151" i="1"/>
  <c r="N151" i="1"/>
  <c r="J151" i="1"/>
  <c r="M151" i="1" s="1"/>
  <c r="H151" i="1"/>
  <c r="G151" i="1"/>
  <c r="F151" i="1"/>
  <c r="C151" i="1"/>
  <c r="O150" i="1"/>
  <c r="N150" i="1"/>
  <c r="M150" i="1"/>
  <c r="G150" i="1"/>
  <c r="K150" i="1" s="1"/>
  <c r="F150" i="1"/>
  <c r="J150" i="1" s="1"/>
  <c r="C150" i="1"/>
  <c r="H150" i="1" s="1"/>
  <c r="O149" i="1"/>
  <c r="N149" i="1"/>
  <c r="J149" i="1"/>
  <c r="M149" i="1" s="1"/>
  <c r="H149" i="1"/>
  <c r="G149" i="1"/>
  <c r="F149" i="1"/>
  <c r="C149" i="1"/>
  <c r="O148" i="1"/>
  <c r="N148" i="1"/>
  <c r="G148" i="1"/>
  <c r="K148" i="1" s="1"/>
  <c r="F148" i="1"/>
  <c r="J148" i="1" s="1"/>
  <c r="M148" i="1" s="1"/>
  <c r="C148" i="1"/>
  <c r="H148" i="1" s="1"/>
  <c r="O147" i="1"/>
  <c r="N147" i="1"/>
  <c r="J147" i="1"/>
  <c r="M147" i="1" s="1"/>
  <c r="G147" i="1"/>
  <c r="F147" i="1"/>
  <c r="C147" i="1"/>
  <c r="H147" i="1" s="1"/>
  <c r="O146" i="1"/>
  <c r="N146" i="1"/>
  <c r="M146" i="1"/>
  <c r="G146" i="1"/>
  <c r="K146" i="1" s="1"/>
  <c r="F146" i="1"/>
  <c r="J146" i="1" s="1"/>
  <c r="C146" i="1"/>
  <c r="H146" i="1" s="1"/>
  <c r="O145" i="1"/>
  <c r="N145" i="1"/>
  <c r="J145" i="1"/>
  <c r="M145" i="1" s="1"/>
  <c r="H145" i="1"/>
  <c r="G145" i="1"/>
  <c r="F145" i="1"/>
  <c r="C145" i="1"/>
  <c r="O144" i="1"/>
  <c r="N144" i="1"/>
  <c r="M144" i="1"/>
  <c r="G144" i="1"/>
  <c r="F144" i="1"/>
  <c r="J144" i="1" s="1"/>
  <c r="C144" i="1"/>
  <c r="H144" i="1" s="1"/>
  <c r="O143" i="1"/>
  <c r="N143" i="1"/>
  <c r="J143" i="1"/>
  <c r="M143" i="1" s="1"/>
  <c r="H143" i="1"/>
  <c r="G143" i="1"/>
  <c r="F143" i="1"/>
  <c r="C143" i="1"/>
  <c r="O142" i="1"/>
  <c r="N142" i="1"/>
  <c r="M142" i="1"/>
  <c r="G142" i="1"/>
  <c r="K142" i="1" s="1"/>
  <c r="F142" i="1"/>
  <c r="J142" i="1" s="1"/>
  <c r="C142" i="1"/>
  <c r="H142" i="1" s="1"/>
  <c r="O141" i="1"/>
  <c r="N141" i="1"/>
  <c r="J141" i="1"/>
  <c r="M141" i="1" s="1"/>
  <c r="H141" i="1"/>
  <c r="G141" i="1"/>
  <c r="F141" i="1"/>
  <c r="C141" i="1"/>
  <c r="O140" i="1"/>
  <c r="N140" i="1"/>
  <c r="G140" i="1"/>
  <c r="K140" i="1" s="1"/>
  <c r="F140" i="1"/>
  <c r="J140" i="1" s="1"/>
  <c r="M140" i="1" s="1"/>
  <c r="C140" i="1"/>
  <c r="H140" i="1" s="1"/>
  <c r="W139" i="1"/>
  <c r="O139" i="1"/>
  <c r="N139" i="1"/>
  <c r="J139" i="1"/>
  <c r="M139" i="1" s="1"/>
  <c r="G139" i="1"/>
  <c r="F139" i="1"/>
  <c r="C139" i="1"/>
  <c r="H139" i="1" s="1"/>
  <c r="W138" i="1"/>
  <c r="O138" i="1"/>
  <c r="N138" i="1"/>
  <c r="J138" i="1"/>
  <c r="M138" i="1" s="1"/>
  <c r="H138" i="1"/>
  <c r="G138" i="1"/>
  <c r="F138" i="1"/>
  <c r="C138" i="1"/>
  <c r="W137" i="1"/>
  <c r="O137" i="1"/>
  <c r="N137" i="1"/>
  <c r="M137" i="1"/>
  <c r="H137" i="1"/>
  <c r="G137" i="1"/>
  <c r="F137" i="1"/>
  <c r="J137" i="1" s="1"/>
  <c r="C137" i="1"/>
  <c r="W136" i="1"/>
  <c r="O136" i="1"/>
  <c r="N136" i="1"/>
  <c r="M136" i="1"/>
  <c r="G136" i="1"/>
  <c r="F136" i="1"/>
  <c r="J136" i="1" s="1"/>
  <c r="C136" i="1"/>
  <c r="H136" i="1" s="1"/>
  <c r="W135" i="1"/>
  <c r="O135" i="1"/>
  <c r="N135" i="1"/>
  <c r="G135" i="1"/>
  <c r="F135" i="1"/>
  <c r="J135" i="1" s="1"/>
  <c r="M135" i="1" s="1"/>
  <c r="C135" i="1"/>
  <c r="H135" i="1" s="1"/>
  <c r="W134" i="1"/>
  <c r="O134" i="1"/>
  <c r="N134" i="1"/>
  <c r="J134" i="1"/>
  <c r="M134" i="1" s="1"/>
  <c r="G134" i="1"/>
  <c r="F134" i="1"/>
  <c r="C134" i="1"/>
  <c r="H134" i="1" s="1"/>
  <c r="W133" i="1"/>
  <c r="O133" i="1"/>
  <c r="N133" i="1"/>
  <c r="M133" i="1"/>
  <c r="H133" i="1"/>
  <c r="G133" i="1"/>
  <c r="F133" i="1"/>
  <c r="J133" i="1" s="1"/>
  <c r="C133" i="1"/>
  <c r="W132" i="1"/>
  <c r="O132" i="1"/>
  <c r="N132" i="1"/>
  <c r="G132" i="1"/>
  <c r="K132" i="1" s="1"/>
  <c r="P132" i="1" s="1"/>
  <c r="F132" i="1"/>
  <c r="J132" i="1" s="1"/>
  <c r="M132" i="1" s="1"/>
  <c r="C132" i="1"/>
  <c r="H132" i="1" s="1"/>
  <c r="W131" i="1"/>
  <c r="O131" i="1"/>
  <c r="N131" i="1"/>
  <c r="J131" i="1"/>
  <c r="M131" i="1" s="1"/>
  <c r="G131" i="1"/>
  <c r="F131" i="1"/>
  <c r="C131" i="1"/>
  <c r="H131" i="1" s="1"/>
  <c r="W130" i="1"/>
  <c r="O130" i="1"/>
  <c r="N130" i="1"/>
  <c r="J130" i="1"/>
  <c r="M130" i="1" s="1"/>
  <c r="H130" i="1"/>
  <c r="G130" i="1"/>
  <c r="F130" i="1"/>
  <c r="C130" i="1"/>
  <c r="W129" i="1"/>
  <c r="O129" i="1"/>
  <c r="N129" i="1"/>
  <c r="M129" i="1"/>
  <c r="J129" i="1"/>
  <c r="H129" i="1"/>
  <c r="G129" i="1"/>
  <c r="F129" i="1"/>
  <c r="C129" i="1"/>
  <c r="W128" i="1"/>
  <c r="O128" i="1"/>
  <c r="N128" i="1"/>
  <c r="H128" i="1"/>
  <c r="G128" i="1"/>
  <c r="K128" i="1" s="1"/>
  <c r="F128" i="1"/>
  <c r="J128" i="1" s="1"/>
  <c r="M128" i="1" s="1"/>
  <c r="C128" i="1"/>
  <c r="W127" i="1"/>
  <c r="O127" i="1"/>
  <c r="N127" i="1"/>
  <c r="J127" i="1"/>
  <c r="M127" i="1" s="1"/>
  <c r="G127" i="1"/>
  <c r="F127" i="1"/>
  <c r="C127" i="1"/>
  <c r="H127" i="1" s="1"/>
  <c r="W126" i="1"/>
  <c r="O126" i="1"/>
  <c r="N126" i="1"/>
  <c r="J126" i="1"/>
  <c r="M126" i="1" s="1"/>
  <c r="H126" i="1"/>
  <c r="G126" i="1"/>
  <c r="F126" i="1"/>
  <c r="C126" i="1"/>
  <c r="W125" i="1"/>
  <c r="O125" i="1"/>
  <c r="N125" i="1"/>
  <c r="M125" i="1"/>
  <c r="J125" i="1"/>
  <c r="H125" i="1"/>
  <c r="G125" i="1"/>
  <c r="F125" i="1"/>
  <c r="C125" i="1"/>
  <c r="W124" i="1"/>
  <c r="O124" i="1"/>
  <c r="N124" i="1"/>
  <c r="H124" i="1"/>
  <c r="G124" i="1"/>
  <c r="K124" i="1" s="1"/>
  <c r="F124" i="1"/>
  <c r="J124" i="1" s="1"/>
  <c r="M124" i="1" s="1"/>
  <c r="C124" i="1"/>
  <c r="W123" i="1"/>
  <c r="O123" i="1"/>
  <c r="N123" i="1"/>
  <c r="J123" i="1"/>
  <c r="M123" i="1" s="1"/>
  <c r="G123" i="1"/>
  <c r="F123" i="1"/>
  <c r="C123" i="1"/>
  <c r="H123" i="1" s="1"/>
  <c r="W122" i="1"/>
  <c r="O122" i="1"/>
  <c r="N122" i="1"/>
  <c r="J122" i="1"/>
  <c r="M122" i="1" s="1"/>
  <c r="H122" i="1"/>
  <c r="G122" i="1"/>
  <c r="F122" i="1"/>
  <c r="C122" i="1"/>
  <c r="W121" i="1"/>
  <c r="O121" i="1"/>
  <c r="N121" i="1"/>
  <c r="M121" i="1"/>
  <c r="J121" i="1"/>
  <c r="H121" i="1"/>
  <c r="G121" i="1"/>
  <c r="F121" i="1"/>
  <c r="C121" i="1"/>
  <c r="W120" i="1"/>
  <c r="O120" i="1"/>
  <c r="N120" i="1"/>
  <c r="H120" i="1"/>
  <c r="G120" i="1"/>
  <c r="K120" i="1" s="1"/>
  <c r="F120" i="1"/>
  <c r="J120" i="1" s="1"/>
  <c r="M120" i="1" s="1"/>
  <c r="C120" i="1"/>
  <c r="W119" i="1"/>
  <c r="O119" i="1"/>
  <c r="N119" i="1"/>
  <c r="J119" i="1"/>
  <c r="M119" i="1" s="1"/>
  <c r="G119" i="1"/>
  <c r="F119" i="1"/>
  <c r="C119" i="1"/>
  <c r="H119" i="1" s="1"/>
  <c r="W118" i="1"/>
  <c r="O118" i="1"/>
  <c r="N118" i="1"/>
  <c r="J118" i="1"/>
  <c r="M118" i="1" s="1"/>
  <c r="H118" i="1"/>
  <c r="G118" i="1"/>
  <c r="F118" i="1"/>
  <c r="C118" i="1"/>
  <c r="W117" i="1"/>
  <c r="O117" i="1"/>
  <c r="N117" i="1"/>
  <c r="M117" i="1"/>
  <c r="J117" i="1"/>
  <c r="H117" i="1"/>
  <c r="G117" i="1"/>
  <c r="F117" i="1"/>
  <c r="C117" i="1"/>
  <c r="W116" i="1"/>
  <c r="O116" i="1"/>
  <c r="N116" i="1"/>
  <c r="H116" i="1"/>
  <c r="G116" i="1"/>
  <c r="K116" i="1" s="1"/>
  <c r="F116" i="1"/>
  <c r="J116" i="1" s="1"/>
  <c r="M116" i="1" s="1"/>
  <c r="C116" i="1"/>
  <c r="W115" i="1"/>
  <c r="O115" i="1"/>
  <c r="N115" i="1"/>
  <c r="J115" i="1"/>
  <c r="M115" i="1" s="1"/>
  <c r="G115" i="1"/>
  <c r="F115" i="1"/>
  <c r="C115" i="1"/>
  <c r="H115" i="1" s="1"/>
  <c r="W114" i="1"/>
  <c r="O114" i="1"/>
  <c r="N114" i="1"/>
  <c r="J114" i="1"/>
  <c r="M114" i="1" s="1"/>
  <c r="H114" i="1"/>
  <c r="G114" i="1"/>
  <c r="F114" i="1"/>
  <c r="C114" i="1"/>
  <c r="W113" i="1"/>
  <c r="O113" i="1"/>
  <c r="N113" i="1"/>
  <c r="M113" i="1"/>
  <c r="J113" i="1"/>
  <c r="H113" i="1"/>
  <c r="G113" i="1"/>
  <c r="F113" i="1"/>
  <c r="C113" i="1"/>
  <c r="W112" i="1"/>
  <c r="O112" i="1"/>
  <c r="N112" i="1"/>
  <c r="H112" i="1"/>
  <c r="G112" i="1"/>
  <c r="K112" i="1" s="1"/>
  <c r="F112" i="1"/>
  <c r="J112" i="1" s="1"/>
  <c r="M112" i="1" s="1"/>
  <c r="C112" i="1"/>
  <c r="W111" i="1"/>
  <c r="O111" i="1"/>
  <c r="N111" i="1"/>
  <c r="J111" i="1"/>
  <c r="M111" i="1" s="1"/>
  <c r="G111" i="1"/>
  <c r="F111" i="1"/>
  <c r="C111" i="1"/>
  <c r="H111" i="1" s="1"/>
  <c r="W110" i="1"/>
  <c r="O110" i="1"/>
  <c r="N110" i="1"/>
  <c r="J110" i="1"/>
  <c r="M110" i="1" s="1"/>
  <c r="H110" i="1"/>
  <c r="G110" i="1"/>
  <c r="F110" i="1"/>
  <c r="C110" i="1"/>
  <c r="W109" i="1"/>
  <c r="O109" i="1"/>
  <c r="N109" i="1"/>
  <c r="M109" i="1"/>
  <c r="J109" i="1"/>
  <c r="H109" i="1"/>
  <c r="G109" i="1"/>
  <c r="F109" i="1"/>
  <c r="C109" i="1"/>
  <c r="W108" i="1"/>
  <c r="O108" i="1"/>
  <c r="N108" i="1"/>
  <c r="H108" i="1"/>
  <c r="G108" i="1"/>
  <c r="K108" i="1" s="1"/>
  <c r="F108" i="1"/>
  <c r="J108" i="1" s="1"/>
  <c r="M108" i="1" s="1"/>
  <c r="C108" i="1"/>
  <c r="W107" i="1"/>
  <c r="O107" i="1"/>
  <c r="N107" i="1"/>
  <c r="J107" i="1"/>
  <c r="M107" i="1" s="1"/>
  <c r="G107" i="1"/>
  <c r="F107" i="1"/>
  <c r="C107" i="1"/>
  <c r="H107" i="1" s="1"/>
  <c r="W106" i="1"/>
  <c r="O106" i="1"/>
  <c r="N106" i="1"/>
  <c r="J106" i="1"/>
  <c r="M106" i="1" s="1"/>
  <c r="H106" i="1"/>
  <c r="G106" i="1"/>
  <c r="F106" i="1"/>
  <c r="C106" i="1"/>
  <c r="W105" i="1"/>
  <c r="O105" i="1"/>
  <c r="N105" i="1"/>
  <c r="M105" i="1"/>
  <c r="J105" i="1"/>
  <c r="H105" i="1"/>
  <c r="G105" i="1"/>
  <c r="F105" i="1"/>
  <c r="C105" i="1"/>
  <c r="W104" i="1"/>
  <c r="O104" i="1"/>
  <c r="N104" i="1"/>
  <c r="H104" i="1"/>
  <c r="G104" i="1"/>
  <c r="K104" i="1" s="1"/>
  <c r="F104" i="1"/>
  <c r="J104" i="1" s="1"/>
  <c r="M104" i="1" s="1"/>
  <c r="C104" i="1"/>
  <c r="W103" i="1"/>
  <c r="O103" i="1"/>
  <c r="N103" i="1"/>
  <c r="J103" i="1"/>
  <c r="M103" i="1" s="1"/>
  <c r="G103" i="1"/>
  <c r="F103" i="1"/>
  <c r="C103" i="1"/>
  <c r="H103" i="1" s="1"/>
  <c r="W102" i="1"/>
  <c r="O102" i="1"/>
  <c r="N102" i="1"/>
  <c r="J102" i="1"/>
  <c r="M102" i="1" s="1"/>
  <c r="H102" i="1"/>
  <c r="G102" i="1"/>
  <c r="F102" i="1"/>
  <c r="C102" i="1"/>
  <c r="W101" i="1"/>
  <c r="O101" i="1"/>
  <c r="N101" i="1"/>
  <c r="M101" i="1"/>
  <c r="J101" i="1"/>
  <c r="H101" i="1"/>
  <c r="G101" i="1"/>
  <c r="F101" i="1"/>
  <c r="C101" i="1"/>
  <c r="W100" i="1"/>
  <c r="O100" i="1"/>
  <c r="N100" i="1"/>
  <c r="H100" i="1"/>
  <c r="G100" i="1"/>
  <c r="K100" i="1" s="1"/>
  <c r="F100" i="1"/>
  <c r="J100" i="1" s="1"/>
  <c r="M100" i="1" s="1"/>
  <c r="C100" i="1"/>
  <c r="W99" i="1"/>
  <c r="O99" i="1"/>
  <c r="N99" i="1"/>
  <c r="J99" i="1"/>
  <c r="M99" i="1" s="1"/>
  <c r="G99" i="1"/>
  <c r="F99" i="1"/>
  <c r="C99" i="1"/>
  <c r="H99" i="1" s="1"/>
  <c r="W98" i="1"/>
  <c r="O98" i="1"/>
  <c r="N98" i="1"/>
  <c r="J98" i="1"/>
  <c r="M98" i="1" s="1"/>
  <c r="H98" i="1"/>
  <c r="G98" i="1"/>
  <c r="F98" i="1"/>
  <c r="C98" i="1"/>
  <c r="W97" i="1"/>
  <c r="O97" i="1"/>
  <c r="N97" i="1"/>
  <c r="M97" i="1"/>
  <c r="J97" i="1"/>
  <c r="H97" i="1"/>
  <c r="G97" i="1"/>
  <c r="F97" i="1"/>
  <c r="C97" i="1"/>
  <c r="W96" i="1"/>
  <c r="O96" i="1"/>
  <c r="N96" i="1"/>
  <c r="H96" i="1"/>
  <c r="G96" i="1"/>
  <c r="K96" i="1" s="1"/>
  <c r="F96" i="1"/>
  <c r="J96" i="1" s="1"/>
  <c r="M96" i="1" s="1"/>
  <c r="C96" i="1"/>
  <c r="W95" i="1"/>
  <c r="O95" i="1"/>
  <c r="N95" i="1"/>
  <c r="J95" i="1"/>
  <c r="M95" i="1" s="1"/>
  <c r="G95" i="1"/>
  <c r="F95" i="1"/>
  <c r="C95" i="1"/>
  <c r="H95" i="1" s="1"/>
  <c r="W94" i="1"/>
  <c r="O94" i="1"/>
  <c r="N94" i="1"/>
  <c r="J94" i="1"/>
  <c r="M94" i="1" s="1"/>
  <c r="H94" i="1"/>
  <c r="G94" i="1"/>
  <c r="F94" i="1"/>
  <c r="C94" i="1"/>
  <c r="W93" i="1"/>
  <c r="O93" i="1"/>
  <c r="N93" i="1"/>
  <c r="M93" i="1"/>
  <c r="J93" i="1"/>
  <c r="H93" i="1"/>
  <c r="G93" i="1"/>
  <c r="F93" i="1"/>
  <c r="C93" i="1"/>
  <c r="W92" i="1"/>
  <c r="O92" i="1"/>
  <c r="N92" i="1"/>
  <c r="H92" i="1"/>
  <c r="G92" i="1"/>
  <c r="K92" i="1" s="1"/>
  <c r="F92" i="1"/>
  <c r="J92" i="1" s="1"/>
  <c r="M92" i="1" s="1"/>
  <c r="C92" i="1"/>
  <c r="W91" i="1"/>
  <c r="O91" i="1"/>
  <c r="N91" i="1"/>
  <c r="J91" i="1"/>
  <c r="M91" i="1" s="1"/>
  <c r="G91" i="1"/>
  <c r="F91" i="1"/>
  <c r="C91" i="1"/>
  <c r="H91" i="1" s="1"/>
  <c r="W90" i="1"/>
  <c r="O90" i="1"/>
  <c r="N90" i="1"/>
  <c r="J90" i="1"/>
  <c r="M90" i="1" s="1"/>
  <c r="H90" i="1"/>
  <c r="G90" i="1"/>
  <c r="F90" i="1"/>
  <c r="C90" i="1"/>
  <c r="W89" i="1"/>
  <c r="O89" i="1"/>
  <c r="N89" i="1"/>
  <c r="M89" i="1"/>
  <c r="J89" i="1"/>
  <c r="H89" i="1"/>
  <c r="G89" i="1"/>
  <c r="F89" i="1"/>
  <c r="C89" i="1"/>
  <c r="W88" i="1"/>
  <c r="O88" i="1"/>
  <c r="N88" i="1"/>
  <c r="H88" i="1"/>
  <c r="G88" i="1"/>
  <c r="K88" i="1" s="1"/>
  <c r="F88" i="1"/>
  <c r="J88" i="1" s="1"/>
  <c r="M88" i="1" s="1"/>
  <c r="C88" i="1"/>
  <c r="W87" i="1"/>
  <c r="O87" i="1"/>
  <c r="N87" i="1"/>
  <c r="J87" i="1"/>
  <c r="M87" i="1" s="1"/>
  <c r="G87" i="1"/>
  <c r="F87" i="1"/>
  <c r="C87" i="1"/>
  <c r="H87" i="1" s="1"/>
  <c r="W86" i="1"/>
  <c r="O86" i="1"/>
  <c r="N86" i="1"/>
  <c r="J86" i="1"/>
  <c r="M86" i="1" s="1"/>
  <c r="H86" i="1"/>
  <c r="G86" i="1"/>
  <c r="F86" i="1"/>
  <c r="C86" i="1"/>
  <c r="W85" i="1"/>
  <c r="O85" i="1"/>
  <c r="N85" i="1"/>
  <c r="M85" i="1"/>
  <c r="J85" i="1"/>
  <c r="H85" i="1"/>
  <c r="G85" i="1"/>
  <c r="F85" i="1"/>
  <c r="C85" i="1"/>
  <c r="W84" i="1"/>
  <c r="O84" i="1"/>
  <c r="N84" i="1"/>
  <c r="H84" i="1"/>
  <c r="G84" i="1"/>
  <c r="K84" i="1" s="1"/>
  <c r="F84" i="1"/>
  <c r="J84" i="1" s="1"/>
  <c r="M84" i="1" s="1"/>
  <c r="C84" i="1"/>
  <c r="W83" i="1"/>
  <c r="O83" i="1"/>
  <c r="N83" i="1"/>
  <c r="J83" i="1"/>
  <c r="M83" i="1" s="1"/>
  <c r="G83" i="1"/>
  <c r="F83" i="1"/>
  <c r="C83" i="1"/>
  <c r="H83" i="1" s="1"/>
  <c r="W82" i="1"/>
  <c r="O82" i="1"/>
  <c r="N82" i="1"/>
  <c r="J82" i="1"/>
  <c r="M82" i="1" s="1"/>
  <c r="H82" i="1"/>
  <c r="G82" i="1"/>
  <c r="F82" i="1"/>
  <c r="C82" i="1"/>
  <c r="W81" i="1"/>
  <c r="O81" i="1"/>
  <c r="N81" i="1"/>
  <c r="M81" i="1"/>
  <c r="J81" i="1"/>
  <c r="H81" i="1"/>
  <c r="G81" i="1"/>
  <c r="F81" i="1"/>
  <c r="C81" i="1"/>
  <c r="W80" i="1"/>
  <c r="O80" i="1"/>
  <c r="N80" i="1"/>
  <c r="H80" i="1"/>
  <c r="G80" i="1"/>
  <c r="K80" i="1" s="1"/>
  <c r="F80" i="1"/>
  <c r="J80" i="1" s="1"/>
  <c r="M80" i="1" s="1"/>
  <c r="C80" i="1"/>
  <c r="W79" i="1"/>
  <c r="O79" i="1"/>
  <c r="N79" i="1"/>
  <c r="J79" i="1"/>
  <c r="M79" i="1" s="1"/>
  <c r="G79" i="1"/>
  <c r="F79" i="1"/>
  <c r="C79" i="1"/>
  <c r="H79" i="1" s="1"/>
  <c r="W78" i="1"/>
  <c r="O78" i="1"/>
  <c r="N78" i="1"/>
  <c r="J78" i="1"/>
  <c r="M78" i="1" s="1"/>
  <c r="H78" i="1"/>
  <c r="G78" i="1"/>
  <c r="F78" i="1"/>
  <c r="C78" i="1"/>
  <c r="W77" i="1"/>
  <c r="O77" i="1"/>
  <c r="N77" i="1"/>
  <c r="M77" i="1"/>
  <c r="J77" i="1"/>
  <c r="H77" i="1"/>
  <c r="G77" i="1"/>
  <c r="F77" i="1"/>
  <c r="C77" i="1"/>
  <c r="W76" i="1"/>
  <c r="O76" i="1"/>
  <c r="N76" i="1"/>
  <c r="H76" i="1"/>
  <c r="G76" i="1"/>
  <c r="K76" i="1" s="1"/>
  <c r="F76" i="1"/>
  <c r="J76" i="1" s="1"/>
  <c r="M76" i="1" s="1"/>
  <c r="C76" i="1"/>
  <c r="W75" i="1"/>
  <c r="O75" i="1"/>
  <c r="N75" i="1"/>
  <c r="J75" i="1"/>
  <c r="M75" i="1" s="1"/>
  <c r="G75" i="1"/>
  <c r="F75" i="1"/>
  <c r="C75" i="1"/>
  <c r="H75" i="1" s="1"/>
  <c r="W74" i="1"/>
  <c r="O74" i="1"/>
  <c r="N74" i="1"/>
  <c r="J74" i="1"/>
  <c r="M74" i="1" s="1"/>
  <c r="H74" i="1"/>
  <c r="G74" i="1"/>
  <c r="F74" i="1"/>
  <c r="C74" i="1"/>
  <c r="W73" i="1"/>
  <c r="O73" i="1"/>
  <c r="N73" i="1"/>
  <c r="J73" i="1"/>
  <c r="M73" i="1" s="1"/>
  <c r="H73" i="1"/>
  <c r="G73" i="1"/>
  <c r="F73" i="1"/>
  <c r="C73" i="1"/>
  <c r="W72" i="1"/>
  <c r="O72" i="1"/>
  <c r="N72" i="1"/>
  <c r="H72" i="1"/>
  <c r="G72" i="1"/>
  <c r="K72" i="1" s="1"/>
  <c r="F72" i="1"/>
  <c r="J72" i="1" s="1"/>
  <c r="M72" i="1" s="1"/>
  <c r="C72" i="1"/>
  <c r="W71" i="1"/>
  <c r="O71" i="1"/>
  <c r="N71" i="1"/>
  <c r="J71" i="1"/>
  <c r="M71" i="1" s="1"/>
  <c r="G71" i="1"/>
  <c r="F71" i="1"/>
  <c r="C71" i="1"/>
  <c r="H71" i="1" s="1"/>
  <c r="W70" i="1"/>
  <c r="O70" i="1"/>
  <c r="N70" i="1"/>
  <c r="K70" i="1"/>
  <c r="H70" i="1"/>
  <c r="G70" i="1"/>
  <c r="F70" i="1"/>
  <c r="J70" i="1" s="1"/>
  <c r="M70" i="1" s="1"/>
  <c r="C70" i="1"/>
  <c r="W69" i="1"/>
  <c r="O69" i="1"/>
  <c r="N69" i="1"/>
  <c r="J69" i="1"/>
  <c r="M69" i="1" s="1"/>
  <c r="H69" i="1"/>
  <c r="G69" i="1"/>
  <c r="F69" i="1"/>
  <c r="C69" i="1"/>
  <c r="W68" i="1"/>
  <c r="O68" i="1"/>
  <c r="N68" i="1"/>
  <c r="H68" i="1"/>
  <c r="G68" i="1"/>
  <c r="F68" i="1"/>
  <c r="J68" i="1" s="1"/>
  <c r="M68" i="1" s="1"/>
  <c r="C68" i="1"/>
  <c r="W67" i="1"/>
  <c r="O67" i="1"/>
  <c r="N67" i="1"/>
  <c r="J67" i="1"/>
  <c r="M67" i="1" s="1"/>
  <c r="H67" i="1"/>
  <c r="G67" i="1"/>
  <c r="F67" i="1"/>
  <c r="C67" i="1"/>
  <c r="W66" i="1"/>
  <c r="O66" i="1"/>
  <c r="N66" i="1"/>
  <c r="M66" i="1"/>
  <c r="J66" i="1"/>
  <c r="H66" i="1"/>
  <c r="G66" i="1"/>
  <c r="K66" i="1" s="1"/>
  <c r="F66" i="1"/>
  <c r="C66" i="1"/>
  <c r="W65" i="1"/>
  <c r="O65" i="1"/>
  <c r="N65" i="1"/>
  <c r="K65" i="1"/>
  <c r="H65" i="1"/>
  <c r="G65" i="1"/>
  <c r="F65" i="1"/>
  <c r="J65" i="1" s="1"/>
  <c r="M65" i="1" s="1"/>
  <c r="P65" i="1" s="1"/>
  <c r="C65" i="1"/>
  <c r="W64" i="1"/>
  <c r="O64" i="1"/>
  <c r="N64" i="1"/>
  <c r="J64" i="1"/>
  <c r="M64" i="1" s="1"/>
  <c r="G64" i="1"/>
  <c r="F64" i="1"/>
  <c r="C64" i="1"/>
  <c r="H64" i="1" s="1"/>
  <c r="W63" i="1"/>
  <c r="O63" i="1"/>
  <c r="N63" i="1"/>
  <c r="J63" i="1"/>
  <c r="M63" i="1" s="1"/>
  <c r="H63" i="1"/>
  <c r="G63" i="1"/>
  <c r="F63" i="1"/>
  <c r="C63" i="1"/>
  <c r="W62" i="1"/>
  <c r="O62" i="1"/>
  <c r="N62" i="1"/>
  <c r="M62" i="1"/>
  <c r="J62" i="1"/>
  <c r="H62" i="1"/>
  <c r="G62" i="1"/>
  <c r="F62" i="1"/>
  <c r="C62" i="1"/>
  <c r="W61" i="1"/>
  <c r="O61" i="1"/>
  <c r="N61" i="1"/>
  <c r="K61" i="1"/>
  <c r="H61" i="1"/>
  <c r="G61" i="1"/>
  <c r="F61" i="1"/>
  <c r="J61" i="1" s="1"/>
  <c r="M61" i="1" s="1"/>
  <c r="C61" i="1"/>
  <c r="W60" i="1"/>
  <c r="O60" i="1"/>
  <c r="N60" i="1"/>
  <c r="J60" i="1"/>
  <c r="M60" i="1" s="1"/>
  <c r="G60" i="1"/>
  <c r="F60" i="1"/>
  <c r="C60" i="1"/>
  <c r="H60" i="1" s="1"/>
  <c r="W59" i="1"/>
  <c r="O59" i="1"/>
  <c r="N59" i="1"/>
  <c r="J59" i="1"/>
  <c r="M59" i="1" s="1"/>
  <c r="H59" i="1"/>
  <c r="G59" i="1"/>
  <c r="F59" i="1"/>
  <c r="C59" i="1"/>
  <c r="W58" i="1"/>
  <c r="O58" i="1"/>
  <c r="N58" i="1"/>
  <c r="M58" i="1"/>
  <c r="J58" i="1"/>
  <c r="H58" i="1"/>
  <c r="G58" i="1"/>
  <c r="F58" i="1"/>
  <c r="C58" i="1"/>
  <c r="W57" i="1"/>
  <c r="O57" i="1"/>
  <c r="N57" i="1"/>
  <c r="H57" i="1"/>
  <c r="G57" i="1"/>
  <c r="F57" i="1"/>
  <c r="J57" i="1" s="1"/>
  <c r="M57" i="1" s="1"/>
  <c r="C57" i="1"/>
  <c r="W56" i="1"/>
  <c r="O56" i="1"/>
  <c r="N56" i="1"/>
  <c r="J56" i="1"/>
  <c r="M56" i="1" s="1"/>
  <c r="G56" i="1"/>
  <c r="F56" i="1"/>
  <c r="C56" i="1"/>
  <c r="H56" i="1" s="1"/>
  <c r="W55" i="1"/>
  <c r="O55" i="1"/>
  <c r="N55" i="1"/>
  <c r="J55" i="1"/>
  <c r="M55" i="1" s="1"/>
  <c r="H55" i="1"/>
  <c r="G55" i="1"/>
  <c r="F55" i="1"/>
  <c r="C55" i="1"/>
  <c r="W54" i="1"/>
  <c r="O54" i="1"/>
  <c r="N54" i="1"/>
  <c r="M54" i="1"/>
  <c r="J54" i="1"/>
  <c r="H54" i="1"/>
  <c r="G54" i="1"/>
  <c r="K54" i="1" s="1"/>
  <c r="F54" i="1"/>
  <c r="C54" i="1"/>
  <c r="W53" i="1"/>
  <c r="O53" i="1"/>
  <c r="N53" i="1"/>
  <c r="H53" i="1"/>
  <c r="G53" i="1"/>
  <c r="F53" i="1"/>
  <c r="J53" i="1" s="1"/>
  <c r="M53" i="1" s="1"/>
  <c r="C53" i="1"/>
  <c r="W52" i="1"/>
  <c r="O52" i="1"/>
  <c r="N52" i="1"/>
  <c r="J52" i="1"/>
  <c r="M52" i="1" s="1"/>
  <c r="G52" i="1"/>
  <c r="F52" i="1"/>
  <c r="C52" i="1"/>
  <c r="H52" i="1" s="1"/>
  <c r="W51" i="1"/>
  <c r="O51" i="1"/>
  <c r="N51" i="1"/>
  <c r="J51" i="1"/>
  <c r="M51" i="1" s="1"/>
  <c r="H51" i="1"/>
  <c r="G51" i="1"/>
  <c r="F51" i="1"/>
  <c r="C51" i="1"/>
  <c r="W50" i="1"/>
  <c r="O50" i="1"/>
  <c r="N50" i="1"/>
  <c r="M50" i="1"/>
  <c r="J50" i="1"/>
  <c r="H50" i="1"/>
  <c r="G50" i="1"/>
  <c r="K50" i="1" s="1"/>
  <c r="P50" i="1" s="1"/>
  <c r="F50" i="1"/>
  <c r="C50" i="1"/>
  <c r="W49" i="1"/>
  <c r="P49" i="1"/>
  <c r="O49" i="1"/>
  <c r="N49" i="1"/>
  <c r="K49" i="1"/>
  <c r="H49" i="1"/>
  <c r="G49" i="1"/>
  <c r="F49" i="1"/>
  <c r="J49" i="1" s="1"/>
  <c r="M49" i="1" s="1"/>
  <c r="C49" i="1"/>
  <c r="W48" i="1"/>
  <c r="O48" i="1"/>
  <c r="N48" i="1"/>
  <c r="J48" i="1"/>
  <c r="M48" i="1" s="1"/>
  <c r="G48" i="1"/>
  <c r="F48" i="1"/>
  <c r="C48" i="1"/>
  <c r="H48" i="1" s="1"/>
  <c r="W47" i="1"/>
  <c r="O47" i="1"/>
  <c r="N47" i="1"/>
  <c r="J47" i="1"/>
  <c r="M47" i="1" s="1"/>
  <c r="H47" i="1"/>
  <c r="G47" i="1"/>
  <c r="F47" i="1"/>
  <c r="C47" i="1"/>
  <c r="W46" i="1"/>
  <c r="O46" i="1"/>
  <c r="N46" i="1"/>
  <c r="M46" i="1"/>
  <c r="J46" i="1"/>
  <c r="H46" i="1"/>
  <c r="G46" i="1"/>
  <c r="F46" i="1"/>
  <c r="C46" i="1"/>
  <c r="W45" i="1"/>
  <c r="O45" i="1"/>
  <c r="N45" i="1"/>
  <c r="K45" i="1"/>
  <c r="H45" i="1"/>
  <c r="G45" i="1"/>
  <c r="F45" i="1"/>
  <c r="J45" i="1" s="1"/>
  <c r="M45" i="1" s="1"/>
  <c r="C45" i="1"/>
  <c r="W44" i="1"/>
  <c r="O44" i="1"/>
  <c r="N44" i="1"/>
  <c r="J44" i="1"/>
  <c r="M44" i="1" s="1"/>
  <c r="G44" i="1"/>
  <c r="F44" i="1"/>
  <c r="C44" i="1"/>
  <c r="H44" i="1" s="1"/>
  <c r="W43" i="1"/>
  <c r="O43" i="1"/>
  <c r="N43" i="1"/>
  <c r="J43" i="1"/>
  <c r="M43" i="1" s="1"/>
  <c r="H43" i="1"/>
  <c r="G43" i="1"/>
  <c r="F43" i="1"/>
  <c r="C43" i="1"/>
  <c r="W42" i="1"/>
  <c r="O42" i="1"/>
  <c r="N42" i="1"/>
  <c r="M42" i="1"/>
  <c r="J42" i="1"/>
  <c r="H42" i="1"/>
  <c r="G42" i="1"/>
  <c r="F42" i="1"/>
  <c r="C42" i="1"/>
  <c r="W41" i="1"/>
  <c r="O41" i="1"/>
  <c r="N41" i="1"/>
  <c r="H41" i="1"/>
  <c r="G41" i="1"/>
  <c r="F41" i="1"/>
  <c r="J41" i="1" s="1"/>
  <c r="M41" i="1" s="1"/>
  <c r="C41" i="1"/>
  <c r="W40" i="1"/>
  <c r="O40" i="1"/>
  <c r="N40" i="1"/>
  <c r="J40" i="1"/>
  <c r="M40" i="1" s="1"/>
  <c r="G40" i="1"/>
  <c r="F40" i="1"/>
  <c r="C40" i="1"/>
  <c r="H40" i="1" s="1"/>
  <c r="W39" i="1"/>
  <c r="O39" i="1"/>
  <c r="N39" i="1"/>
  <c r="J39" i="1"/>
  <c r="M39" i="1" s="1"/>
  <c r="H39" i="1"/>
  <c r="G39" i="1"/>
  <c r="F39" i="1"/>
  <c r="C39" i="1"/>
  <c r="W38" i="1"/>
  <c r="O38" i="1"/>
  <c r="N38" i="1"/>
  <c r="M38" i="1"/>
  <c r="J38" i="1"/>
  <c r="H38" i="1"/>
  <c r="G38" i="1"/>
  <c r="K38" i="1" s="1"/>
  <c r="F38" i="1"/>
  <c r="C38" i="1"/>
  <c r="W37" i="1"/>
  <c r="O37" i="1"/>
  <c r="N37" i="1"/>
  <c r="H37" i="1"/>
  <c r="G37" i="1"/>
  <c r="F37" i="1"/>
  <c r="J37" i="1" s="1"/>
  <c r="M37" i="1" s="1"/>
  <c r="C37" i="1"/>
  <c r="W36" i="1"/>
  <c r="O36" i="1"/>
  <c r="N36" i="1"/>
  <c r="J36" i="1"/>
  <c r="M36" i="1" s="1"/>
  <c r="G36" i="1"/>
  <c r="F36" i="1"/>
  <c r="C36" i="1"/>
  <c r="H36" i="1" s="1"/>
  <c r="W35" i="1"/>
  <c r="O35" i="1"/>
  <c r="N35" i="1"/>
  <c r="J35" i="1"/>
  <c r="M35" i="1" s="1"/>
  <c r="H35" i="1"/>
  <c r="G35" i="1"/>
  <c r="F35" i="1"/>
  <c r="C35" i="1"/>
  <c r="W34" i="1"/>
  <c r="O34" i="1"/>
  <c r="N34" i="1"/>
  <c r="M34" i="1"/>
  <c r="J34" i="1"/>
  <c r="H34" i="1"/>
  <c r="G34" i="1"/>
  <c r="K34" i="1" s="1"/>
  <c r="F34" i="1"/>
  <c r="C34" i="1"/>
  <c r="W33" i="1"/>
  <c r="P33" i="1"/>
  <c r="O33" i="1"/>
  <c r="N33" i="1"/>
  <c r="K33" i="1"/>
  <c r="H33" i="1"/>
  <c r="G33" i="1"/>
  <c r="F33" i="1"/>
  <c r="J33" i="1" s="1"/>
  <c r="M33" i="1" s="1"/>
  <c r="C33" i="1"/>
  <c r="W32" i="1"/>
  <c r="O32" i="1"/>
  <c r="N32" i="1"/>
  <c r="J32" i="1"/>
  <c r="M32" i="1" s="1"/>
  <c r="G32" i="1"/>
  <c r="F32" i="1"/>
  <c r="C32" i="1"/>
  <c r="H32" i="1" s="1"/>
  <c r="Z31" i="1"/>
  <c r="W31" i="1"/>
  <c r="O31" i="1"/>
  <c r="N31" i="1"/>
  <c r="J31" i="1"/>
  <c r="M31" i="1" s="1"/>
  <c r="G31" i="1"/>
  <c r="F31" i="1"/>
  <c r="C31" i="1"/>
  <c r="H31" i="1" s="1"/>
  <c r="Z30" i="1"/>
  <c r="W30" i="1"/>
  <c r="O30" i="1"/>
  <c r="N30" i="1"/>
  <c r="J30" i="1"/>
  <c r="M30" i="1" s="1"/>
  <c r="G30" i="1"/>
  <c r="F30" i="1"/>
  <c r="C30" i="1"/>
  <c r="H30" i="1" s="1"/>
  <c r="Z29" i="1"/>
  <c r="W29" i="1"/>
  <c r="O29" i="1"/>
  <c r="N29" i="1"/>
  <c r="J29" i="1"/>
  <c r="M29" i="1" s="1"/>
  <c r="G29" i="1"/>
  <c r="F29" i="1"/>
  <c r="C29" i="1"/>
  <c r="H29" i="1" s="1"/>
  <c r="Z28" i="1"/>
  <c r="W28" i="1"/>
  <c r="O28" i="1"/>
  <c r="N28" i="1"/>
  <c r="J28" i="1"/>
  <c r="M28" i="1" s="1"/>
  <c r="G28" i="1"/>
  <c r="F28" i="1"/>
  <c r="C28" i="1"/>
  <c r="H28" i="1" s="1"/>
  <c r="Z27" i="1"/>
  <c r="W27" i="1"/>
  <c r="O27" i="1"/>
  <c r="N27" i="1"/>
  <c r="J27" i="1"/>
  <c r="M27" i="1" s="1"/>
  <c r="G27" i="1"/>
  <c r="F27" i="1"/>
  <c r="C27" i="1"/>
  <c r="H27" i="1" s="1"/>
  <c r="Z26" i="1"/>
  <c r="W26" i="1"/>
  <c r="O26" i="1"/>
  <c r="N26" i="1"/>
  <c r="J26" i="1"/>
  <c r="M26" i="1" s="1"/>
  <c r="G26" i="1"/>
  <c r="F26" i="1"/>
  <c r="C26" i="1"/>
  <c r="H26" i="1" s="1"/>
  <c r="Z25" i="1"/>
  <c r="W25" i="1"/>
  <c r="O25" i="1"/>
  <c r="N25" i="1"/>
  <c r="J25" i="1"/>
  <c r="M25" i="1" s="1"/>
  <c r="G25" i="1"/>
  <c r="F25" i="1"/>
  <c r="C25" i="1"/>
  <c r="H25" i="1" s="1"/>
  <c r="Z24" i="1"/>
  <c r="W24" i="1"/>
  <c r="O24" i="1"/>
  <c r="N24" i="1"/>
  <c r="J24" i="1"/>
  <c r="M24" i="1" s="1"/>
  <c r="G24" i="1"/>
  <c r="F24" i="1"/>
  <c r="C24" i="1"/>
  <c r="H24" i="1" s="1"/>
  <c r="Z23" i="1"/>
  <c r="W23" i="1"/>
  <c r="O23" i="1"/>
  <c r="N23" i="1"/>
  <c r="K23" i="1"/>
  <c r="G23" i="1"/>
  <c r="F23" i="1"/>
  <c r="J23" i="1" s="1"/>
  <c r="M23" i="1" s="1"/>
  <c r="C23" i="1"/>
  <c r="H23" i="1" s="1"/>
  <c r="Z22" i="1"/>
  <c r="W22" i="1"/>
  <c r="O22" i="1"/>
  <c r="N22" i="1"/>
  <c r="J22" i="1"/>
  <c r="M22" i="1" s="1"/>
  <c r="G22" i="1"/>
  <c r="F22" i="1"/>
  <c r="C22" i="1"/>
  <c r="H22" i="1" s="1"/>
  <c r="Z21" i="1"/>
  <c r="W21" i="1"/>
  <c r="O21" i="1"/>
  <c r="N21" i="1"/>
  <c r="K21" i="1"/>
  <c r="G21" i="1"/>
  <c r="F21" i="1"/>
  <c r="J21" i="1" s="1"/>
  <c r="M21" i="1" s="1"/>
  <c r="C21" i="1"/>
  <c r="H21" i="1" s="1"/>
  <c r="Z20" i="1"/>
  <c r="W20" i="1"/>
  <c r="O20" i="1"/>
  <c r="N20" i="1"/>
  <c r="J20" i="1"/>
  <c r="M20" i="1" s="1"/>
  <c r="G20" i="1"/>
  <c r="F20" i="1"/>
  <c r="C20" i="1"/>
  <c r="H20" i="1" s="1"/>
  <c r="Z19" i="1"/>
  <c r="W19" i="1"/>
  <c r="O19" i="1"/>
  <c r="N19" i="1"/>
  <c r="K19" i="1"/>
  <c r="G19" i="1"/>
  <c r="F19" i="1"/>
  <c r="J19" i="1" s="1"/>
  <c r="M19" i="1" s="1"/>
  <c r="C19" i="1"/>
  <c r="H19" i="1" s="1"/>
  <c r="Z18" i="1"/>
  <c r="W18" i="1"/>
  <c r="O18" i="1"/>
  <c r="N18" i="1"/>
  <c r="J18" i="1"/>
  <c r="M18" i="1" s="1"/>
  <c r="G18" i="1"/>
  <c r="F18" i="1"/>
  <c r="C18" i="1"/>
  <c r="H18" i="1" s="1"/>
  <c r="Z17" i="1"/>
  <c r="W17" i="1"/>
  <c r="O17" i="1"/>
  <c r="N17" i="1"/>
  <c r="K17" i="1"/>
  <c r="G17" i="1"/>
  <c r="F17" i="1"/>
  <c r="J17" i="1" s="1"/>
  <c r="M17" i="1" s="1"/>
  <c r="C17" i="1"/>
  <c r="H17" i="1" s="1"/>
  <c r="Z16" i="1"/>
  <c r="W16" i="1"/>
  <c r="O16" i="1"/>
  <c r="N16" i="1"/>
  <c r="J16" i="1"/>
  <c r="M16" i="1" s="1"/>
  <c r="G16" i="1"/>
  <c r="F16" i="1"/>
  <c r="C16" i="1"/>
  <c r="H16" i="1" s="1"/>
  <c r="Z15" i="1"/>
  <c r="W15" i="1"/>
  <c r="O15" i="1"/>
  <c r="N15" i="1"/>
  <c r="K15" i="1"/>
  <c r="G15" i="1"/>
  <c r="F15" i="1"/>
  <c r="J15" i="1" s="1"/>
  <c r="M15" i="1" s="1"/>
  <c r="C15" i="1"/>
  <c r="H15" i="1" s="1"/>
  <c r="Z14" i="1"/>
  <c r="W14" i="1"/>
  <c r="O14" i="1"/>
  <c r="N14" i="1"/>
  <c r="J14" i="1"/>
  <c r="M14" i="1" s="1"/>
  <c r="G14" i="1"/>
  <c r="F14" i="1"/>
  <c r="C14" i="1"/>
  <c r="H14" i="1" s="1"/>
  <c r="Z13" i="1"/>
  <c r="W13" i="1"/>
  <c r="O13" i="1"/>
  <c r="N13" i="1"/>
  <c r="K13" i="1"/>
  <c r="G13" i="1"/>
  <c r="F13" i="1"/>
  <c r="J13" i="1" s="1"/>
  <c r="M13" i="1" s="1"/>
  <c r="C13" i="1"/>
  <c r="H13" i="1" s="1"/>
  <c r="Z12" i="1"/>
  <c r="W12" i="1"/>
  <c r="O12" i="1"/>
  <c r="N12" i="1"/>
  <c r="K12" i="1"/>
  <c r="P12" i="1" s="1"/>
  <c r="H12" i="1"/>
  <c r="G12" i="1"/>
  <c r="F12" i="1"/>
  <c r="J12" i="1" s="1"/>
  <c r="M12" i="1" s="1"/>
  <c r="C12" i="1"/>
  <c r="Z11" i="1"/>
  <c r="W11" i="1"/>
  <c r="O11" i="1"/>
  <c r="N11" i="1"/>
  <c r="M11" i="1"/>
  <c r="J11" i="1"/>
  <c r="H11" i="1"/>
  <c r="G11" i="1"/>
  <c r="K11" i="1" s="1"/>
  <c r="F11" i="1"/>
  <c r="C11" i="1"/>
  <c r="Z10" i="1"/>
  <c r="W10" i="1"/>
  <c r="O10" i="1"/>
  <c r="N10" i="1"/>
  <c r="M10" i="1"/>
  <c r="J10" i="1"/>
  <c r="H10" i="1"/>
  <c r="G10" i="1"/>
  <c r="F10" i="1"/>
  <c r="C10" i="1"/>
  <c r="Z9" i="1"/>
  <c r="W9" i="1"/>
  <c r="O9" i="1"/>
  <c r="N9" i="1"/>
  <c r="M9" i="1"/>
  <c r="J9" i="1"/>
  <c r="H9" i="1"/>
  <c r="G9" i="1"/>
  <c r="K9" i="1" s="1"/>
  <c r="F9" i="1"/>
  <c r="C9" i="1"/>
  <c r="Z8" i="1"/>
  <c r="W8" i="1"/>
  <c r="O8" i="1"/>
  <c r="N8" i="1"/>
  <c r="M8" i="1"/>
  <c r="J8" i="1"/>
  <c r="H8" i="1"/>
  <c r="G8" i="1"/>
  <c r="F8" i="1"/>
  <c r="C8" i="1"/>
  <c r="AC7" i="1"/>
  <c r="AC11" i="1" s="1"/>
  <c r="AC12" i="1" s="1"/>
  <c r="Z7" i="1"/>
  <c r="W7" i="1"/>
  <c r="O7" i="1"/>
  <c r="N7" i="1"/>
  <c r="J7" i="1"/>
  <c r="M7" i="1" s="1"/>
  <c r="G7" i="1"/>
  <c r="F7" i="1"/>
  <c r="C7" i="1"/>
  <c r="H7" i="1" s="1"/>
  <c r="Z6" i="1"/>
  <c r="W6" i="1"/>
  <c r="O6" i="1"/>
  <c r="N6" i="1"/>
  <c r="J6" i="1"/>
  <c r="M6" i="1" s="1"/>
  <c r="H6" i="1"/>
  <c r="G6" i="1"/>
  <c r="F6" i="1"/>
  <c r="C6" i="1"/>
  <c r="Z5" i="1"/>
  <c r="W5" i="1"/>
  <c r="O5" i="1"/>
  <c r="N5" i="1"/>
  <c r="J5" i="1"/>
  <c r="M5" i="1" s="1"/>
  <c r="H5" i="1"/>
  <c r="G5" i="1"/>
  <c r="F5" i="1"/>
  <c r="C5" i="1"/>
  <c r="Z4" i="1"/>
  <c r="W4" i="1"/>
  <c r="O4" i="1"/>
  <c r="N4" i="1"/>
  <c r="J4" i="1"/>
  <c r="M4" i="1" s="1"/>
  <c r="G4" i="1"/>
  <c r="F4" i="1"/>
  <c r="C4" i="1"/>
  <c r="H4" i="1" s="1"/>
  <c r="S2" i="1"/>
  <c r="N2" i="1" s="1"/>
  <c r="K219" i="1" s="1"/>
  <c r="P219" i="1" s="1"/>
  <c r="P232" i="1" l="1"/>
  <c r="P264" i="1"/>
  <c r="P61" i="1"/>
  <c r="P13" i="1"/>
  <c r="P21" i="1"/>
  <c r="P15" i="1"/>
  <c r="P17" i="1"/>
  <c r="P19" i="1"/>
  <c r="P23" i="1"/>
  <c r="P66" i="1"/>
  <c r="P140" i="1"/>
  <c r="P142" i="1"/>
  <c r="P154" i="1"/>
  <c r="P213" i="1"/>
  <c r="R225" i="1"/>
  <c r="P34" i="1"/>
  <c r="P45" i="1"/>
  <c r="P70" i="1"/>
  <c r="P146" i="1"/>
  <c r="P148" i="1"/>
  <c r="P150" i="1"/>
  <c r="P76" i="1"/>
  <c r="P80" i="1"/>
  <c r="P88" i="1"/>
  <c r="P96" i="1"/>
  <c r="P104" i="1"/>
  <c r="P112" i="1"/>
  <c r="P116" i="1"/>
  <c r="P124" i="1"/>
  <c r="P128" i="1"/>
  <c r="P156" i="1"/>
  <c r="P180" i="1"/>
  <c r="L71" i="3"/>
  <c r="P9" i="1"/>
  <c r="P54" i="1"/>
  <c r="P72" i="1"/>
  <c r="K136" i="1"/>
  <c r="P136" i="1" s="1"/>
  <c r="K137" i="1"/>
  <c r="P137" i="1" s="1"/>
  <c r="K138" i="1"/>
  <c r="P138" i="1" s="1"/>
  <c r="K158" i="1"/>
  <c r="P158" i="1" s="1"/>
  <c r="K166" i="1"/>
  <c r="P166" i="1" s="1"/>
  <c r="K174" i="1"/>
  <c r="P174" i="1" s="1"/>
  <c r="K182" i="1"/>
  <c r="P182" i="1" s="1"/>
  <c r="K190" i="1"/>
  <c r="P190" i="1" s="1"/>
  <c r="K198" i="1"/>
  <c r="P198" i="1" s="1"/>
  <c r="K224" i="1"/>
  <c r="P224" i="1" s="1"/>
  <c r="K256" i="1"/>
  <c r="P256" i="1" s="1"/>
  <c r="K288" i="1"/>
  <c r="P288" i="1" s="1"/>
  <c r="L46" i="3"/>
  <c r="L49" i="3"/>
  <c r="L214" i="3"/>
  <c r="L215" i="3"/>
  <c r="K14" i="1"/>
  <c r="P14" i="1" s="1"/>
  <c r="K16" i="1"/>
  <c r="P16" i="1" s="1"/>
  <c r="K18" i="1"/>
  <c r="P18" i="1" s="1"/>
  <c r="K20" i="1"/>
  <c r="P20" i="1" s="1"/>
  <c r="K22" i="1"/>
  <c r="P22" i="1" s="1"/>
  <c r="K37" i="1"/>
  <c r="P37" i="1" s="1"/>
  <c r="K42" i="1"/>
  <c r="P42" i="1" s="1"/>
  <c r="K53" i="1"/>
  <c r="P53" i="1" s="1"/>
  <c r="K58" i="1"/>
  <c r="P58" i="1" s="1"/>
  <c r="K69" i="1"/>
  <c r="P69" i="1" s="1"/>
  <c r="K135" i="1"/>
  <c r="P135" i="1" s="1"/>
  <c r="K143" i="1"/>
  <c r="P143" i="1" s="1"/>
  <c r="K144" i="1"/>
  <c r="P144" i="1" s="1"/>
  <c r="K151" i="1"/>
  <c r="P151" i="1" s="1"/>
  <c r="K152" i="1"/>
  <c r="P152" i="1" s="1"/>
  <c r="K160" i="1"/>
  <c r="P160" i="1" s="1"/>
  <c r="K168" i="1"/>
  <c r="P168" i="1" s="1"/>
  <c r="K176" i="1"/>
  <c r="P176" i="1" s="1"/>
  <c r="K184" i="1"/>
  <c r="P184" i="1" s="1"/>
  <c r="K192" i="1"/>
  <c r="P192" i="1" s="1"/>
  <c r="K200" i="1"/>
  <c r="P200" i="1" s="1"/>
  <c r="K217" i="1"/>
  <c r="P217" i="1" s="1"/>
  <c r="K248" i="1"/>
  <c r="P248" i="1" s="1"/>
  <c r="K280" i="1"/>
  <c r="P280" i="1" s="1"/>
  <c r="L5" i="3"/>
  <c r="L10" i="3"/>
  <c r="P84" i="1"/>
  <c r="P92" i="1"/>
  <c r="P100" i="1"/>
  <c r="P108" i="1"/>
  <c r="P120" i="1"/>
  <c r="P164" i="1"/>
  <c r="P172" i="1"/>
  <c r="P188" i="1"/>
  <c r="P196" i="1"/>
  <c r="P11" i="1"/>
  <c r="P38" i="1"/>
  <c r="I1" i="3"/>
  <c r="K303" i="1"/>
  <c r="P303" i="1" s="1"/>
  <c r="K301" i="1"/>
  <c r="P301" i="1" s="1"/>
  <c r="K299" i="1"/>
  <c r="P299" i="1" s="1"/>
  <c r="K297" i="1"/>
  <c r="P297" i="1" s="1"/>
  <c r="K295" i="1"/>
  <c r="P295" i="1" s="1"/>
  <c r="K293" i="1"/>
  <c r="P293" i="1" s="1"/>
  <c r="K291" i="1"/>
  <c r="P291" i="1" s="1"/>
  <c r="K289" i="1"/>
  <c r="P289" i="1" s="1"/>
  <c r="K287" i="1"/>
  <c r="P287" i="1" s="1"/>
  <c r="K285" i="1"/>
  <c r="P285" i="1" s="1"/>
  <c r="K283" i="1"/>
  <c r="P283" i="1" s="1"/>
  <c r="K281" i="1"/>
  <c r="P281" i="1" s="1"/>
  <c r="K279" i="1"/>
  <c r="P279" i="1" s="1"/>
  <c r="K277" i="1"/>
  <c r="P277" i="1" s="1"/>
  <c r="K275" i="1"/>
  <c r="P275" i="1" s="1"/>
  <c r="K273" i="1"/>
  <c r="P273" i="1" s="1"/>
  <c r="K271" i="1"/>
  <c r="P271" i="1" s="1"/>
  <c r="K269" i="1"/>
  <c r="P269" i="1" s="1"/>
  <c r="K267" i="1"/>
  <c r="P267" i="1" s="1"/>
  <c r="K265" i="1"/>
  <c r="P265" i="1" s="1"/>
  <c r="K263" i="1"/>
  <c r="P263" i="1" s="1"/>
  <c r="K261" i="1"/>
  <c r="P261" i="1" s="1"/>
  <c r="K259" i="1"/>
  <c r="P259" i="1" s="1"/>
  <c r="K257" i="1"/>
  <c r="P257" i="1" s="1"/>
  <c r="K255" i="1"/>
  <c r="P255" i="1" s="1"/>
  <c r="K253" i="1"/>
  <c r="P253" i="1" s="1"/>
  <c r="K251" i="1"/>
  <c r="P251" i="1" s="1"/>
  <c r="K249" i="1"/>
  <c r="P249" i="1" s="1"/>
  <c r="K247" i="1"/>
  <c r="P247" i="1" s="1"/>
  <c r="K245" i="1"/>
  <c r="P245" i="1" s="1"/>
  <c r="K243" i="1"/>
  <c r="P243" i="1" s="1"/>
  <c r="K241" i="1"/>
  <c r="P241" i="1" s="1"/>
  <c r="K239" i="1"/>
  <c r="P239" i="1" s="1"/>
  <c r="K237" i="1"/>
  <c r="P237" i="1" s="1"/>
  <c r="K235" i="1"/>
  <c r="P235" i="1" s="1"/>
  <c r="K233" i="1"/>
  <c r="P233" i="1" s="1"/>
  <c r="K231" i="1"/>
  <c r="P231" i="1" s="1"/>
  <c r="K229" i="1"/>
  <c r="P229" i="1" s="1"/>
  <c r="K227" i="1"/>
  <c r="P227" i="1" s="1"/>
  <c r="K225" i="1"/>
  <c r="P225" i="1" s="1"/>
  <c r="K223" i="1"/>
  <c r="P223" i="1" s="1"/>
  <c r="K199" i="1"/>
  <c r="P199" i="1" s="1"/>
  <c r="K197" i="1"/>
  <c r="P197" i="1" s="1"/>
  <c r="K195" i="1"/>
  <c r="P195" i="1" s="1"/>
  <c r="K193" i="1"/>
  <c r="P193" i="1" s="1"/>
  <c r="K191" i="1"/>
  <c r="P191" i="1" s="1"/>
  <c r="K189" i="1"/>
  <c r="P189" i="1" s="1"/>
  <c r="K187" i="1"/>
  <c r="P187" i="1" s="1"/>
  <c r="K185" i="1"/>
  <c r="P185" i="1" s="1"/>
  <c r="K183" i="1"/>
  <c r="P183" i="1" s="1"/>
  <c r="K181" i="1"/>
  <c r="P181" i="1" s="1"/>
  <c r="K179" i="1"/>
  <c r="P179" i="1" s="1"/>
  <c r="K177" i="1"/>
  <c r="P177" i="1" s="1"/>
  <c r="K175" i="1"/>
  <c r="P175" i="1" s="1"/>
  <c r="K173" i="1"/>
  <c r="P173" i="1" s="1"/>
  <c r="K171" i="1"/>
  <c r="P171" i="1" s="1"/>
  <c r="K169" i="1"/>
  <c r="P169" i="1" s="1"/>
  <c r="K167" i="1"/>
  <c r="P167" i="1" s="1"/>
  <c r="K165" i="1"/>
  <c r="P165" i="1" s="1"/>
  <c r="K163" i="1"/>
  <c r="P163" i="1" s="1"/>
  <c r="K161" i="1"/>
  <c r="P161" i="1" s="1"/>
  <c r="K159" i="1"/>
  <c r="P159" i="1" s="1"/>
  <c r="K157" i="1"/>
  <c r="P157" i="1" s="1"/>
  <c r="K155" i="1"/>
  <c r="P155" i="1" s="1"/>
  <c r="K130" i="1"/>
  <c r="P130" i="1" s="1"/>
  <c r="K126" i="1"/>
  <c r="P126" i="1" s="1"/>
  <c r="K122" i="1"/>
  <c r="P122" i="1" s="1"/>
  <c r="K118" i="1"/>
  <c r="P118" i="1" s="1"/>
  <c r="K114" i="1"/>
  <c r="P114" i="1" s="1"/>
  <c r="K110" i="1"/>
  <c r="P110" i="1" s="1"/>
  <c r="K106" i="1"/>
  <c r="P106" i="1" s="1"/>
  <c r="K102" i="1"/>
  <c r="P102" i="1" s="1"/>
  <c r="K98" i="1"/>
  <c r="P98" i="1" s="1"/>
  <c r="K94" i="1"/>
  <c r="P94" i="1" s="1"/>
  <c r="K90" i="1"/>
  <c r="P90" i="1" s="1"/>
  <c r="K86" i="1"/>
  <c r="P86" i="1" s="1"/>
  <c r="K82" i="1"/>
  <c r="P82" i="1" s="1"/>
  <c r="K78" i="1"/>
  <c r="P78" i="1" s="1"/>
  <c r="K74" i="1"/>
  <c r="P74" i="1" s="1"/>
  <c r="K211" i="1"/>
  <c r="P211" i="1" s="1"/>
  <c r="K209" i="1"/>
  <c r="P209" i="1" s="1"/>
  <c r="K43" i="1"/>
  <c r="P43" i="1" s="1"/>
  <c r="K4" i="1"/>
  <c r="P4" i="1" s="1"/>
  <c r="K71" i="1"/>
  <c r="P71" i="1" s="1"/>
  <c r="K60" i="1"/>
  <c r="P60" i="1" s="1"/>
  <c r="K48" i="1"/>
  <c r="P48" i="1" s="1"/>
  <c r="K40" i="1"/>
  <c r="P40" i="1" s="1"/>
  <c r="K32" i="1"/>
  <c r="P32" i="1" s="1"/>
  <c r="K29" i="1"/>
  <c r="P29" i="1" s="1"/>
  <c r="K27" i="1"/>
  <c r="P27" i="1" s="1"/>
  <c r="K26" i="1"/>
  <c r="P26" i="1" s="1"/>
  <c r="K25" i="1"/>
  <c r="P25" i="1" s="1"/>
  <c r="K24" i="1"/>
  <c r="P24" i="1" s="1"/>
  <c r="K203" i="1"/>
  <c r="P203" i="1" s="1"/>
  <c r="K201" i="1"/>
  <c r="P201" i="1" s="1"/>
  <c r="K139" i="1"/>
  <c r="P139" i="1" s="1"/>
  <c r="K131" i="1"/>
  <c r="P131" i="1" s="1"/>
  <c r="K127" i="1"/>
  <c r="P127" i="1" s="1"/>
  <c r="K123" i="1"/>
  <c r="P123" i="1" s="1"/>
  <c r="K119" i="1"/>
  <c r="P119" i="1" s="1"/>
  <c r="K115" i="1"/>
  <c r="P115" i="1" s="1"/>
  <c r="K111" i="1"/>
  <c r="P111" i="1" s="1"/>
  <c r="K107" i="1"/>
  <c r="P107" i="1" s="1"/>
  <c r="K103" i="1"/>
  <c r="P103" i="1" s="1"/>
  <c r="K99" i="1"/>
  <c r="P99" i="1" s="1"/>
  <c r="K95" i="1"/>
  <c r="P95" i="1" s="1"/>
  <c r="K91" i="1"/>
  <c r="P91" i="1" s="1"/>
  <c r="K87" i="1"/>
  <c r="P87" i="1" s="1"/>
  <c r="K83" i="1"/>
  <c r="P83" i="1" s="1"/>
  <c r="K79" i="1"/>
  <c r="P79" i="1" s="1"/>
  <c r="K75" i="1"/>
  <c r="P75" i="1" s="1"/>
  <c r="K67" i="1"/>
  <c r="P67" i="1" s="1"/>
  <c r="K63" i="1"/>
  <c r="P63" i="1" s="1"/>
  <c r="K59" i="1"/>
  <c r="P59" i="1" s="1"/>
  <c r="K55" i="1"/>
  <c r="P55" i="1" s="1"/>
  <c r="K51" i="1"/>
  <c r="P51" i="1" s="1"/>
  <c r="K47" i="1"/>
  <c r="P47" i="1" s="1"/>
  <c r="K39" i="1"/>
  <c r="P39" i="1" s="1"/>
  <c r="K35" i="1"/>
  <c r="P35" i="1" s="1"/>
  <c r="K7" i="1"/>
  <c r="P7" i="1" s="1"/>
  <c r="K6" i="1"/>
  <c r="P6" i="1" s="1"/>
  <c r="K5" i="1"/>
  <c r="P5" i="1" s="1"/>
  <c r="K64" i="1"/>
  <c r="P64" i="1" s="1"/>
  <c r="K56" i="1"/>
  <c r="P56" i="1" s="1"/>
  <c r="K52" i="1"/>
  <c r="P52" i="1" s="1"/>
  <c r="K44" i="1"/>
  <c r="P44" i="1" s="1"/>
  <c r="K36" i="1"/>
  <c r="P36" i="1" s="1"/>
  <c r="K31" i="1"/>
  <c r="P31" i="1" s="1"/>
  <c r="K30" i="1"/>
  <c r="P30" i="1" s="1"/>
  <c r="K28" i="1"/>
  <c r="P28" i="1" s="1"/>
  <c r="K8" i="1"/>
  <c r="P8" i="1" s="1"/>
  <c r="K10" i="1"/>
  <c r="P10" i="1" s="1"/>
  <c r="K41" i="1"/>
  <c r="P41" i="1" s="1"/>
  <c r="K46" i="1"/>
  <c r="P46" i="1" s="1"/>
  <c r="K57" i="1"/>
  <c r="P57" i="1" s="1"/>
  <c r="K62" i="1"/>
  <c r="P62" i="1" s="1"/>
  <c r="K68" i="1"/>
  <c r="P68" i="1" s="1"/>
  <c r="K162" i="1"/>
  <c r="P162" i="1" s="1"/>
  <c r="K170" i="1"/>
  <c r="P170" i="1" s="1"/>
  <c r="K178" i="1"/>
  <c r="P178" i="1" s="1"/>
  <c r="K186" i="1"/>
  <c r="P186" i="1" s="1"/>
  <c r="K194" i="1"/>
  <c r="P194" i="1" s="1"/>
  <c r="K204" i="1"/>
  <c r="P204" i="1" s="1"/>
  <c r="K240" i="1"/>
  <c r="P240" i="1" s="1"/>
  <c r="K272" i="1"/>
  <c r="P272" i="1" s="1"/>
  <c r="L84" i="3"/>
  <c r="L89" i="3"/>
  <c r="K212" i="1"/>
  <c r="P212" i="1" s="1"/>
  <c r="K221" i="1"/>
  <c r="P221" i="1" s="1"/>
  <c r="K234" i="1"/>
  <c r="P234" i="1" s="1"/>
  <c r="K250" i="1"/>
  <c r="P250" i="1" s="1"/>
  <c r="K258" i="1"/>
  <c r="P258" i="1" s="1"/>
  <c r="K274" i="1"/>
  <c r="P274" i="1" s="1"/>
  <c r="K290" i="1"/>
  <c r="P290" i="1" s="1"/>
  <c r="L21" i="3"/>
  <c r="L33" i="3"/>
  <c r="L43" i="3"/>
  <c r="L55" i="3"/>
  <c r="L68" i="3"/>
  <c r="L73" i="3"/>
  <c r="L85" i="3"/>
  <c r="L96" i="3"/>
  <c r="L102" i="3"/>
  <c r="L111" i="3"/>
  <c r="L117" i="3"/>
  <c r="L155" i="3"/>
  <c r="L162" i="3"/>
  <c r="L222" i="3"/>
  <c r="K133" i="1"/>
  <c r="P133" i="1" s="1"/>
  <c r="K134" i="1"/>
  <c r="P134" i="1" s="1"/>
  <c r="K147" i="1"/>
  <c r="P147" i="1" s="1"/>
  <c r="K214" i="1"/>
  <c r="P214" i="1" s="1"/>
  <c r="K215" i="1"/>
  <c r="P215" i="1" s="1"/>
  <c r="K220" i="1"/>
  <c r="P220" i="1" s="1"/>
  <c r="K228" i="1"/>
  <c r="P228" i="1" s="1"/>
  <c r="K236" i="1"/>
  <c r="P236" i="1" s="1"/>
  <c r="K244" i="1"/>
  <c r="P244" i="1" s="1"/>
  <c r="K252" i="1"/>
  <c r="P252" i="1" s="1"/>
  <c r="K260" i="1"/>
  <c r="P260" i="1" s="1"/>
  <c r="K268" i="1"/>
  <c r="P268" i="1" s="1"/>
  <c r="K276" i="1"/>
  <c r="P276" i="1" s="1"/>
  <c r="K284" i="1"/>
  <c r="P284" i="1" s="1"/>
  <c r="K292" i="1"/>
  <c r="P292" i="1" s="1"/>
  <c r="K300" i="1"/>
  <c r="P300" i="1" s="1"/>
  <c r="L12" i="3"/>
  <c r="L14" i="3"/>
  <c r="L17" i="3"/>
  <c r="L27" i="3"/>
  <c r="L28" i="3"/>
  <c r="L39" i="3"/>
  <c r="L40" i="3"/>
  <c r="L52" i="3"/>
  <c r="L57" i="3"/>
  <c r="L64" i="3"/>
  <c r="L69" i="3"/>
  <c r="L78" i="3"/>
  <c r="L81" i="3"/>
  <c r="L91" i="3"/>
  <c r="L92" i="3"/>
  <c r="L97" i="3"/>
  <c r="L98" i="3"/>
  <c r="L107" i="3"/>
  <c r="L108" i="3"/>
  <c r="L113" i="3"/>
  <c r="L114" i="3"/>
  <c r="L146" i="3"/>
  <c r="L151" i="3"/>
  <c r="L160" i="3"/>
  <c r="L163" i="3"/>
  <c r="K141" i="1"/>
  <c r="P141" i="1" s="1"/>
  <c r="K149" i="1"/>
  <c r="P149" i="1" s="1"/>
  <c r="K206" i="1"/>
  <c r="P206" i="1" s="1"/>
  <c r="K207" i="1"/>
  <c r="P207" i="1" s="1"/>
  <c r="K226" i="1"/>
  <c r="P226" i="1" s="1"/>
  <c r="K242" i="1"/>
  <c r="P242" i="1" s="1"/>
  <c r="K266" i="1"/>
  <c r="P266" i="1" s="1"/>
  <c r="K282" i="1"/>
  <c r="P282" i="1" s="1"/>
  <c r="K298" i="1"/>
  <c r="P298" i="1" s="1"/>
  <c r="L6" i="3"/>
  <c r="L16" i="3"/>
  <c r="L30" i="3"/>
  <c r="L44" i="3"/>
  <c r="L56" i="3"/>
  <c r="L80" i="3"/>
  <c r="L95" i="3"/>
  <c r="L101" i="3"/>
  <c r="L112" i="3"/>
  <c r="L118" i="3"/>
  <c r="L156" i="3"/>
  <c r="L167" i="3"/>
  <c r="L176" i="3"/>
  <c r="L179" i="3"/>
  <c r="L223" i="3"/>
  <c r="K73" i="1"/>
  <c r="P73" i="1" s="1"/>
  <c r="K77" i="1"/>
  <c r="P77" i="1" s="1"/>
  <c r="K81" i="1"/>
  <c r="P81" i="1" s="1"/>
  <c r="K85" i="1"/>
  <c r="P85" i="1" s="1"/>
  <c r="K89" i="1"/>
  <c r="P89" i="1" s="1"/>
  <c r="K93" i="1"/>
  <c r="P93" i="1" s="1"/>
  <c r="K97" i="1"/>
  <c r="P97" i="1" s="1"/>
  <c r="K101" i="1"/>
  <c r="P101" i="1" s="1"/>
  <c r="K105" i="1"/>
  <c r="P105" i="1" s="1"/>
  <c r="K109" i="1"/>
  <c r="P109" i="1" s="1"/>
  <c r="K113" i="1"/>
  <c r="P113" i="1" s="1"/>
  <c r="K117" i="1"/>
  <c r="P117" i="1" s="1"/>
  <c r="K121" i="1"/>
  <c r="P121" i="1" s="1"/>
  <c r="K125" i="1"/>
  <c r="P125" i="1" s="1"/>
  <c r="K129" i="1"/>
  <c r="P129" i="1" s="1"/>
  <c r="K145" i="1"/>
  <c r="P145" i="1" s="1"/>
  <c r="K153" i="1"/>
  <c r="P153" i="1" s="1"/>
  <c r="K205" i="1"/>
  <c r="P205" i="1" s="1"/>
  <c r="K222" i="1"/>
  <c r="P222" i="1" s="1"/>
  <c r="K230" i="1"/>
  <c r="P230" i="1" s="1"/>
  <c r="K238" i="1"/>
  <c r="P238" i="1" s="1"/>
  <c r="K246" i="1"/>
  <c r="P246" i="1" s="1"/>
  <c r="K254" i="1"/>
  <c r="P254" i="1" s="1"/>
  <c r="K262" i="1"/>
  <c r="P262" i="1" s="1"/>
  <c r="K270" i="1"/>
  <c r="P270" i="1" s="1"/>
  <c r="K278" i="1"/>
  <c r="P278" i="1" s="1"/>
  <c r="K286" i="1"/>
  <c r="P286" i="1" s="1"/>
  <c r="K294" i="1"/>
  <c r="P294" i="1" s="1"/>
  <c r="K302" i="1"/>
  <c r="P302" i="1" s="1"/>
  <c r="L8" i="3"/>
  <c r="L9" i="3"/>
  <c r="L13" i="3"/>
  <c r="L23" i="3"/>
  <c r="L24" i="3"/>
  <c r="L36" i="3"/>
  <c r="L41" i="3"/>
  <c r="L48" i="3"/>
  <c r="L53" i="3"/>
  <c r="L62" i="3"/>
  <c r="L65" i="3"/>
  <c r="L75" i="3"/>
  <c r="L76" i="3"/>
  <c r="L87" i="3"/>
  <c r="L88" i="3"/>
  <c r="L139" i="3"/>
  <c r="L140" i="3"/>
  <c r="K208" i="1"/>
  <c r="P208" i="1" s="1"/>
  <c r="K216" i="1"/>
  <c r="P216" i="1" s="1"/>
  <c r="K4" i="3"/>
  <c r="L4" i="3" s="1"/>
  <c r="L93" i="3"/>
  <c r="L94" i="3"/>
  <c r="L103" i="3"/>
  <c r="L104" i="3"/>
  <c r="L109" i="3"/>
  <c r="L110" i="3"/>
  <c r="L119" i="3"/>
  <c r="L120" i="3"/>
  <c r="L124" i="3"/>
  <c r="L130" i="3"/>
  <c r="L135" i="3"/>
  <c r="L144" i="3"/>
  <c r="L147" i="3"/>
  <c r="L187" i="3"/>
  <c r="L188" i="3"/>
  <c r="L194" i="3"/>
  <c r="K202" i="1"/>
  <c r="P202" i="1" s="1"/>
  <c r="K210" i="1"/>
  <c r="P210" i="1" s="1"/>
  <c r="K218" i="1"/>
  <c r="P218" i="1" s="1"/>
  <c r="L26" i="3"/>
  <c r="L42" i="3"/>
  <c r="L58" i="3"/>
  <c r="L74" i="3"/>
  <c r="L90" i="3"/>
  <c r="L99" i="3"/>
  <c r="L100" i="3"/>
  <c r="L105" i="3"/>
  <c r="L106" i="3"/>
  <c r="L115" i="3"/>
  <c r="L116" i="3"/>
  <c r="L122" i="3"/>
  <c r="L128" i="3"/>
  <c r="L131" i="3"/>
  <c r="L171" i="3"/>
  <c r="L172" i="3"/>
  <c r="L178" i="3"/>
  <c r="L183" i="3"/>
  <c r="L192" i="3"/>
  <c r="L195" i="3"/>
  <c r="K7" i="3"/>
  <c r="L7" i="3" s="1"/>
  <c r="K19" i="3"/>
  <c r="L19" i="3" s="1"/>
  <c r="K35" i="3"/>
  <c r="L35" i="3" s="1"/>
  <c r="K51" i="3"/>
  <c r="L51" i="3" s="1"/>
  <c r="K67" i="3"/>
  <c r="L67" i="3" s="1"/>
  <c r="K83" i="3"/>
  <c r="L83" i="3" s="1"/>
  <c r="L125" i="3"/>
  <c r="L126" i="3"/>
  <c r="L141" i="3"/>
  <c r="L142" i="3"/>
  <c r="L157" i="3"/>
  <c r="L158" i="3"/>
  <c r="L173" i="3"/>
  <c r="L174" i="3"/>
  <c r="L189" i="3"/>
  <c r="L190" i="3"/>
  <c r="L198" i="3"/>
  <c r="L199" i="3"/>
  <c r="L201" i="3"/>
  <c r="L203" i="3"/>
  <c r="K11" i="3"/>
  <c r="L11" i="3" s="1"/>
  <c r="K15" i="3"/>
  <c r="L15" i="3" s="1"/>
  <c r="K31" i="3"/>
  <c r="L31" i="3" s="1"/>
  <c r="K47" i="3"/>
  <c r="L47" i="3" s="1"/>
  <c r="K63" i="3"/>
  <c r="L63" i="3" s="1"/>
  <c r="K79" i="3"/>
  <c r="L79" i="3" s="1"/>
  <c r="L134" i="3"/>
  <c r="L138" i="3"/>
  <c r="L150" i="3"/>
  <c r="L154" i="3"/>
  <c r="L166" i="3"/>
  <c r="L170" i="3"/>
  <c r="L182" i="3"/>
  <c r="L186" i="3"/>
  <c r="L206" i="3"/>
  <c r="L207" i="3"/>
  <c r="L209" i="3"/>
  <c r="K137" i="3"/>
  <c r="L137" i="3" s="1"/>
  <c r="K153" i="3"/>
  <c r="L153" i="3" s="1"/>
  <c r="K169" i="3"/>
  <c r="L169" i="3" s="1"/>
  <c r="K185" i="3"/>
  <c r="L185" i="3" s="1"/>
  <c r="L200" i="3"/>
  <c r="L208" i="3"/>
  <c r="L216" i="3"/>
  <c r="K133" i="3"/>
  <c r="L133" i="3" s="1"/>
  <c r="K149" i="3"/>
  <c r="L149" i="3" s="1"/>
  <c r="K165" i="3"/>
  <c r="L165" i="3" s="1"/>
  <c r="K181" i="3"/>
  <c r="L181" i="3" s="1"/>
  <c r="L202" i="3"/>
  <c r="L210" i="3"/>
  <c r="L218" i="3"/>
  <c r="K129" i="3"/>
  <c r="L129" i="3" s="1"/>
  <c r="L145" i="3"/>
  <c r="L161" i="3"/>
  <c r="K177" i="3"/>
  <c r="L177" i="3" s="1"/>
  <c r="L193" i="3"/>
  <c r="L196" i="3"/>
  <c r="L204" i="3"/>
  <c r="L212" i="3"/>
  <c r="L220" i="3"/>
  <c r="L219" i="3" l="1"/>
  <c r="L211" i="3"/>
  <c r="L180" i="3"/>
  <c r="L164" i="3"/>
  <c r="L148" i="3"/>
  <c r="L132" i="3"/>
  <c r="L205" i="3"/>
  <c r="L197" i="3"/>
  <c r="L184" i="3"/>
  <c r="L168" i="3"/>
  <c r="L152" i="3"/>
  <c r="L136" i="3"/>
  <c r="L191" i="3"/>
  <c r="L127" i="3"/>
  <c r="L121" i="3"/>
  <c r="L86" i="3"/>
  <c r="L82" i="3"/>
  <c r="L70" i="3"/>
  <c r="L66" i="3"/>
  <c r="L54" i="3"/>
  <c r="L50" i="3"/>
  <c r="L38" i="3"/>
  <c r="L34" i="3"/>
  <c r="L22" i="3"/>
  <c r="L18" i="3"/>
  <c r="L143" i="3"/>
  <c r="L123" i="3"/>
  <c r="L61" i="3"/>
  <c r="L2" i="3"/>
  <c r="L221" i="3"/>
  <c r="L159" i="3"/>
  <c r="L77" i="3"/>
  <c r="L175" i="3"/>
  <c r="L29" i="3"/>
  <c r="L213" i="3"/>
  <c r="L45" i="3"/>
  <c r="L25" i="3"/>
  <c r="L3" i="3"/>
  <c r="L60" i="3"/>
  <c r="L37" i="3"/>
  <c r="L20" i="3"/>
  <c r="L217" i="3"/>
  <c r="L59" i="3"/>
  <c r="L32" i="3"/>
  <c r="L72" i="3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<sst xmlns="http://schemas.openxmlformats.org/spreadsheetml/2006/main" count="40" uniqueCount="33">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</sst>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H1" zoomScale="85" zoomScaleNormal="85" workbookViewId="0">
      <selection activeCell="S6" sqref="S6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-0.45741999999999999</v>
      </c>
      <c r="AC3" t="s">
        <v>24</v>
      </c>
    </row>
    <row r="4" spans="1:29" x14ac:dyDescent="0.3">
      <c r="A4">
        <v>8.7526999999999994E-2</v>
      </c>
      <c r="B4">
        <v>0.81567999999999996</v>
      </c>
      <c r="C4">
        <f t="shared" ref="C4:C67" si="0">A4*B4</f>
        <v>7.1394023359999989E-2</v>
      </c>
      <c r="D4">
        <v>1.7399999999999999E-2</v>
      </c>
      <c r="E4">
        <v>3.5999999999999999E-3</v>
      </c>
      <c r="F4">
        <f t="shared" ref="F4:F67" si="1">A4*200</f>
        <v>17.505399999999998</v>
      </c>
      <c r="G4">
        <f t="shared" ref="G4:G67" si="2">-B4</f>
        <v>-0.81567999999999996</v>
      </c>
      <c r="H4">
        <f t="shared" ref="H4:H67" si="3">-C4*200</f>
        <v>-14.278804671999998</v>
      </c>
      <c r="I4">
        <v>1</v>
      </c>
      <c r="J4">
        <f t="shared" ref="J4:J67" si="4">LN(F4/1000)</f>
        <v>-4.0452458742224691</v>
      </c>
      <c r="K4">
        <f t="shared" ref="K4:K67" si="5">((-G4)-$N$2)</f>
        <v>-0.40604515177521749</v>
      </c>
      <c r="L4">
        <v>1</v>
      </c>
      <c r="M4">
        <f t="shared" ref="M4:M67" si="6">-1*($S$4+($S$5*J4))</f>
        <v>0.38940137848445372</v>
      </c>
      <c r="N4">
        <f t="shared" ref="N4:N67" si="7">D4*A4</f>
        <v>1.5229697999999997E-3</v>
      </c>
      <c r="O4">
        <f t="shared" ref="O4:O67" si="8">E4*A4</f>
        <v>3.1509719999999998E-4</v>
      </c>
      <c r="P4">
        <f t="shared" ref="P4:P67" si="9">-K4-M4-N4-O4</f>
        <v>1.4805706290763776E-2</v>
      </c>
      <c r="R4" s="2" t="s">
        <v>25</v>
      </c>
      <c r="S4">
        <v>-0.60116999999999998</v>
      </c>
      <c r="V4">
        <v>-6</v>
      </c>
      <c r="W4">
        <f t="shared" ref="W4:W35" si="10">V4*$S$5+$S$4</f>
        <v>-0.28706999999999999</v>
      </c>
      <c r="Y4">
        <v>0</v>
      </c>
      <c r="Z4">
        <f t="shared" ref="Z4:Z31" si="11">$AB$4*Y4+$AB$3</f>
        <v>-0.45741999999999999</v>
      </c>
      <c r="AB4">
        <v>13.042999999999999</v>
      </c>
      <c r="AC4" t="s">
        <v>26</v>
      </c>
    </row>
    <row r="5" spans="1:29" x14ac:dyDescent="0.3">
      <c r="A5">
        <v>0.16874085</v>
      </c>
      <c r="B5">
        <v>0.79198000000000002</v>
      </c>
      <c r="C5">
        <f t="shared" si="0"/>
        <v>0.133639378383</v>
      </c>
      <c r="D5">
        <v>1.7399999999999999E-2</v>
      </c>
      <c r="E5">
        <v>3.5999999999999999E-3</v>
      </c>
      <c r="F5">
        <f t="shared" si="1"/>
        <v>33.748170000000002</v>
      </c>
      <c r="G5">
        <f t="shared" si="2"/>
        <v>-0.79198000000000002</v>
      </c>
      <c r="H5">
        <f t="shared" si="3"/>
        <v>-26.7278756766</v>
      </c>
      <c r="I5">
        <v>1</v>
      </c>
      <c r="J5">
        <f t="shared" si="4"/>
        <v>-3.3888290853558982</v>
      </c>
      <c r="K5">
        <f t="shared" si="5"/>
        <v>-0.42974515177521744</v>
      </c>
      <c r="L5">
        <v>1</v>
      </c>
      <c r="M5">
        <f t="shared" si="6"/>
        <v>0.42376479738161871</v>
      </c>
      <c r="N5">
        <f t="shared" si="7"/>
        <v>2.9360907899999996E-3</v>
      </c>
      <c r="O5">
        <f t="shared" si="8"/>
        <v>6.0746705999999997E-4</v>
      </c>
      <c r="P5">
        <f t="shared" si="9"/>
        <v>2.4367965435987309E-3</v>
      </c>
      <c r="R5" s="2" t="s">
        <v>27</v>
      </c>
      <c r="S5">
        <v>-5.2350000000000001E-2</v>
      </c>
      <c r="V5">
        <v>-5.9</v>
      </c>
      <c r="W5">
        <f t="shared" si="10"/>
        <v>-0.29230499999999998</v>
      </c>
      <c r="Y5">
        <v>0.01</v>
      </c>
      <c r="Z5">
        <f t="shared" si="11"/>
        <v>-0.32699</v>
      </c>
    </row>
    <row r="6" spans="1:29" x14ac:dyDescent="0.3">
      <c r="A6">
        <v>0.25175940000000002</v>
      </c>
      <c r="B6">
        <v>0.77573999999999999</v>
      </c>
      <c r="C6">
        <f t="shared" si="0"/>
        <v>0.19529983695600001</v>
      </c>
      <c r="D6">
        <v>1.7399999999999999E-2</v>
      </c>
      <c r="E6">
        <v>3.5999999999999999E-3</v>
      </c>
      <c r="F6">
        <f t="shared" si="1"/>
        <v>50.351880000000001</v>
      </c>
      <c r="G6">
        <f t="shared" si="2"/>
        <v>-0.77573999999999999</v>
      </c>
      <c r="H6">
        <f t="shared" si="3"/>
        <v>-39.059967391200004</v>
      </c>
      <c r="I6">
        <v>1</v>
      </c>
      <c r="J6">
        <f t="shared" si="4"/>
        <v>-2.9887193218850423</v>
      </c>
      <c r="K6">
        <f t="shared" si="5"/>
        <v>-0.44598515177521747</v>
      </c>
      <c r="L6">
        <v>1</v>
      </c>
      <c r="M6">
        <f t="shared" si="6"/>
        <v>0.44471054349931805</v>
      </c>
      <c r="N6">
        <f t="shared" si="7"/>
        <v>4.3806135599999997E-3</v>
      </c>
      <c r="O6">
        <f t="shared" si="8"/>
        <v>9.0633384000000006E-4</v>
      </c>
      <c r="P6">
        <f t="shared" si="9"/>
        <v>-4.0123391241005746E-3</v>
      </c>
      <c r="V6">
        <v>-5.8</v>
      </c>
      <c r="W6">
        <f t="shared" si="10"/>
        <v>-0.29753999999999997</v>
      </c>
      <c r="Y6">
        <v>0.02</v>
      </c>
      <c r="Z6">
        <f t="shared" si="11"/>
        <v>-0.19656000000000001</v>
      </c>
      <c r="AB6" t="s">
        <v>28</v>
      </c>
    </row>
    <row r="7" spans="1:29" x14ac:dyDescent="0.3">
      <c r="A7">
        <v>0.3335748</v>
      </c>
      <c r="B7">
        <v>0.76293</v>
      </c>
      <c r="C7">
        <f t="shared" si="0"/>
        <v>0.25449422216400003</v>
      </c>
      <c r="D7">
        <v>1.7399999999999999E-2</v>
      </c>
      <c r="E7">
        <v>3.5999999999999999E-3</v>
      </c>
      <c r="F7">
        <f t="shared" si="1"/>
        <v>66.714960000000005</v>
      </c>
      <c r="G7">
        <f t="shared" si="2"/>
        <v>-0.76293</v>
      </c>
      <c r="H7">
        <f t="shared" si="3"/>
        <v>-50.898844432800004</v>
      </c>
      <c r="I7">
        <v>1</v>
      </c>
      <c r="J7">
        <f t="shared" si="4"/>
        <v>-2.7073260633532481</v>
      </c>
      <c r="K7">
        <f t="shared" si="5"/>
        <v>-0.45879515177521746</v>
      </c>
      <c r="L7">
        <v>1</v>
      </c>
      <c r="M7">
        <f t="shared" si="6"/>
        <v>0.45944148058345746</v>
      </c>
      <c r="N7">
        <f t="shared" si="7"/>
        <v>5.8042015199999998E-3</v>
      </c>
      <c r="O7">
        <f t="shared" si="8"/>
        <v>1.20086928E-3</v>
      </c>
      <c r="P7">
        <f t="shared" si="9"/>
        <v>-7.6513996082400041E-3</v>
      </c>
      <c r="V7">
        <v>-5.7</v>
      </c>
      <c r="W7">
        <f t="shared" si="10"/>
        <v>-0.30277499999999996</v>
      </c>
      <c r="Y7">
        <v>0.03</v>
      </c>
      <c r="Z7">
        <f t="shared" si="11"/>
        <v>-6.6130000000000022E-2</v>
      </c>
      <c r="AB7" t="s">
        <v>29</v>
      </c>
      <c r="AC7">
        <f>-AB3/AB4</f>
        <v>3.5070152572260982E-2</v>
      </c>
    </row>
    <row r="8" spans="1:29" x14ac:dyDescent="0.3">
      <c r="A8">
        <v>0.4165934</v>
      </c>
      <c r="B8">
        <v>0.75190000000000001</v>
      </c>
      <c r="C8">
        <f t="shared" si="0"/>
        <v>0.31323657746</v>
      </c>
      <c r="D8">
        <v>1.7399999999999999E-2</v>
      </c>
      <c r="E8">
        <v>3.5999999999999999E-3</v>
      </c>
      <c r="F8">
        <f t="shared" si="1"/>
        <v>83.318680000000001</v>
      </c>
      <c r="G8">
        <f t="shared" si="2"/>
        <v>-0.75190000000000001</v>
      </c>
      <c r="H8">
        <f t="shared" si="3"/>
        <v>-62.647315491999997</v>
      </c>
      <c r="I8">
        <v>1</v>
      </c>
      <c r="J8">
        <f t="shared" si="4"/>
        <v>-2.4850825052496655</v>
      </c>
      <c r="K8">
        <f t="shared" si="5"/>
        <v>-0.46982515177521744</v>
      </c>
      <c r="L8">
        <v>1</v>
      </c>
      <c r="M8">
        <f t="shared" si="6"/>
        <v>0.47107593085017996</v>
      </c>
      <c r="N8">
        <f t="shared" si="7"/>
        <v>7.2487251599999995E-3</v>
      </c>
      <c r="O8">
        <f t="shared" si="8"/>
        <v>1.4997362399999999E-3</v>
      </c>
      <c r="P8">
        <f t="shared" si="9"/>
        <v>-9.9992404749625168E-3</v>
      </c>
      <c r="V8">
        <v>-5.6</v>
      </c>
      <c r="W8">
        <f t="shared" si="10"/>
        <v>-0.30801000000000001</v>
      </c>
      <c r="Y8">
        <v>0.04</v>
      </c>
      <c r="Z8">
        <f t="shared" si="11"/>
        <v>6.4299999999999968E-2</v>
      </c>
    </row>
    <row r="9" spans="1:29" x14ac:dyDescent="0.3">
      <c r="A9">
        <v>0.50021355000000001</v>
      </c>
      <c r="B9">
        <v>0.74211000000000005</v>
      </c>
      <c r="C9">
        <f t="shared" si="0"/>
        <v>0.37121347759050005</v>
      </c>
      <c r="D9">
        <v>1.7399999999999999E-2</v>
      </c>
      <c r="E9">
        <v>3.5999999999999999E-3</v>
      </c>
      <c r="F9">
        <f t="shared" si="1"/>
        <v>100.04271</v>
      </c>
      <c r="G9">
        <f t="shared" si="2"/>
        <v>-0.74211000000000005</v>
      </c>
      <c r="H9">
        <f t="shared" si="3"/>
        <v>-74.242695518100007</v>
      </c>
      <c r="I9">
        <v>1</v>
      </c>
      <c r="J9">
        <f t="shared" si="4"/>
        <v>-2.3021580841752893</v>
      </c>
      <c r="K9">
        <f t="shared" si="5"/>
        <v>-0.47961515177521741</v>
      </c>
      <c r="L9">
        <v>1</v>
      </c>
      <c r="M9">
        <f t="shared" si="6"/>
        <v>0.48065202429342357</v>
      </c>
      <c r="N9">
        <f t="shared" si="7"/>
        <v>8.7037157700000003E-3</v>
      </c>
      <c r="O9">
        <f t="shared" si="8"/>
        <v>1.80076878E-3</v>
      </c>
      <c r="P9">
        <f t="shared" si="9"/>
        <v>-1.1541357068206167E-2</v>
      </c>
      <c r="V9">
        <v>-5.5</v>
      </c>
      <c r="W9">
        <f t="shared" si="10"/>
        <v>-0.313245</v>
      </c>
      <c r="Y9">
        <v>0.05</v>
      </c>
      <c r="Z9">
        <f t="shared" si="11"/>
        <v>0.19473000000000001</v>
      </c>
      <c r="AB9" t="s">
        <v>30</v>
      </c>
      <c r="AC9">
        <v>3.3904999999999998E-2</v>
      </c>
    </row>
    <row r="10" spans="1:29" x14ac:dyDescent="0.3">
      <c r="A10">
        <v>0.5778179</v>
      </c>
      <c r="B10">
        <v>0.73316999999999999</v>
      </c>
      <c r="C10">
        <f t="shared" si="0"/>
        <v>0.42363874974299998</v>
      </c>
      <c r="D10">
        <v>1.7399999999999999E-2</v>
      </c>
      <c r="E10">
        <v>3.5999999999999999E-3</v>
      </c>
      <c r="F10">
        <f t="shared" si="1"/>
        <v>115.56358</v>
      </c>
      <c r="G10">
        <f t="shared" si="2"/>
        <v>-0.73316999999999999</v>
      </c>
      <c r="H10">
        <f t="shared" si="3"/>
        <v>-84.727749948599993</v>
      </c>
      <c r="I10">
        <v>1</v>
      </c>
      <c r="J10">
        <f t="shared" si="4"/>
        <v>-2.157934424286251</v>
      </c>
      <c r="K10">
        <f t="shared" si="5"/>
        <v>-0.48855515177521747</v>
      </c>
      <c r="L10">
        <v>1</v>
      </c>
      <c r="M10">
        <f t="shared" si="6"/>
        <v>0.48820213288861475</v>
      </c>
      <c r="N10">
        <f t="shared" si="7"/>
        <v>1.005403146E-2</v>
      </c>
      <c r="O10">
        <f t="shared" si="8"/>
        <v>2.0801444399999999E-3</v>
      </c>
      <c r="P10">
        <f t="shared" si="9"/>
        <v>-1.178115701339728E-2</v>
      </c>
      <c r="V10">
        <v>-5.4</v>
      </c>
      <c r="W10">
        <f t="shared" si="10"/>
        <v>-0.31847999999999999</v>
      </c>
      <c r="Y10">
        <v>0.06</v>
      </c>
      <c r="Z10">
        <f t="shared" si="11"/>
        <v>0.32515999999999995</v>
      </c>
    </row>
    <row r="11" spans="1:29" x14ac:dyDescent="0.3">
      <c r="A11">
        <v>0.66625069999999997</v>
      </c>
      <c r="B11">
        <v>0.72484999999999999</v>
      </c>
      <c r="C11">
        <f t="shared" si="0"/>
        <v>0.482931819895</v>
      </c>
      <c r="D11">
        <v>1.7399999999999999E-2</v>
      </c>
      <c r="E11">
        <v>3.5999999999999999E-3</v>
      </c>
      <c r="F11">
        <f t="shared" si="1"/>
        <v>133.25013999999999</v>
      </c>
      <c r="G11">
        <f t="shared" si="2"/>
        <v>-0.72484999999999999</v>
      </c>
      <c r="H11">
        <f t="shared" si="3"/>
        <v>-96.586363978999998</v>
      </c>
      <c r="I11">
        <v>1</v>
      </c>
      <c r="J11">
        <f t="shared" si="4"/>
        <v>-2.0155271652800746</v>
      </c>
      <c r="K11">
        <f t="shared" si="5"/>
        <v>-0.49687515177521746</v>
      </c>
      <c r="L11">
        <v>1</v>
      </c>
      <c r="M11">
        <f t="shared" si="6"/>
        <v>0.49565715289758805</v>
      </c>
      <c r="N11">
        <f t="shared" si="7"/>
        <v>1.1592762179999999E-2</v>
      </c>
      <c r="O11">
        <f t="shared" si="8"/>
        <v>2.3985025199999999E-3</v>
      </c>
      <c r="P11">
        <f t="shared" si="9"/>
        <v>-1.2773265822370587E-2</v>
      </c>
      <c r="V11">
        <v>-5.3</v>
      </c>
      <c r="W11">
        <f t="shared" si="10"/>
        <v>-0.32371499999999997</v>
      </c>
      <c r="Y11">
        <v>7.0000000000000007E-2</v>
      </c>
      <c r="Z11">
        <f t="shared" si="11"/>
        <v>0.45558999999999999</v>
      </c>
      <c r="AB11" t="s">
        <v>31</v>
      </c>
      <c r="AC11">
        <f>AC7-AC9</f>
        <v>1.1651525722609843E-3</v>
      </c>
    </row>
    <row r="12" spans="1:29" x14ac:dyDescent="0.3">
      <c r="A12">
        <v>0.74926934999999995</v>
      </c>
      <c r="B12">
        <v>0.71696000000000004</v>
      </c>
      <c r="C12">
        <f t="shared" si="0"/>
        <v>0.537196153176</v>
      </c>
      <c r="D12">
        <v>1.7399999999999999E-2</v>
      </c>
      <c r="E12">
        <v>3.5999999999999999E-3</v>
      </c>
      <c r="F12">
        <f t="shared" si="1"/>
        <v>149.85387</v>
      </c>
      <c r="G12">
        <f t="shared" si="2"/>
        <v>-0.71696000000000004</v>
      </c>
      <c r="H12">
        <f t="shared" si="3"/>
        <v>-107.4392306352</v>
      </c>
      <c r="I12">
        <v>1</v>
      </c>
      <c r="J12">
        <f t="shared" si="4"/>
        <v>-1.89809465972712</v>
      </c>
      <c r="K12">
        <f t="shared" si="5"/>
        <v>-0.50476515177521741</v>
      </c>
      <c r="L12">
        <v>1</v>
      </c>
      <c r="M12">
        <f t="shared" si="6"/>
        <v>0.50180474456328528</v>
      </c>
      <c r="N12">
        <f t="shared" si="7"/>
        <v>1.3037286689999998E-2</v>
      </c>
      <c r="O12">
        <f t="shared" si="8"/>
        <v>2.6973696599999998E-3</v>
      </c>
      <c r="P12">
        <f t="shared" si="9"/>
        <v>-1.2774249138067861E-2</v>
      </c>
      <c r="V12">
        <v>-5.2</v>
      </c>
      <c r="W12">
        <f t="shared" si="10"/>
        <v>-0.32894999999999996</v>
      </c>
      <c r="Y12">
        <v>0.08</v>
      </c>
      <c r="Z12">
        <f t="shared" si="11"/>
        <v>0.58601999999999999</v>
      </c>
      <c r="AC12">
        <f>AC11*3</f>
        <v>3.4954577167829529E-3</v>
      </c>
    </row>
    <row r="13" spans="1:29" x14ac:dyDescent="0.3">
      <c r="A13">
        <v>0.83168629999999999</v>
      </c>
      <c r="B13">
        <v>0.70952000000000004</v>
      </c>
      <c r="C13">
        <f t="shared" si="0"/>
        <v>0.59009806357600003</v>
      </c>
      <c r="D13">
        <v>1.7399999999999999E-2</v>
      </c>
      <c r="E13">
        <v>3.5999999999999999E-3</v>
      </c>
      <c r="F13">
        <f t="shared" si="1"/>
        <v>166.33725999999999</v>
      </c>
      <c r="G13">
        <f t="shared" si="2"/>
        <v>-0.70952000000000004</v>
      </c>
      <c r="H13">
        <f t="shared" si="3"/>
        <v>-118.01961271520001</v>
      </c>
      <c r="I13">
        <v>1</v>
      </c>
      <c r="J13">
        <f t="shared" si="4"/>
        <v>-1.7937378649629452</v>
      </c>
      <c r="K13">
        <f t="shared" si="5"/>
        <v>-0.51220515177521742</v>
      </c>
      <c r="L13">
        <v>1</v>
      </c>
      <c r="M13">
        <f t="shared" si="6"/>
        <v>0.5072678227691898</v>
      </c>
      <c r="N13">
        <f t="shared" si="7"/>
        <v>1.447134162E-2</v>
      </c>
      <c r="O13">
        <f t="shared" si="8"/>
        <v>2.99407068E-3</v>
      </c>
      <c r="P13">
        <f t="shared" si="9"/>
        <v>-1.2528083293972387E-2</v>
      </c>
      <c r="V13">
        <v>-5.0999999999999996</v>
      </c>
      <c r="W13">
        <f t="shared" si="10"/>
        <v>-0.33418500000000001</v>
      </c>
      <c r="Y13">
        <v>0.09</v>
      </c>
      <c r="Z13">
        <f t="shared" si="11"/>
        <v>0.71645000000000003</v>
      </c>
    </row>
    <row r="14" spans="1:29" x14ac:dyDescent="0.3">
      <c r="A14">
        <v>0.91410329999999995</v>
      </c>
      <c r="B14">
        <v>0.70230000000000004</v>
      </c>
      <c r="C14">
        <f t="shared" si="0"/>
        <v>0.64197474758999995</v>
      </c>
      <c r="D14">
        <v>1.7399999999999999E-2</v>
      </c>
      <c r="E14">
        <v>3.5999999999999999E-3</v>
      </c>
      <c r="F14">
        <f t="shared" si="1"/>
        <v>182.82066</v>
      </c>
      <c r="G14">
        <f t="shared" si="2"/>
        <v>-0.70230000000000004</v>
      </c>
      <c r="H14">
        <f t="shared" si="3"/>
        <v>-128.39494951799998</v>
      </c>
      <c r="I14">
        <v>1</v>
      </c>
      <c r="J14">
        <f t="shared" si="4"/>
        <v>-1.6992496066546776</v>
      </c>
      <c r="K14">
        <f t="shared" si="5"/>
        <v>-0.51942515177521742</v>
      </c>
      <c r="L14">
        <v>1</v>
      </c>
      <c r="M14">
        <f t="shared" si="6"/>
        <v>0.51221428309162764</v>
      </c>
      <c r="N14">
        <f t="shared" si="7"/>
        <v>1.5905397419999998E-2</v>
      </c>
      <c r="O14">
        <f t="shared" si="8"/>
        <v>3.2907718799999996E-3</v>
      </c>
      <c r="P14">
        <f t="shared" si="9"/>
        <v>-1.1985300616410221E-2</v>
      </c>
      <c r="V14">
        <v>-5</v>
      </c>
      <c r="W14">
        <f t="shared" si="10"/>
        <v>-0.33942</v>
      </c>
      <c r="Y14">
        <v>0.1</v>
      </c>
      <c r="Z14">
        <f t="shared" si="11"/>
        <v>0.84688000000000008</v>
      </c>
    </row>
    <row r="15" spans="1:29" x14ac:dyDescent="0.3">
      <c r="A15">
        <v>0.99712184999999998</v>
      </c>
      <c r="B15">
        <v>0.69533</v>
      </c>
      <c r="C15">
        <f t="shared" si="0"/>
        <v>0.69332873596050004</v>
      </c>
      <c r="D15">
        <v>1.7399999999999999E-2</v>
      </c>
      <c r="E15">
        <v>3.5999999999999999E-3</v>
      </c>
      <c r="F15">
        <f t="shared" si="1"/>
        <v>199.42436999999998</v>
      </c>
      <c r="G15">
        <f t="shared" si="2"/>
        <v>-0.69533</v>
      </c>
      <c r="H15">
        <f t="shared" si="3"/>
        <v>-138.66574719210001</v>
      </c>
      <c r="I15">
        <v>1</v>
      </c>
      <c r="J15">
        <f t="shared" si="4"/>
        <v>-1.6123202122722955</v>
      </c>
      <c r="K15">
        <f t="shared" si="5"/>
        <v>-0.52639515177521745</v>
      </c>
      <c r="L15">
        <v>1</v>
      </c>
      <c r="M15">
        <f t="shared" si="6"/>
        <v>0.51676503688754527</v>
      </c>
      <c r="N15">
        <f t="shared" si="7"/>
        <v>1.734992019E-2</v>
      </c>
      <c r="O15">
        <f t="shared" si="8"/>
        <v>3.58963866E-3</v>
      </c>
      <c r="P15">
        <f t="shared" si="9"/>
        <v>-1.1309443962327819E-2</v>
      </c>
      <c r="V15">
        <v>-4.9000000000000004</v>
      </c>
      <c r="W15">
        <f t="shared" si="10"/>
        <v>-0.34465499999999993</v>
      </c>
      <c r="Y15">
        <v>0.11</v>
      </c>
      <c r="Z15">
        <f t="shared" si="11"/>
        <v>0.9773099999999999</v>
      </c>
    </row>
    <row r="16" spans="1:29" x14ac:dyDescent="0.3">
      <c r="A16">
        <v>1.08074205</v>
      </c>
      <c r="B16">
        <v>0.68847000000000003</v>
      </c>
      <c r="C16">
        <f t="shared" si="0"/>
        <v>0.74405847916349999</v>
      </c>
      <c r="D16">
        <v>1.7399999999999999E-2</v>
      </c>
      <c r="E16">
        <v>3.5999999999999999E-3</v>
      </c>
      <c r="F16">
        <f t="shared" si="1"/>
        <v>216.14841000000001</v>
      </c>
      <c r="G16">
        <f t="shared" si="2"/>
        <v>-0.68847000000000003</v>
      </c>
      <c r="H16">
        <f t="shared" si="3"/>
        <v>-148.8116958327</v>
      </c>
      <c r="I16">
        <v>1</v>
      </c>
      <c r="J16">
        <f t="shared" si="4"/>
        <v>-1.5317900238983275</v>
      </c>
      <c r="K16">
        <f t="shared" si="5"/>
        <v>-0.53325515177521743</v>
      </c>
      <c r="L16">
        <v>1</v>
      </c>
      <c r="M16">
        <f t="shared" si="6"/>
        <v>0.52098079224892258</v>
      </c>
      <c r="N16">
        <f t="shared" si="7"/>
        <v>1.880491167E-2</v>
      </c>
      <c r="O16">
        <f t="shared" si="8"/>
        <v>3.8906713799999998E-3</v>
      </c>
      <c r="P16">
        <f t="shared" si="9"/>
        <v>-1.0421223523705147E-2</v>
      </c>
      <c r="V16">
        <v>-4.8</v>
      </c>
      <c r="W16">
        <f t="shared" si="10"/>
        <v>-0.34988999999999998</v>
      </c>
      <c r="Y16">
        <v>0.12</v>
      </c>
      <c r="Z16">
        <f t="shared" si="11"/>
        <v>1.1077399999999999</v>
      </c>
    </row>
    <row r="17" spans="1:26" x14ac:dyDescent="0.3">
      <c r="A17">
        <v>1.1619558999999999</v>
      </c>
      <c r="B17">
        <v>0.68171000000000004</v>
      </c>
      <c r="C17">
        <f t="shared" si="0"/>
        <v>0.79211695658899994</v>
      </c>
      <c r="D17">
        <v>1.7399999999999999E-2</v>
      </c>
      <c r="E17">
        <v>3.5999999999999999E-3</v>
      </c>
      <c r="F17">
        <f t="shared" si="1"/>
        <v>232.39117999999999</v>
      </c>
      <c r="G17">
        <f t="shared" si="2"/>
        <v>-0.68171000000000004</v>
      </c>
      <c r="H17">
        <f t="shared" si="3"/>
        <v>-158.4233913178</v>
      </c>
      <c r="I17">
        <v>1</v>
      </c>
      <c r="J17">
        <f t="shared" si="4"/>
        <v>-1.4593332065317979</v>
      </c>
      <c r="K17">
        <f t="shared" si="5"/>
        <v>-0.54001515177521742</v>
      </c>
      <c r="L17">
        <v>1</v>
      </c>
      <c r="M17">
        <f t="shared" si="6"/>
        <v>0.52477390663806034</v>
      </c>
      <c r="N17">
        <f t="shared" si="7"/>
        <v>2.0218032659999996E-2</v>
      </c>
      <c r="O17">
        <f t="shared" si="8"/>
        <v>4.1830412399999992E-3</v>
      </c>
      <c r="P17">
        <f t="shared" si="9"/>
        <v>-9.1598287628429174E-3</v>
      </c>
      <c r="V17">
        <v>-4.7</v>
      </c>
      <c r="W17">
        <f t="shared" si="10"/>
        <v>-0.35512499999999997</v>
      </c>
      <c r="Y17">
        <v>0.13</v>
      </c>
      <c r="Z17">
        <f t="shared" si="11"/>
        <v>1.23817</v>
      </c>
    </row>
    <row r="18" spans="1:26" x14ac:dyDescent="0.3">
      <c r="A18">
        <v>1.2467792</v>
      </c>
      <c r="B18">
        <v>0.67508000000000001</v>
      </c>
      <c r="C18">
        <f t="shared" si="0"/>
        <v>0.84167570233599998</v>
      </c>
      <c r="D18">
        <v>1.7399999999999999E-2</v>
      </c>
      <c r="E18">
        <v>3.5999999999999999E-3</v>
      </c>
      <c r="F18">
        <f t="shared" si="1"/>
        <v>249.35584</v>
      </c>
      <c r="G18">
        <f t="shared" si="2"/>
        <v>-0.67508000000000001</v>
      </c>
      <c r="H18">
        <f t="shared" si="3"/>
        <v>-168.33514046720001</v>
      </c>
      <c r="I18">
        <v>1</v>
      </c>
      <c r="J18">
        <f t="shared" si="4"/>
        <v>-1.3888743263699452</v>
      </c>
      <c r="K18">
        <f t="shared" si="5"/>
        <v>-0.54664515177521744</v>
      </c>
      <c r="L18">
        <v>1</v>
      </c>
      <c r="M18">
        <f t="shared" si="6"/>
        <v>0.52846242901453333</v>
      </c>
      <c r="N18">
        <f t="shared" si="7"/>
        <v>2.1693958079999999E-2</v>
      </c>
      <c r="O18">
        <f t="shared" si="8"/>
        <v>4.4884051199999995E-3</v>
      </c>
      <c r="P18">
        <f t="shared" si="9"/>
        <v>-7.9996404393158881E-3</v>
      </c>
      <c r="V18">
        <v>-4.5999999999999996</v>
      </c>
      <c r="W18">
        <f t="shared" si="10"/>
        <v>-0.36036000000000001</v>
      </c>
      <c r="Y18">
        <v>0.14000000000000001</v>
      </c>
      <c r="Z18">
        <f t="shared" si="11"/>
        <v>1.3686</v>
      </c>
    </row>
    <row r="19" spans="1:26" x14ac:dyDescent="0.3">
      <c r="A19">
        <v>1.33039935</v>
      </c>
      <c r="B19">
        <v>0.66849000000000003</v>
      </c>
      <c r="C19">
        <f t="shared" si="0"/>
        <v>0.8893586614815</v>
      </c>
      <c r="D19">
        <v>1.7399999999999999E-2</v>
      </c>
      <c r="E19">
        <v>3.5999999999999999E-3</v>
      </c>
      <c r="F19">
        <f t="shared" si="1"/>
        <v>266.07986999999997</v>
      </c>
      <c r="G19">
        <f t="shared" si="2"/>
        <v>-0.66849000000000003</v>
      </c>
      <c r="H19">
        <f t="shared" si="3"/>
        <v>-177.8717322963</v>
      </c>
      <c r="I19">
        <v>1</v>
      </c>
      <c r="J19">
        <f t="shared" si="4"/>
        <v>-1.3239587521125036</v>
      </c>
      <c r="K19">
        <f t="shared" si="5"/>
        <v>-0.55323515177521743</v>
      </c>
      <c r="L19">
        <v>1</v>
      </c>
      <c r="M19">
        <f t="shared" si="6"/>
        <v>0.53186075932691046</v>
      </c>
      <c r="N19">
        <f t="shared" si="7"/>
        <v>2.3148948689999997E-2</v>
      </c>
      <c r="O19">
        <f t="shared" si="8"/>
        <v>4.7894376599999997E-3</v>
      </c>
      <c r="P19">
        <f t="shared" si="9"/>
        <v>-6.5639939016930299E-3</v>
      </c>
      <c r="V19">
        <v>-4.5000000000000098</v>
      </c>
      <c r="W19">
        <f t="shared" si="10"/>
        <v>-0.36559499999999945</v>
      </c>
      <c r="Y19">
        <v>0.15</v>
      </c>
      <c r="Z19">
        <f t="shared" si="11"/>
        <v>1.4990299999999999</v>
      </c>
    </row>
    <row r="20" spans="1:26" x14ac:dyDescent="0.3">
      <c r="A20">
        <v>1.4128163499999999</v>
      </c>
      <c r="B20">
        <v>0.66202000000000005</v>
      </c>
      <c r="C20">
        <f t="shared" si="0"/>
        <v>0.93531268002700008</v>
      </c>
      <c r="D20">
        <v>1.7399999999999999E-2</v>
      </c>
      <c r="E20">
        <v>3.5999999999999999E-3</v>
      </c>
      <c r="F20">
        <f t="shared" si="1"/>
        <v>282.56326999999999</v>
      </c>
      <c r="G20">
        <f t="shared" si="2"/>
        <v>-0.66202000000000005</v>
      </c>
      <c r="H20">
        <f t="shared" si="3"/>
        <v>-187.06253600540001</v>
      </c>
      <c r="I20">
        <v>1</v>
      </c>
      <c r="J20">
        <f t="shared" si="4"/>
        <v>-1.2638527888701989</v>
      </c>
      <c r="K20">
        <f t="shared" si="5"/>
        <v>-0.5597051517752174</v>
      </c>
      <c r="L20">
        <v>1</v>
      </c>
      <c r="M20">
        <f t="shared" si="6"/>
        <v>0.53500730650264505</v>
      </c>
      <c r="N20">
        <f t="shared" si="7"/>
        <v>2.4583004489999997E-2</v>
      </c>
      <c r="O20">
        <f t="shared" si="8"/>
        <v>5.0861388599999996E-3</v>
      </c>
      <c r="P20">
        <f t="shared" si="9"/>
        <v>-4.9712980774276475E-3</v>
      </c>
      <c r="V20">
        <v>-4.4000000000000101</v>
      </c>
      <c r="W20">
        <f t="shared" si="10"/>
        <v>-0.37082999999999944</v>
      </c>
      <c r="Y20">
        <v>0.16</v>
      </c>
      <c r="Z20">
        <f t="shared" si="11"/>
        <v>1.6294599999999999</v>
      </c>
    </row>
    <row r="21" spans="1:26" x14ac:dyDescent="0.3">
      <c r="A21">
        <v>1.4952334</v>
      </c>
      <c r="B21">
        <v>0.65559999999999996</v>
      </c>
      <c r="C21">
        <f t="shared" si="0"/>
        <v>0.98027501703999997</v>
      </c>
      <c r="D21">
        <v>1.7399999999999999E-2</v>
      </c>
      <c r="E21">
        <v>3.5999999999999999E-3</v>
      </c>
      <c r="F21">
        <f t="shared" si="1"/>
        <v>299.04668000000004</v>
      </c>
      <c r="G21">
        <f t="shared" si="2"/>
        <v>-0.65559999999999996</v>
      </c>
      <c r="H21">
        <f t="shared" si="3"/>
        <v>-196.055003408</v>
      </c>
      <c r="I21">
        <v>1</v>
      </c>
      <c r="J21">
        <f t="shared" si="4"/>
        <v>-1.2071555973756343</v>
      </c>
      <c r="K21">
        <f t="shared" si="5"/>
        <v>-0.56612515177521749</v>
      </c>
      <c r="L21">
        <v>1</v>
      </c>
      <c r="M21">
        <f t="shared" si="6"/>
        <v>0.53797540447738557</v>
      </c>
      <c r="N21">
        <f t="shared" si="7"/>
        <v>2.601706116E-2</v>
      </c>
      <c r="O21">
        <f t="shared" si="8"/>
        <v>5.3828402399999998E-3</v>
      </c>
      <c r="P21">
        <f t="shared" si="9"/>
        <v>-3.2501541021680716E-3</v>
      </c>
      <c r="V21">
        <v>-4.3000000000000096</v>
      </c>
      <c r="W21">
        <f t="shared" si="10"/>
        <v>-0.37606499999999948</v>
      </c>
      <c r="Y21">
        <v>0.17</v>
      </c>
      <c r="Z21">
        <f t="shared" si="11"/>
        <v>1.75989</v>
      </c>
    </row>
    <row r="22" spans="1:26" x14ac:dyDescent="0.3">
      <c r="A22">
        <v>1.5806583000000001</v>
      </c>
      <c r="B22">
        <v>0.64929999999999999</v>
      </c>
      <c r="C22">
        <f t="shared" si="0"/>
        <v>1.02632143419</v>
      </c>
      <c r="D22">
        <v>1.7399999999999999E-2</v>
      </c>
      <c r="E22">
        <v>3.5999999999999999E-3</v>
      </c>
      <c r="F22">
        <f t="shared" si="1"/>
        <v>316.13166000000001</v>
      </c>
      <c r="G22">
        <f t="shared" si="2"/>
        <v>-0.64929999999999999</v>
      </c>
      <c r="H22">
        <f t="shared" si="3"/>
        <v>-205.264286838</v>
      </c>
      <c r="I22">
        <v>1</v>
      </c>
      <c r="J22">
        <f t="shared" si="4"/>
        <v>-1.1515965065982685</v>
      </c>
      <c r="K22">
        <f t="shared" si="5"/>
        <v>-0.57242515177521747</v>
      </c>
      <c r="L22">
        <v>1</v>
      </c>
      <c r="M22">
        <f t="shared" si="6"/>
        <v>0.54088392287958065</v>
      </c>
      <c r="N22">
        <f t="shared" si="7"/>
        <v>2.750345442E-2</v>
      </c>
      <c r="O22">
        <f t="shared" si="8"/>
        <v>5.6903698799999998E-3</v>
      </c>
      <c r="P22">
        <f t="shared" si="9"/>
        <v>-1.6525954043631807E-3</v>
      </c>
      <c r="V22">
        <v>-4.2000000000000099</v>
      </c>
      <c r="W22">
        <f t="shared" si="10"/>
        <v>-0.38129999999999942</v>
      </c>
      <c r="Y22">
        <v>0.18</v>
      </c>
      <c r="Z22">
        <f t="shared" si="11"/>
        <v>1.89032</v>
      </c>
    </row>
    <row r="23" spans="1:26" x14ac:dyDescent="0.3">
      <c r="A23">
        <v>1.66127055</v>
      </c>
      <c r="B23">
        <v>0.64315</v>
      </c>
      <c r="C23">
        <f t="shared" si="0"/>
        <v>1.0684461542325001</v>
      </c>
      <c r="D23">
        <v>1.7399999999999999E-2</v>
      </c>
      <c r="E23">
        <v>3.5999999999999999E-3</v>
      </c>
      <c r="F23">
        <f t="shared" si="1"/>
        <v>332.25411000000003</v>
      </c>
      <c r="G23">
        <f t="shared" si="2"/>
        <v>-0.64315</v>
      </c>
      <c r="H23">
        <f t="shared" si="3"/>
        <v>-213.68923084650001</v>
      </c>
      <c r="I23">
        <v>1</v>
      </c>
      <c r="J23">
        <f t="shared" si="4"/>
        <v>-1.1018552112621323</v>
      </c>
      <c r="K23">
        <f t="shared" si="5"/>
        <v>-0.57857515177521746</v>
      </c>
      <c r="L23">
        <v>1</v>
      </c>
      <c r="M23">
        <f t="shared" si="6"/>
        <v>0.54348787969042733</v>
      </c>
      <c r="N23">
        <f t="shared" si="7"/>
        <v>2.8906107569999999E-2</v>
      </c>
      <c r="O23">
        <f t="shared" si="8"/>
        <v>5.9805739799999999E-3</v>
      </c>
      <c r="P23">
        <f t="shared" si="9"/>
        <v>2.0059053479012327E-4</v>
      </c>
      <c r="V23">
        <v>-4.1000000000000103</v>
      </c>
      <c r="W23">
        <f t="shared" si="10"/>
        <v>-0.38653499999999941</v>
      </c>
      <c r="Y23">
        <v>0.19</v>
      </c>
      <c r="Z23">
        <f t="shared" si="11"/>
        <v>2.02075</v>
      </c>
    </row>
    <row r="24" spans="1:26" x14ac:dyDescent="0.3">
      <c r="A24">
        <v>1.74729695</v>
      </c>
      <c r="B24">
        <v>0.63710999999999995</v>
      </c>
      <c r="C24">
        <f t="shared" si="0"/>
        <v>1.1132203598144998</v>
      </c>
      <c r="D24">
        <v>1.7399999999999999E-2</v>
      </c>
      <c r="E24">
        <v>3.5999999999999999E-3</v>
      </c>
      <c r="F24">
        <f t="shared" si="1"/>
        <v>349.45938999999998</v>
      </c>
      <c r="G24">
        <f t="shared" si="2"/>
        <v>-0.63710999999999995</v>
      </c>
      <c r="H24">
        <f t="shared" si="3"/>
        <v>-222.64407196289997</v>
      </c>
      <c r="I24">
        <v>1</v>
      </c>
      <c r="J24">
        <f t="shared" si="4"/>
        <v>-1.0513679186230458</v>
      </c>
      <c r="K24">
        <f t="shared" si="5"/>
        <v>-0.5846151517752175</v>
      </c>
      <c r="L24">
        <v>1</v>
      </c>
      <c r="M24">
        <f t="shared" si="6"/>
        <v>0.54613088946008359</v>
      </c>
      <c r="N24">
        <f t="shared" si="7"/>
        <v>3.0402966929999997E-2</v>
      </c>
      <c r="O24">
        <f t="shared" si="8"/>
        <v>6.2902690199999993E-3</v>
      </c>
      <c r="P24">
        <f t="shared" si="9"/>
        <v>1.7910263651339138E-3</v>
      </c>
      <c r="V24">
        <v>-4.0000000000000098</v>
      </c>
      <c r="W24">
        <f t="shared" si="10"/>
        <v>-0.39176999999999951</v>
      </c>
      <c r="Y24">
        <v>0.2</v>
      </c>
      <c r="Z24">
        <f t="shared" si="11"/>
        <v>2.1511800000000001</v>
      </c>
    </row>
    <row r="25" spans="1:26" x14ac:dyDescent="0.3">
      <c r="A25">
        <v>1.83392515</v>
      </c>
      <c r="B25">
        <v>0.63124999999999998</v>
      </c>
      <c r="C25">
        <f t="shared" si="0"/>
        <v>1.1576652509375001</v>
      </c>
      <c r="D25">
        <v>1.7399999999999999E-2</v>
      </c>
      <c r="E25">
        <v>3.5999999999999999E-3</v>
      </c>
      <c r="F25">
        <f t="shared" si="1"/>
        <v>366.78503000000001</v>
      </c>
      <c r="G25">
        <f t="shared" si="2"/>
        <v>-0.63124999999999998</v>
      </c>
      <c r="H25">
        <f t="shared" si="3"/>
        <v>-231.53305018750001</v>
      </c>
      <c r="I25">
        <v>1</v>
      </c>
      <c r="J25">
        <f t="shared" si="4"/>
        <v>-1.0029793518645203</v>
      </c>
      <c r="K25">
        <f t="shared" si="5"/>
        <v>-0.59047515177521748</v>
      </c>
      <c r="L25">
        <v>1</v>
      </c>
      <c r="M25">
        <f t="shared" si="6"/>
        <v>0.54866403092989235</v>
      </c>
      <c r="N25">
        <f t="shared" si="7"/>
        <v>3.1910297609999999E-2</v>
      </c>
      <c r="O25">
        <f t="shared" si="8"/>
        <v>6.6021305399999999E-3</v>
      </c>
      <c r="P25">
        <f t="shared" si="9"/>
        <v>3.2986926953251236E-3</v>
      </c>
      <c r="V25">
        <v>-3.9000000000000101</v>
      </c>
      <c r="W25">
        <f t="shared" si="10"/>
        <v>-0.39700499999999944</v>
      </c>
      <c r="Y25">
        <v>0.21</v>
      </c>
      <c r="Z25">
        <f t="shared" si="11"/>
        <v>2.2816099999999997</v>
      </c>
    </row>
    <row r="26" spans="1:26" x14ac:dyDescent="0.3">
      <c r="A26">
        <v>1.9139356999999999</v>
      </c>
      <c r="B26">
        <v>0.62555000000000005</v>
      </c>
      <c r="C26">
        <f t="shared" si="0"/>
        <v>1.197262477135</v>
      </c>
      <c r="D26">
        <v>1.7399999999999999E-2</v>
      </c>
      <c r="E26">
        <v>3.5999999999999999E-3</v>
      </c>
      <c r="F26">
        <f t="shared" si="1"/>
        <v>382.78713999999997</v>
      </c>
      <c r="G26">
        <f t="shared" si="2"/>
        <v>-0.62555000000000005</v>
      </c>
      <c r="H26">
        <f t="shared" si="3"/>
        <v>-239.452495427</v>
      </c>
      <c r="I26">
        <v>1</v>
      </c>
      <c r="J26">
        <f t="shared" si="4"/>
        <v>-0.96027621453400125</v>
      </c>
      <c r="K26">
        <f t="shared" si="5"/>
        <v>-0.5961751517752174</v>
      </c>
      <c r="L26">
        <v>1</v>
      </c>
      <c r="M26">
        <f t="shared" si="6"/>
        <v>0.550899540169145</v>
      </c>
      <c r="N26">
        <f t="shared" si="7"/>
        <v>3.3302481179999996E-2</v>
      </c>
      <c r="O26">
        <f t="shared" si="8"/>
        <v>6.8901685199999991E-3</v>
      </c>
      <c r="P26">
        <f t="shared" si="9"/>
        <v>5.0829619060724128E-3</v>
      </c>
      <c r="V26">
        <v>-3.80000000000001</v>
      </c>
      <c r="W26">
        <f t="shared" si="10"/>
        <v>-0.40223999999999949</v>
      </c>
      <c r="Y26">
        <v>0.22</v>
      </c>
      <c r="Z26">
        <f t="shared" si="11"/>
        <v>2.4120399999999997</v>
      </c>
    </row>
    <row r="27" spans="1:26" x14ac:dyDescent="0.3">
      <c r="A27">
        <v>1.9969542499999999</v>
      </c>
      <c r="B27">
        <v>0.61997000000000002</v>
      </c>
      <c r="C27">
        <f t="shared" si="0"/>
        <v>1.2380517263724999</v>
      </c>
      <c r="D27">
        <v>1.7399999999999999E-2</v>
      </c>
      <c r="E27">
        <v>3.5999999999999999E-3</v>
      </c>
      <c r="F27">
        <f t="shared" si="1"/>
        <v>399.39085</v>
      </c>
      <c r="G27">
        <f t="shared" si="2"/>
        <v>-0.61997000000000002</v>
      </c>
      <c r="H27">
        <f t="shared" si="3"/>
        <v>-247.61034527449999</v>
      </c>
      <c r="I27">
        <v>1</v>
      </c>
      <c r="J27">
        <f t="shared" si="4"/>
        <v>-0.91781476762689174</v>
      </c>
      <c r="K27">
        <f t="shared" si="5"/>
        <v>-0.60175515177521743</v>
      </c>
      <c r="L27">
        <v>1</v>
      </c>
      <c r="M27">
        <f t="shared" si="6"/>
        <v>0.5531223969147322</v>
      </c>
      <c r="N27">
        <f t="shared" si="7"/>
        <v>3.4747003949999994E-2</v>
      </c>
      <c r="O27">
        <f t="shared" si="8"/>
        <v>7.1890352999999995E-3</v>
      </c>
      <c r="P27">
        <f t="shared" si="9"/>
        <v>6.6967156104852455E-3</v>
      </c>
      <c r="V27">
        <v>-3.7000000000000099</v>
      </c>
      <c r="W27">
        <f t="shared" si="10"/>
        <v>-0.40747499999999948</v>
      </c>
      <c r="Y27">
        <v>0.23</v>
      </c>
      <c r="Z27">
        <f t="shared" si="11"/>
        <v>2.5424700000000002</v>
      </c>
    </row>
    <row r="28" spans="1:26" x14ac:dyDescent="0.3">
      <c r="A28">
        <v>2.0817776499999998</v>
      </c>
      <c r="B28">
        <v>0.61456999999999995</v>
      </c>
      <c r="C28">
        <f t="shared" si="0"/>
        <v>1.2793980903604998</v>
      </c>
      <c r="D28">
        <v>1.7399999999999999E-2</v>
      </c>
      <c r="E28">
        <v>3.5999999999999999E-3</v>
      </c>
      <c r="F28">
        <f t="shared" si="1"/>
        <v>416.35552999999999</v>
      </c>
      <c r="G28">
        <f t="shared" si="2"/>
        <v>-0.61456999999999995</v>
      </c>
      <c r="H28">
        <f t="shared" si="3"/>
        <v>-255.87961807209996</v>
      </c>
      <c r="I28">
        <v>1</v>
      </c>
      <c r="J28">
        <f t="shared" si="4"/>
        <v>-0.8762157442941233</v>
      </c>
      <c r="K28">
        <f t="shared" si="5"/>
        <v>-0.60715515177521751</v>
      </c>
      <c r="L28">
        <v>1</v>
      </c>
      <c r="M28">
        <f t="shared" si="6"/>
        <v>0.55530010578620259</v>
      </c>
      <c r="N28">
        <f t="shared" si="7"/>
        <v>3.6222931109999995E-2</v>
      </c>
      <c r="O28">
        <f t="shared" si="8"/>
        <v>7.4943995399999993E-3</v>
      </c>
      <c r="P28">
        <f t="shared" si="9"/>
        <v>8.1377153390149205E-3</v>
      </c>
      <c r="V28">
        <v>-3.6000000000000099</v>
      </c>
      <c r="W28">
        <f t="shared" si="10"/>
        <v>-0.41270999999999947</v>
      </c>
      <c r="Y28">
        <v>0.24</v>
      </c>
      <c r="Z28">
        <f t="shared" si="11"/>
        <v>2.6728999999999998</v>
      </c>
    </row>
    <row r="29" spans="1:26" x14ac:dyDescent="0.3">
      <c r="A29">
        <v>2.1635930000000001</v>
      </c>
      <c r="B29">
        <v>0.60921999999999998</v>
      </c>
      <c r="C29">
        <f t="shared" si="0"/>
        <v>1.3181041274600001</v>
      </c>
      <c r="D29">
        <v>1.7399999999999999E-2</v>
      </c>
      <c r="E29">
        <v>3.5999999999999999E-3</v>
      </c>
      <c r="F29">
        <f t="shared" si="1"/>
        <v>432.71860000000004</v>
      </c>
      <c r="G29">
        <f t="shared" si="2"/>
        <v>-0.60921999999999998</v>
      </c>
      <c r="H29">
        <f t="shared" si="3"/>
        <v>-263.62082549199999</v>
      </c>
      <c r="I29">
        <v>1</v>
      </c>
      <c r="J29">
        <f t="shared" si="4"/>
        <v>-0.83766764677269234</v>
      </c>
      <c r="K29">
        <f t="shared" si="5"/>
        <v>-0.61250515177521747</v>
      </c>
      <c r="L29">
        <v>1</v>
      </c>
      <c r="M29">
        <f t="shared" si="6"/>
        <v>0.55731809869144955</v>
      </c>
      <c r="N29">
        <f t="shared" si="7"/>
        <v>3.76465182E-2</v>
      </c>
      <c r="O29">
        <f t="shared" si="8"/>
        <v>7.7889348000000002E-3</v>
      </c>
      <c r="P29">
        <f t="shared" si="9"/>
        <v>9.7516000837679223E-3</v>
      </c>
      <c r="V29">
        <v>-3.5000000000000102</v>
      </c>
      <c r="W29">
        <f t="shared" si="10"/>
        <v>-0.41794499999999946</v>
      </c>
      <c r="Y29">
        <v>0.25</v>
      </c>
      <c r="Z29">
        <f t="shared" si="11"/>
        <v>2.8033299999999999</v>
      </c>
    </row>
    <row r="30" spans="1:26" x14ac:dyDescent="0.3">
      <c r="A30">
        <v>2.2466116</v>
      </c>
      <c r="B30">
        <v>0.60404999999999998</v>
      </c>
      <c r="C30">
        <f t="shared" si="0"/>
        <v>1.3570657369799999</v>
      </c>
      <c r="D30">
        <v>1.7399999999999999E-2</v>
      </c>
      <c r="E30">
        <v>3.5999999999999999E-3</v>
      </c>
      <c r="F30">
        <f t="shared" si="1"/>
        <v>449.32231999999999</v>
      </c>
      <c r="G30">
        <f t="shared" si="2"/>
        <v>-0.60404999999999998</v>
      </c>
      <c r="H30">
        <f t="shared" si="3"/>
        <v>-271.413147396</v>
      </c>
      <c r="I30">
        <v>1</v>
      </c>
      <c r="J30">
        <f t="shared" si="4"/>
        <v>-0.80001478686413552</v>
      </c>
      <c r="K30">
        <f t="shared" si="5"/>
        <v>-0.61767515177521748</v>
      </c>
      <c r="L30">
        <v>1</v>
      </c>
      <c r="M30">
        <f t="shared" si="6"/>
        <v>0.5592892259076625</v>
      </c>
      <c r="N30">
        <f t="shared" si="7"/>
        <v>3.909104184E-2</v>
      </c>
      <c r="O30">
        <f t="shared" si="8"/>
        <v>8.0878017599999991E-3</v>
      </c>
      <c r="P30">
        <f t="shared" si="9"/>
        <v>1.1207082267554978E-2</v>
      </c>
      <c r="V30">
        <v>-3.4000000000000101</v>
      </c>
      <c r="W30">
        <f t="shared" si="10"/>
        <v>-0.42317999999999945</v>
      </c>
      <c r="Y30">
        <v>0.26</v>
      </c>
      <c r="Z30">
        <f t="shared" si="11"/>
        <v>2.9337599999999999</v>
      </c>
    </row>
    <row r="31" spans="1:26" x14ac:dyDescent="0.3">
      <c r="A31">
        <v>2.3302317499999998</v>
      </c>
      <c r="B31">
        <v>0.59899000000000002</v>
      </c>
      <c r="C31">
        <f t="shared" si="0"/>
        <v>1.3957855159324999</v>
      </c>
      <c r="D31">
        <v>1.7399999999999999E-2</v>
      </c>
      <c r="E31">
        <v>3.5999999999999999E-3</v>
      </c>
      <c r="F31">
        <f t="shared" si="1"/>
        <v>466.04634999999996</v>
      </c>
      <c r="G31">
        <f t="shared" si="2"/>
        <v>-0.59899000000000002</v>
      </c>
      <c r="H31">
        <f t="shared" si="3"/>
        <v>-279.15710318649997</v>
      </c>
      <c r="I31">
        <v>1</v>
      </c>
      <c r="J31">
        <f t="shared" si="4"/>
        <v>-0.76347018628334584</v>
      </c>
      <c r="K31">
        <f t="shared" si="5"/>
        <v>-0.62273515177521743</v>
      </c>
      <c r="L31">
        <v>1</v>
      </c>
      <c r="M31">
        <f t="shared" si="6"/>
        <v>0.56120233574806688</v>
      </c>
      <c r="N31">
        <f t="shared" si="7"/>
        <v>4.0546032449999991E-2</v>
      </c>
      <c r="O31">
        <f t="shared" si="8"/>
        <v>8.3888342999999983E-3</v>
      </c>
      <c r="P31">
        <f t="shared" si="9"/>
        <v>1.259794927715056E-2</v>
      </c>
      <c r="V31">
        <v>-3.30000000000001</v>
      </c>
      <c r="W31">
        <f t="shared" si="10"/>
        <v>-0.42841499999999944</v>
      </c>
      <c r="Y31">
        <v>0.27</v>
      </c>
      <c r="Z31">
        <f t="shared" si="11"/>
        <v>3.06419</v>
      </c>
    </row>
    <row r="32" spans="1:26" x14ac:dyDescent="0.3">
      <c r="A32">
        <v>2.4126489000000002</v>
      </c>
      <c r="B32">
        <v>0.59397</v>
      </c>
      <c r="C32">
        <f t="shared" si="0"/>
        <v>1.4330410671330001</v>
      </c>
      <c r="D32">
        <v>1.7399999999999999E-2</v>
      </c>
      <c r="E32">
        <v>3.5999999999999999E-3</v>
      </c>
      <c r="F32">
        <f t="shared" si="1"/>
        <v>482.52978000000002</v>
      </c>
      <c r="G32">
        <f t="shared" si="2"/>
        <v>-0.59397</v>
      </c>
      <c r="H32">
        <f t="shared" si="3"/>
        <v>-286.6082134266</v>
      </c>
      <c r="I32">
        <v>1</v>
      </c>
      <c r="J32">
        <f t="shared" si="4"/>
        <v>-0.72871263990045609</v>
      </c>
      <c r="K32">
        <f t="shared" si="5"/>
        <v>-0.62775515177521746</v>
      </c>
      <c r="L32">
        <v>1</v>
      </c>
      <c r="M32">
        <f t="shared" si="6"/>
        <v>0.56302189330121111</v>
      </c>
      <c r="N32">
        <f t="shared" si="7"/>
        <v>4.1980090859999999E-2</v>
      </c>
      <c r="O32">
        <f t="shared" si="8"/>
        <v>8.6855360400000005E-3</v>
      </c>
      <c r="P32">
        <f t="shared" si="9"/>
        <v>1.406763157400635E-2</v>
      </c>
      <c r="V32">
        <v>-3.2000000000000099</v>
      </c>
      <c r="W32">
        <f t="shared" si="10"/>
        <v>-0.43364999999999942</v>
      </c>
    </row>
    <row r="33" spans="1:23" x14ac:dyDescent="0.3">
      <c r="A33">
        <v>2.4956675000000001</v>
      </c>
      <c r="B33">
        <v>0.58909</v>
      </c>
      <c r="C33">
        <f t="shared" si="0"/>
        <v>1.470172767575</v>
      </c>
      <c r="D33">
        <v>1.7399999999999999E-2</v>
      </c>
      <c r="E33">
        <v>3.5999999999999999E-3</v>
      </c>
      <c r="F33">
        <f t="shared" si="1"/>
        <v>499.13350000000003</v>
      </c>
      <c r="G33">
        <f t="shared" si="2"/>
        <v>-0.58909</v>
      </c>
      <c r="H33">
        <f t="shared" si="3"/>
        <v>-294.03455351500003</v>
      </c>
      <c r="I33">
        <v>1</v>
      </c>
      <c r="J33">
        <f t="shared" si="4"/>
        <v>-0.69488168394160332</v>
      </c>
      <c r="K33">
        <f t="shared" si="5"/>
        <v>-0.63263515177521745</v>
      </c>
      <c r="L33">
        <v>1</v>
      </c>
      <c r="M33">
        <f t="shared" si="6"/>
        <v>0.56479294384565704</v>
      </c>
      <c r="N33">
        <f t="shared" si="7"/>
        <v>4.34246145E-2</v>
      </c>
      <c r="O33">
        <f t="shared" si="8"/>
        <v>8.9844030000000002E-3</v>
      </c>
      <c r="P33">
        <f t="shared" si="9"/>
        <v>1.5433190429560416E-2</v>
      </c>
      <c r="V33">
        <v>-3.1000000000000099</v>
      </c>
      <c r="W33">
        <f t="shared" si="10"/>
        <v>-0.43888499999999947</v>
      </c>
    </row>
    <row r="34" spans="1:23" x14ac:dyDescent="0.3">
      <c r="A34">
        <v>2.5792876499999999</v>
      </c>
      <c r="B34">
        <v>0.58423000000000003</v>
      </c>
      <c r="C34">
        <f t="shared" si="0"/>
        <v>1.5068972237595</v>
      </c>
      <c r="D34">
        <v>1.7399999999999999E-2</v>
      </c>
      <c r="E34">
        <v>3.5999999999999999E-3</v>
      </c>
      <c r="F34">
        <f t="shared" si="1"/>
        <v>515.85753</v>
      </c>
      <c r="G34">
        <f t="shared" si="2"/>
        <v>-0.58423000000000003</v>
      </c>
      <c r="H34">
        <f t="shared" si="3"/>
        <v>-301.3794447519</v>
      </c>
      <c r="I34">
        <v>1</v>
      </c>
      <c r="J34">
        <f t="shared" si="4"/>
        <v>-0.6619246562756439</v>
      </c>
      <c r="K34">
        <f t="shared" si="5"/>
        <v>-0.63749515177521743</v>
      </c>
      <c r="L34">
        <v>1</v>
      </c>
      <c r="M34">
        <f t="shared" si="6"/>
        <v>0.56651824424397002</v>
      </c>
      <c r="N34">
        <f t="shared" si="7"/>
        <v>4.4879605109999998E-2</v>
      </c>
      <c r="O34">
        <f t="shared" si="8"/>
        <v>9.2854355399999994E-3</v>
      </c>
      <c r="P34">
        <f t="shared" si="9"/>
        <v>1.6811866881247417E-2</v>
      </c>
      <c r="V34">
        <v>-3.0000000000000102</v>
      </c>
      <c r="W34">
        <f t="shared" si="10"/>
        <v>-0.4441199999999994</v>
      </c>
    </row>
    <row r="35" spans="1:23" x14ac:dyDescent="0.3">
      <c r="A35">
        <v>2.6629078499999999</v>
      </c>
      <c r="B35">
        <v>0.57948</v>
      </c>
      <c r="C35">
        <f t="shared" si="0"/>
        <v>1.543101840918</v>
      </c>
      <c r="D35">
        <v>1.7399999999999999E-2</v>
      </c>
      <c r="E35">
        <v>3.5999999999999999E-3</v>
      </c>
      <c r="F35">
        <f t="shared" si="1"/>
        <v>532.58156999999994</v>
      </c>
      <c r="G35">
        <f t="shared" si="2"/>
        <v>-0.57948</v>
      </c>
      <c r="H35">
        <f t="shared" si="3"/>
        <v>-308.62036818359996</v>
      </c>
      <c r="I35">
        <v>1</v>
      </c>
      <c r="J35">
        <f t="shared" si="4"/>
        <v>-0.63001921003129824</v>
      </c>
      <c r="K35">
        <f t="shared" si="5"/>
        <v>-0.64224515177521746</v>
      </c>
      <c r="L35">
        <v>1</v>
      </c>
      <c r="M35">
        <f t="shared" si="6"/>
        <v>0.56818849435486152</v>
      </c>
      <c r="N35">
        <f t="shared" si="7"/>
        <v>4.6334596589999992E-2</v>
      </c>
      <c r="O35">
        <f t="shared" si="8"/>
        <v>9.5864682599999997E-3</v>
      </c>
      <c r="P35">
        <f t="shared" si="9"/>
        <v>1.8135592570355949E-2</v>
      </c>
      <c r="V35">
        <v>-2.9000000000000101</v>
      </c>
      <c r="W35">
        <f t="shared" si="10"/>
        <v>-0.44935499999999945</v>
      </c>
    </row>
    <row r="36" spans="1:23" x14ac:dyDescent="0.3">
      <c r="A36">
        <v>2.7453248000000001</v>
      </c>
      <c r="B36">
        <v>0.57477999999999996</v>
      </c>
      <c r="C36">
        <f t="shared" si="0"/>
        <v>1.5779577885439999</v>
      </c>
      <c r="D36">
        <v>1.7399999999999999E-2</v>
      </c>
      <c r="E36">
        <v>3.5999999999999999E-3</v>
      </c>
      <c r="F36">
        <f t="shared" si="1"/>
        <v>549.06496000000004</v>
      </c>
      <c r="G36">
        <f t="shared" si="2"/>
        <v>-0.57477999999999996</v>
      </c>
      <c r="H36">
        <f t="shared" si="3"/>
        <v>-315.5915577088</v>
      </c>
      <c r="I36">
        <v>1</v>
      </c>
      <c r="J36">
        <f t="shared" si="4"/>
        <v>-0.59953852024650023</v>
      </c>
      <c r="K36">
        <f t="shared" si="5"/>
        <v>-0.6469451517752175</v>
      </c>
      <c r="L36">
        <v>1</v>
      </c>
      <c r="M36">
        <f t="shared" si="6"/>
        <v>0.56978415846509567</v>
      </c>
      <c r="N36">
        <f t="shared" si="7"/>
        <v>4.7768651519999997E-2</v>
      </c>
      <c r="O36">
        <f t="shared" si="8"/>
        <v>9.8831692799999996E-3</v>
      </c>
      <c r="P36">
        <f t="shared" si="9"/>
        <v>1.9509172510121832E-2</v>
      </c>
      <c r="V36">
        <v>-2.80000000000001</v>
      </c>
      <c r="W36">
        <f t="shared" ref="W36:W67" si="12">V36*$S$5+$S$4</f>
        <v>-0.45458999999999949</v>
      </c>
    </row>
    <row r="37" spans="1:23" x14ac:dyDescent="0.3">
      <c r="A37">
        <v>2.8295463999999999</v>
      </c>
      <c r="B37">
        <v>0.57016</v>
      </c>
      <c r="C37">
        <f t="shared" si="0"/>
        <v>1.613294175424</v>
      </c>
      <c r="D37">
        <v>1.7399999999999999E-2</v>
      </c>
      <c r="E37">
        <v>3.5999999999999999E-3</v>
      </c>
      <c r="F37">
        <f t="shared" si="1"/>
        <v>565.90927999999997</v>
      </c>
      <c r="G37">
        <f t="shared" si="2"/>
        <v>-0.57016</v>
      </c>
      <c r="H37">
        <f t="shared" si="3"/>
        <v>-322.65883508479999</v>
      </c>
      <c r="I37">
        <v>1</v>
      </c>
      <c r="J37">
        <f t="shared" si="4"/>
        <v>-0.56932149631110895</v>
      </c>
      <c r="K37">
        <f t="shared" si="5"/>
        <v>-0.65156515177521745</v>
      </c>
      <c r="L37">
        <v>1</v>
      </c>
      <c r="M37">
        <f t="shared" si="6"/>
        <v>0.5713660196681134</v>
      </c>
      <c r="N37">
        <f t="shared" si="7"/>
        <v>4.9234107359999994E-2</v>
      </c>
      <c r="O37">
        <f t="shared" si="8"/>
        <v>1.018636704E-2</v>
      </c>
      <c r="P37">
        <f t="shared" si="9"/>
        <v>2.0778657707104062E-2</v>
      </c>
      <c r="V37">
        <v>-2.7000000000000099</v>
      </c>
      <c r="W37">
        <f t="shared" si="12"/>
        <v>-0.45982499999999948</v>
      </c>
    </row>
    <row r="38" spans="1:23" x14ac:dyDescent="0.3">
      <c r="A38">
        <v>2.9125651499999998</v>
      </c>
      <c r="B38">
        <v>0.56559999999999999</v>
      </c>
      <c r="C38">
        <f t="shared" si="0"/>
        <v>1.6473468488399998</v>
      </c>
      <c r="D38">
        <v>1.7399999999999999E-2</v>
      </c>
      <c r="E38">
        <v>3.5999999999999999E-3</v>
      </c>
      <c r="F38">
        <f t="shared" si="1"/>
        <v>582.51302999999996</v>
      </c>
      <c r="G38">
        <f t="shared" si="2"/>
        <v>-0.56559999999999999</v>
      </c>
      <c r="H38">
        <f t="shared" si="3"/>
        <v>-329.46936976799998</v>
      </c>
      <c r="I38">
        <v>1</v>
      </c>
      <c r="J38">
        <f t="shared" si="4"/>
        <v>-0.54040372469375353</v>
      </c>
      <c r="K38">
        <f t="shared" si="5"/>
        <v>-0.65612515177521746</v>
      </c>
      <c r="L38">
        <v>1</v>
      </c>
      <c r="M38">
        <f t="shared" si="6"/>
        <v>0.57287986501228194</v>
      </c>
      <c r="N38">
        <f t="shared" si="7"/>
        <v>5.0678633609999996E-2</v>
      </c>
      <c r="O38">
        <f t="shared" si="8"/>
        <v>1.0485234539999999E-2</v>
      </c>
      <c r="P38">
        <f t="shared" si="9"/>
        <v>2.2081418612935527E-2</v>
      </c>
      <c r="V38">
        <v>-2.6000000000000099</v>
      </c>
      <c r="W38">
        <f t="shared" si="12"/>
        <v>-0.46505999999999947</v>
      </c>
    </row>
    <row r="39" spans="1:23" x14ac:dyDescent="0.3">
      <c r="A39">
        <v>2.9991932000000001</v>
      </c>
      <c r="B39">
        <v>0.56108000000000002</v>
      </c>
      <c r="C39">
        <f t="shared" si="0"/>
        <v>1.6827873206560002</v>
      </c>
      <c r="D39">
        <v>1.7399999999999999E-2</v>
      </c>
      <c r="E39">
        <v>3.5999999999999999E-3</v>
      </c>
      <c r="F39">
        <f t="shared" si="1"/>
        <v>599.83864000000005</v>
      </c>
      <c r="G39">
        <f t="shared" si="2"/>
        <v>-0.56108000000000002</v>
      </c>
      <c r="H39">
        <f t="shared" si="3"/>
        <v>-336.55746413120005</v>
      </c>
      <c r="I39">
        <v>1</v>
      </c>
      <c r="J39">
        <f t="shared" si="4"/>
        <v>-0.51109459326837758</v>
      </c>
      <c r="K39">
        <f t="shared" si="5"/>
        <v>-0.66064515177521743</v>
      </c>
      <c r="L39">
        <v>1</v>
      </c>
      <c r="M39">
        <f t="shared" si="6"/>
        <v>0.57441419804240046</v>
      </c>
      <c r="N39">
        <f t="shared" si="7"/>
        <v>5.2185961679999997E-2</v>
      </c>
      <c r="O39">
        <f t="shared" si="8"/>
        <v>1.0797095519999999E-2</v>
      </c>
      <c r="P39">
        <f t="shared" si="9"/>
        <v>2.3247896532816975E-2</v>
      </c>
      <c r="V39">
        <v>-2.5000000000000102</v>
      </c>
      <c r="W39">
        <f t="shared" si="12"/>
        <v>-0.47029499999999946</v>
      </c>
    </row>
    <row r="40" spans="1:23" x14ac:dyDescent="0.3">
      <c r="A40">
        <v>3.0786023</v>
      </c>
      <c r="B40">
        <v>0.55662</v>
      </c>
      <c r="C40">
        <f t="shared" si="0"/>
        <v>1.7136116122260001</v>
      </c>
      <c r="D40">
        <v>1.7399999999999999E-2</v>
      </c>
      <c r="E40">
        <v>3.5999999999999999E-3</v>
      </c>
      <c r="F40">
        <f t="shared" si="1"/>
        <v>615.72046</v>
      </c>
      <c r="G40">
        <f t="shared" si="2"/>
        <v>-0.55662</v>
      </c>
      <c r="H40">
        <f t="shared" si="3"/>
        <v>-342.72232244520001</v>
      </c>
      <c r="I40">
        <v>1</v>
      </c>
      <c r="J40">
        <f t="shared" si="4"/>
        <v>-0.48496221714770793</v>
      </c>
      <c r="K40">
        <f t="shared" si="5"/>
        <v>-0.66510515177521745</v>
      </c>
      <c r="L40">
        <v>1</v>
      </c>
      <c r="M40">
        <f t="shared" si="6"/>
        <v>0.57578222793231748</v>
      </c>
      <c r="N40">
        <f t="shared" si="7"/>
        <v>5.3567680019999994E-2</v>
      </c>
      <c r="O40">
        <f t="shared" si="8"/>
        <v>1.1082968279999999E-2</v>
      </c>
      <c r="P40">
        <f t="shared" si="9"/>
        <v>2.4672275542899975E-2</v>
      </c>
      <c r="V40">
        <v>-2.4000000000000101</v>
      </c>
      <c r="W40">
        <f t="shared" si="12"/>
        <v>-0.47552999999999945</v>
      </c>
    </row>
    <row r="41" spans="1:23" x14ac:dyDescent="0.3">
      <c r="A41">
        <v>3.1604176499999999</v>
      </c>
      <c r="B41">
        <v>0.55225000000000002</v>
      </c>
      <c r="C41">
        <f t="shared" si="0"/>
        <v>1.7453406472124999</v>
      </c>
      <c r="D41">
        <v>1.7399999999999999E-2</v>
      </c>
      <c r="E41">
        <v>3.5999999999999999E-3</v>
      </c>
      <c r="F41">
        <f t="shared" si="1"/>
        <v>632.08353</v>
      </c>
      <c r="G41">
        <f t="shared" si="2"/>
        <v>-0.55225000000000002</v>
      </c>
      <c r="H41">
        <f t="shared" si="3"/>
        <v>-349.06812944249998</v>
      </c>
      <c r="I41">
        <v>1</v>
      </c>
      <c r="J41">
        <f t="shared" si="4"/>
        <v>-0.4587337258471445</v>
      </c>
      <c r="K41">
        <f t="shared" si="5"/>
        <v>-0.66947515177521744</v>
      </c>
      <c r="L41">
        <v>1</v>
      </c>
      <c r="M41">
        <f t="shared" si="6"/>
        <v>0.57715528945190198</v>
      </c>
      <c r="N41">
        <f t="shared" si="7"/>
        <v>5.4991267109999992E-2</v>
      </c>
      <c r="O41">
        <f t="shared" si="8"/>
        <v>1.1377503539999998E-2</v>
      </c>
      <c r="P41">
        <f t="shared" si="9"/>
        <v>2.5951091673315468E-2</v>
      </c>
      <c r="V41">
        <v>-2.30000000000001</v>
      </c>
      <c r="W41">
        <f t="shared" si="12"/>
        <v>-0.48076499999999944</v>
      </c>
    </row>
    <row r="42" spans="1:23" x14ac:dyDescent="0.3">
      <c r="A42">
        <v>3.2446394500000002</v>
      </c>
      <c r="B42">
        <v>0.54788999999999999</v>
      </c>
      <c r="C42">
        <f t="shared" si="0"/>
        <v>1.7777055082605</v>
      </c>
      <c r="D42">
        <v>1.7399999999999999E-2</v>
      </c>
      <c r="E42">
        <v>3.5999999999999999E-3</v>
      </c>
      <c r="F42">
        <f t="shared" si="1"/>
        <v>648.92789000000005</v>
      </c>
      <c r="G42">
        <f t="shared" si="2"/>
        <v>-0.54788999999999999</v>
      </c>
      <c r="H42">
        <f t="shared" si="3"/>
        <v>-355.5411016521</v>
      </c>
      <c r="I42">
        <v>1</v>
      </c>
      <c r="J42">
        <f t="shared" si="4"/>
        <v>-0.43243367785022901</v>
      </c>
      <c r="K42">
        <f t="shared" si="5"/>
        <v>-0.67383515177521747</v>
      </c>
      <c r="L42">
        <v>1</v>
      </c>
      <c r="M42">
        <f t="shared" si="6"/>
        <v>0.57853209696454044</v>
      </c>
      <c r="N42">
        <f t="shared" si="7"/>
        <v>5.645672643E-2</v>
      </c>
      <c r="O42">
        <f t="shared" si="8"/>
        <v>1.1680702020000001E-2</v>
      </c>
      <c r="P42">
        <f t="shared" si="9"/>
        <v>2.7165626360677021E-2</v>
      </c>
      <c r="V42">
        <v>-2.2000000000000099</v>
      </c>
      <c r="W42">
        <f t="shared" si="12"/>
        <v>-0.48599999999999943</v>
      </c>
    </row>
    <row r="43" spans="1:23" x14ac:dyDescent="0.3">
      <c r="A43">
        <v>3.3282596500000001</v>
      </c>
      <c r="B43">
        <v>0.54359999999999997</v>
      </c>
      <c r="C43">
        <f t="shared" si="0"/>
        <v>1.80924194574</v>
      </c>
      <c r="D43">
        <v>1.7399999999999999E-2</v>
      </c>
      <c r="E43">
        <v>3.5999999999999999E-3</v>
      </c>
      <c r="F43">
        <f t="shared" si="1"/>
        <v>665.65192999999999</v>
      </c>
      <c r="G43">
        <f t="shared" si="2"/>
        <v>-0.54359999999999997</v>
      </c>
      <c r="H43">
        <f t="shared" si="3"/>
        <v>-361.84838914799997</v>
      </c>
      <c r="I43">
        <v>1</v>
      </c>
      <c r="J43">
        <f t="shared" si="4"/>
        <v>-0.40698837268679622</v>
      </c>
      <c r="K43">
        <f t="shared" si="5"/>
        <v>-0.67812515177521748</v>
      </c>
      <c r="L43">
        <v>1</v>
      </c>
      <c r="M43">
        <f t="shared" si="6"/>
        <v>0.5798641586898462</v>
      </c>
      <c r="N43">
        <f t="shared" si="7"/>
        <v>5.791171791E-2</v>
      </c>
      <c r="O43">
        <f t="shared" si="8"/>
        <v>1.198173474E-2</v>
      </c>
      <c r="P43">
        <f t="shared" si="9"/>
        <v>2.8367540435371284E-2</v>
      </c>
      <c r="V43">
        <v>-2.1000000000000099</v>
      </c>
      <c r="W43">
        <f t="shared" si="12"/>
        <v>-0.49123499999999948</v>
      </c>
    </row>
    <row r="44" spans="1:23" x14ac:dyDescent="0.3">
      <c r="A44">
        <v>3.4100747999999999</v>
      </c>
      <c r="B44">
        <v>0.53942000000000001</v>
      </c>
      <c r="C44">
        <f t="shared" si="0"/>
        <v>1.8394625486159999</v>
      </c>
      <c r="D44">
        <v>1.7399999999999999E-2</v>
      </c>
      <c r="E44">
        <v>3.5999999999999999E-3</v>
      </c>
      <c r="F44">
        <f t="shared" si="1"/>
        <v>682.01495999999997</v>
      </c>
      <c r="G44">
        <f t="shared" si="2"/>
        <v>-0.53942000000000001</v>
      </c>
      <c r="H44">
        <f t="shared" si="3"/>
        <v>-367.89250972319996</v>
      </c>
      <c r="I44">
        <v>1</v>
      </c>
      <c r="J44">
        <f t="shared" si="4"/>
        <v>-0.38270368589538328</v>
      </c>
      <c r="K44">
        <f t="shared" si="5"/>
        <v>-0.68230515177521744</v>
      </c>
      <c r="L44">
        <v>1</v>
      </c>
      <c r="M44">
        <f t="shared" si="6"/>
        <v>0.58113546204337663</v>
      </c>
      <c r="N44">
        <f t="shared" si="7"/>
        <v>5.9335301519999994E-2</v>
      </c>
      <c r="O44">
        <f t="shared" si="8"/>
        <v>1.227626928E-2</v>
      </c>
      <c r="P44">
        <f t="shared" si="9"/>
        <v>2.9558118931840821E-2</v>
      </c>
      <c r="V44">
        <v>-2.0000000000000102</v>
      </c>
      <c r="W44">
        <f t="shared" si="12"/>
        <v>-0.49646999999999941</v>
      </c>
    </row>
    <row r="45" spans="1:23" x14ac:dyDescent="0.3">
      <c r="A45">
        <v>3.4936951500000002</v>
      </c>
      <c r="B45">
        <v>0.53517000000000003</v>
      </c>
      <c r="C45">
        <f t="shared" si="0"/>
        <v>1.8697208334255002</v>
      </c>
      <c r="D45">
        <v>1.7399999999999999E-2</v>
      </c>
      <c r="E45">
        <v>3.5999999999999999E-3</v>
      </c>
      <c r="F45">
        <f t="shared" si="1"/>
        <v>698.73903000000007</v>
      </c>
      <c r="G45">
        <f t="shared" si="2"/>
        <v>-0.53517000000000003</v>
      </c>
      <c r="H45">
        <f t="shared" si="3"/>
        <v>-373.94416668510007</v>
      </c>
      <c r="I45">
        <v>1</v>
      </c>
      <c r="J45">
        <f t="shared" si="4"/>
        <v>-0.35847795409939331</v>
      </c>
      <c r="K45">
        <f t="shared" si="5"/>
        <v>-0.68655515177521742</v>
      </c>
      <c r="L45">
        <v>1</v>
      </c>
      <c r="M45">
        <f t="shared" si="6"/>
        <v>0.5824036791028967</v>
      </c>
      <c r="N45">
        <f t="shared" si="7"/>
        <v>6.0790295609999996E-2</v>
      </c>
      <c r="O45">
        <f t="shared" si="8"/>
        <v>1.257730254E-2</v>
      </c>
      <c r="P45">
        <f t="shared" si="9"/>
        <v>3.0783874522320724E-2</v>
      </c>
      <c r="V45">
        <v>-1.9000000000000099</v>
      </c>
      <c r="W45">
        <f t="shared" si="12"/>
        <v>-0.5017049999999994</v>
      </c>
    </row>
    <row r="46" spans="1:23" x14ac:dyDescent="0.3">
      <c r="A46">
        <v>3.5779169500000001</v>
      </c>
      <c r="B46">
        <v>0.53093000000000001</v>
      </c>
      <c r="C46">
        <f t="shared" si="0"/>
        <v>1.8996234462635</v>
      </c>
      <c r="D46">
        <v>1.7399999999999999E-2</v>
      </c>
      <c r="E46">
        <v>3.5999999999999999E-3</v>
      </c>
      <c r="F46">
        <f t="shared" si="1"/>
        <v>715.58339000000001</v>
      </c>
      <c r="G46">
        <f t="shared" si="2"/>
        <v>-0.53093000000000001</v>
      </c>
      <c r="H46">
        <f t="shared" si="3"/>
        <v>-379.92468925269998</v>
      </c>
      <c r="I46">
        <v>1</v>
      </c>
      <c r="J46">
        <f t="shared" si="4"/>
        <v>-0.33465713890818322</v>
      </c>
      <c r="K46">
        <f t="shared" si="5"/>
        <v>-0.69079515177521744</v>
      </c>
      <c r="L46">
        <v>1</v>
      </c>
      <c r="M46">
        <f t="shared" si="6"/>
        <v>0.58365069877815656</v>
      </c>
      <c r="N46">
        <f t="shared" si="7"/>
        <v>6.2255754929999997E-2</v>
      </c>
      <c r="O46">
        <f t="shared" si="8"/>
        <v>1.2880501020000001E-2</v>
      </c>
      <c r="P46">
        <f t="shared" si="9"/>
        <v>3.2008197047060885E-2</v>
      </c>
      <c r="V46">
        <v>-1.80000000000001</v>
      </c>
      <c r="W46">
        <f t="shared" si="12"/>
        <v>-0.5069399999999995</v>
      </c>
    </row>
    <row r="47" spans="1:23" x14ac:dyDescent="0.3">
      <c r="A47">
        <v>3.6603336999999998</v>
      </c>
      <c r="B47">
        <v>0.52686999999999995</v>
      </c>
      <c r="C47">
        <f t="shared" si="0"/>
        <v>1.9285200165189997</v>
      </c>
      <c r="D47">
        <v>1.7399999999999999E-2</v>
      </c>
      <c r="E47">
        <v>3.5999999999999999E-3</v>
      </c>
      <c r="F47">
        <f t="shared" si="1"/>
        <v>732.06673999999998</v>
      </c>
      <c r="G47">
        <f t="shared" si="2"/>
        <v>-0.52686999999999995</v>
      </c>
      <c r="H47">
        <f t="shared" si="3"/>
        <v>-385.70400330379994</v>
      </c>
      <c r="I47">
        <v>1</v>
      </c>
      <c r="J47">
        <f t="shared" si="4"/>
        <v>-0.31188359431361284</v>
      </c>
      <c r="K47">
        <f t="shared" si="5"/>
        <v>-0.69485515177521751</v>
      </c>
      <c r="L47">
        <v>1</v>
      </c>
      <c r="M47">
        <f t="shared" si="6"/>
        <v>0.5848428938376824</v>
      </c>
      <c r="N47">
        <f t="shared" si="7"/>
        <v>6.3689806379999991E-2</v>
      </c>
      <c r="O47">
        <f t="shared" si="8"/>
        <v>1.3177201319999998E-2</v>
      </c>
      <c r="P47">
        <f t="shared" si="9"/>
        <v>3.3145250237535118E-2</v>
      </c>
      <c r="V47">
        <v>-1.7000000000000199</v>
      </c>
      <c r="W47">
        <f t="shared" si="12"/>
        <v>-0.51217499999999894</v>
      </c>
    </row>
    <row r="48" spans="1:23" x14ac:dyDescent="0.3">
      <c r="A48">
        <v>3.7427508500000002</v>
      </c>
      <c r="B48">
        <v>0.52276999999999996</v>
      </c>
      <c r="C48">
        <f t="shared" si="0"/>
        <v>1.9565978618544999</v>
      </c>
      <c r="D48">
        <v>1.7399999999999999E-2</v>
      </c>
      <c r="E48">
        <v>3.5999999999999999E-3</v>
      </c>
      <c r="F48">
        <f t="shared" si="1"/>
        <v>748.55016999999998</v>
      </c>
      <c r="G48">
        <f t="shared" si="2"/>
        <v>-0.52276999999999996</v>
      </c>
      <c r="H48">
        <f t="shared" si="3"/>
        <v>-391.3195723709</v>
      </c>
      <c r="I48">
        <v>1</v>
      </c>
      <c r="J48">
        <f t="shared" si="4"/>
        <v>-0.28961704998057947</v>
      </c>
      <c r="K48">
        <f t="shared" si="5"/>
        <v>-0.6989551517752175</v>
      </c>
      <c r="L48">
        <v>1</v>
      </c>
      <c r="M48">
        <f t="shared" si="6"/>
        <v>0.5860085474335166</v>
      </c>
      <c r="N48">
        <f t="shared" si="7"/>
        <v>6.512386479E-2</v>
      </c>
      <c r="O48">
        <f t="shared" si="8"/>
        <v>1.347390306E-2</v>
      </c>
      <c r="P48">
        <f t="shared" si="9"/>
        <v>3.4348836491700896E-2</v>
      </c>
      <c r="V48">
        <v>-1.6000000000000201</v>
      </c>
      <c r="W48">
        <f t="shared" si="12"/>
        <v>-0.51740999999999893</v>
      </c>
    </row>
    <row r="49" spans="1:23" x14ac:dyDescent="0.3">
      <c r="A49">
        <v>3.8281759000000002</v>
      </c>
      <c r="B49">
        <v>0.51863999999999999</v>
      </c>
      <c r="C49">
        <f t="shared" si="0"/>
        <v>1.9854451487760001</v>
      </c>
      <c r="D49">
        <v>1.7399999999999999E-2</v>
      </c>
      <c r="E49">
        <v>3.5999999999999999E-3</v>
      </c>
      <c r="F49">
        <f t="shared" si="1"/>
        <v>765.63517999999999</v>
      </c>
      <c r="G49">
        <f t="shared" si="2"/>
        <v>-0.51863999999999999</v>
      </c>
      <c r="H49">
        <f t="shared" si="3"/>
        <v>-397.08902975520004</v>
      </c>
      <c r="I49">
        <v>1</v>
      </c>
      <c r="J49">
        <f t="shared" si="4"/>
        <v>-0.26704948901091002</v>
      </c>
      <c r="K49">
        <f t="shared" si="5"/>
        <v>-0.70308515177521747</v>
      </c>
      <c r="L49">
        <v>1</v>
      </c>
      <c r="M49">
        <f t="shared" si="6"/>
        <v>0.58718995925027884</v>
      </c>
      <c r="N49">
        <f t="shared" si="7"/>
        <v>6.6610260660000004E-2</v>
      </c>
      <c r="O49">
        <f t="shared" si="8"/>
        <v>1.378143324E-2</v>
      </c>
      <c r="P49">
        <f t="shared" si="9"/>
        <v>3.5503498624938623E-2</v>
      </c>
      <c r="V49">
        <v>-1.50000000000002</v>
      </c>
      <c r="W49">
        <f t="shared" si="12"/>
        <v>-0.52264499999999892</v>
      </c>
    </row>
    <row r="50" spans="1:23" x14ac:dyDescent="0.3">
      <c r="A50">
        <v>3.9087879999999999</v>
      </c>
      <c r="B50">
        <v>0.51463999999999999</v>
      </c>
      <c r="C50">
        <f t="shared" si="0"/>
        <v>2.01161865632</v>
      </c>
      <c r="D50">
        <v>1.7399999999999999E-2</v>
      </c>
      <c r="E50">
        <v>3.5999999999999999E-3</v>
      </c>
      <c r="F50">
        <f t="shared" si="1"/>
        <v>781.75760000000002</v>
      </c>
      <c r="G50">
        <f t="shared" si="2"/>
        <v>-0.51463999999999999</v>
      </c>
      <c r="H50">
        <f t="shared" si="3"/>
        <v>-402.323731264</v>
      </c>
      <c r="I50">
        <v>1</v>
      </c>
      <c r="J50">
        <f t="shared" si="4"/>
        <v>-0.24621056091338045</v>
      </c>
      <c r="K50">
        <f t="shared" si="5"/>
        <v>-0.70708515177521747</v>
      </c>
      <c r="L50">
        <v>1</v>
      </c>
      <c r="M50">
        <f t="shared" si="6"/>
        <v>0.58828087713618449</v>
      </c>
      <c r="N50">
        <f t="shared" si="7"/>
        <v>6.8012911199999998E-2</v>
      </c>
      <c r="O50">
        <f t="shared" si="8"/>
        <v>1.4071636799999999E-2</v>
      </c>
      <c r="P50">
        <f t="shared" si="9"/>
        <v>3.6719726639032987E-2</v>
      </c>
      <c r="V50">
        <v>-1.4000000000000199</v>
      </c>
      <c r="W50">
        <f t="shared" si="12"/>
        <v>-0.52787999999999891</v>
      </c>
    </row>
    <row r="51" spans="1:23" x14ac:dyDescent="0.3">
      <c r="A51">
        <v>3.9960176500000002</v>
      </c>
      <c r="B51">
        <v>0.51060000000000005</v>
      </c>
      <c r="C51">
        <f t="shared" si="0"/>
        <v>2.0403666120900001</v>
      </c>
      <c r="D51">
        <v>1.7399999999999999E-2</v>
      </c>
      <c r="E51">
        <v>3.5999999999999999E-3</v>
      </c>
      <c r="F51">
        <f t="shared" si="1"/>
        <v>799.20353</v>
      </c>
      <c r="G51">
        <f t="shared" si="2"/>
        <v>-0.51060000000000005</v>
      </c>
      <c r="H51">
        <f t="shared" si="3"/>
        <v>-408.07332241800003</v>
      </c>
      <c r="I51">
        <v>1</v>
      </c>
      <c r="J51">
        <f t="shared" si="4"/>
        <v>-0.22413963474063092</v>
      </c>
      <c r="K51">
        <f t="shared" si="5"/>
        <v>-0.7111251517752174</v>
      </c>
      <c r="L51">
        <v>1</v>
      </c>
      <c r="M51">
        <f t="shared" si="6"/>
        <v>0.58943629012132792</v>
      </c>
      <c r="N51">
        <f t="shared" si="7"/>
        <v>6.9530707109999992E-2</v>
      </c>
      <c r="O51">
        <f t="shared" si="8"/>
        <v>1.4385663539999999E-2</v>
      </c>
      <c r="P51">
        <f t="shared" si="9"/>
        <v>3.7772491003889491E-2</v>
      </c>
      <c r="V51">
        <v>-1.30000000000002</v>
      </c>
      <c r="W51">
        <f t="shared" si="12"/>
        <v>-0.5331149999999989</v>
      </c>
    </row>
    <row r="52" spans="1:23" x14ac:dyDescent="0.3">
      <c r="A52">
        <v>4.0742237499999998</v>
      </c>
      <c r="B52">
        <v>0.50658000000000003</v>
      </c>
      <c r="C52">
        <f t="shared" si="0"/>
        <v>2.0639202672749999</v>
      </c>
      <c r="D52">
        <v>1.7399999999999999E-2</v>
      </c>
      <c r="E52">
        <v>3.5999999999999999E-3</v>
      </c>
      <c r="F52">
        <f t="shared" si="1"/>
        <v>814.84474999999998</v>
      </c>
      <c r="G52">
        <f t="shared" si="2"/>
        <v>-0.50658000000000003</v>
      </c>
      <c r="H52">
        <f t="shared" si="3"/>
        <v>-412.78405345499999</v>
      </c>
      <c r="I52">
        <v>1</v>
      </c>
      <c r="J52">
        <f t="shared" si="4"/>
        <v>-0.20475767468449674</v>
      </c>
      <c r="K52">
        <f t="shared" si="5"/>
        <v>-0.71514515177521742</v>
      </c>
      <c r="L52">
        <v>1</v>
      </c>
      <c r="M52">
        <f t="shared" si="6"/>
        <v>0.59045093573026652</v>
      </c>
      <c r="N52">
        <f t="shared" si="7"/>
        <v>7.0891493249999993E-2</v>
      </c>
      <c r="O52">
        <f t="shared" si="8"/>
        <v>1.4667205499999999E-2</v>
      </c>
      <c r="P52">
        <f t="shared" si="9"/>
        <v>3.9135517294950906E-2</v>
      </c>
      <c r="V52">
        <v>-1.2000000000000199</v>
      </c>
      <c r="W52">
        <f t="shared" si="12"/>
        <v>-0.538349999999999</v>
      </c>
    </row>
    <row r="53" spans="1:23" x14ac:dyDescent="0.3">
      <c r="A53">
        <v>4.1614533500000004</v>
      </c>
      <c r="B53">
        <v>0.50265000000000004</v>
      </c>
      <c r="C53">
        <f t="shared" si="0"/>
        <v>2.0917545263775001</v>
      </c>
      <c r="D53">
        <v>1.7399999999999999E-2</v>
      </c>
      <c r="E53">
        <v>3.5999999999999999E-3</v>
      </c>
      <c r="F53">
        <f t="shared" si="1"/>
        <v>832.29067000000009</v>
      </c>
      <c r="G53">
        <f t="shared" si="2"/>
        <v>-0.50265000000000004</v>
      </c>
      <c r="H53">
        <f t="shared" si="3"/>
        <v>-418.35090527550005</v>
      </c>
      <c r="I53">
        <v>1</v>
      </c>
      <c r="J53">
        <f t="shared" si="4"/>
        <v>-0.18357353619319519</v>
      </c>
      <c r="K53">
        <f t="shared" si="5"/>
        <v>-0.71907515177521741</v>
      </c>
      <c r="L53">
        <v>1</v>
      </c>
      <c r="M53">
        <f t="shared" si="6"/>
        <v>0.59155992538028623</v>
      </c>
      <c r="N53">
        <f t="shared" si="7"/>
        <v>7.2409288289999998E-2</v>
      </c>
      <c r="O53">
        <f t="shared" si="8"/>
        <v>1.498123206E-2</v>
      </c>
      <c r="P53">
        <f t="shared" si="9"/>
        <v>4.012470604493118E-2</v>
      </c>
      <c r="V53">
        <v>-1.1000000000000201</v>
      </c>
      <c r="W53">
        <f t="shared" si="12"/>
        <v>-0.54358499999999887</v>
      </c>
    </row>
    <row r="54" spans="1:23" x14ac:dyDescent="0.3">
      <c r="A54">
        <v>4.2432686999999998</v>
      </c>
      <c r="B54">
        <v>0.49869999999999998</v>
      </c>
      <c r="C54">
        <f t="shared" si="0"/>
        <v>2.1161181006899996</v>
      </c>
      <c r="D54">
        <v>1.7399999999999999E-2</v>
      </c>
      <c r="E54">
        <v>3.5999999999999999E-3</v>
      </c>
      <c r="F54">
        <f t="shared" si="1"/>
        <v>848.65373999999997</v>
      </c>
      <c r="G54">
        <f t="shared" si="2"/>
        <v>-0.49869999999999998</v>
      </c>
      <c r="H54">
        <f t="shared" si="3"/>
        <v>-423.22362013799994</v>
      </c>
      <c r="I54">
        <v>1</v>
      </c>
      <c r="J54">
        <f t="shared" si="4"/>
        <v>-0.16410402038495561</v>
      </c>
      <c r="K54">
        <f t="shared" si="5"/>
        <v>-0.72302515177521753</v>
      </c>
      <c r="L54">
        <v>1</v>
      </c>
      <c r="M54">
        <f t="shared" si="6"/>
        <v>0.5925791545328476</v>
      </c>
      <c r="N54">
        <f t="shared" si="7"/>
        <v>7.3832875379999996E-2</v>
      </c>
      <c r="O54">
        <f t="shared" si="8"/>
        <v>1.527576732E-2</v>
      </c>
      <c r="P54">
        <f t="shared" si="9"/>
        <v>4.133735454236994E-2</v>
      </c>
      <c r="V54">
        <v>-1.00000000000002</v>
      </c>
      <c r="W54">
        <f t="shared" si="12"/>
        <v>-0.54881999999999898</v>
      </c>
    </row>
    <row r="55" spans="1:23" x14ac:dyDescent="0.3">
      <c r="A55">
        <v>4.3268886999999996</v>
      </c>
      <c r="B55">
        <v>0.49481000000000003</v>
      </c>
      <c r="C55">
        <f t="shared" si="0"/>
        <v>2.140987797647</v>
      </c>
      <c r="D55">
        <v>1.7399999999999999E-2</v>
      </c>
      <c r="E55">
        <v>3.5999999999999999E-3</v>
      </c>
      <c r="F55">
        <f t="shared" si="1"/>
        <v>865.3777399999999</v>
      </c>
      <c r="G55">
        <f t="shared" si="2"/>
        <v>-0.49481000000000003</v>
      </c>
      <c r="H55">
        <f t="shared" si="3"/>
        <v>-428.1975595294</v>
      </c>
      <c r="I55">
        <v>1</v>
      </c>
      <c r="J55">
        <f t="shared" si="4"/>
        <v>-0.14458917373155741</v>
      </c>
      <c r="K55">
        <f t="shared" si="5"/>
        <v>-0.72691515177521748</v>
      </c>
      <c r="L55">
        <v>1</v>
      </c>
      <c r="M55">
        <f t="shared" si="6"/>
        <v>0.593600756755153</v>
      </c>
      <c r="N55">
        <f t="shared" si="7"/>
        <v>7.5287863379999986E-2</v>
      </c>
      <c r="O55">
        <f t="shared" si="8"/>
        <v>1.5576799319999998E-2</v>
      </c>
      <c r="P55">
        <f t="shared" si="9"/>
        <v>4.2449732320064493E-2</v>
      </c>
      <c r="V55">
        <v>-0.90000000000002001</v>
      </c>
      <c r="W55">
        <f t="shared" si="12"/>
        <v>-0.55405499999999896</v>
      </c>
    </row>
    <row r="56" spans="1:23" x14ac:dyDescent="0.3">
      <c r="A56">
        <v>4.4099072499999998</v>
      </c>
      <c r="B56">
        <v>0.49092999999999998</v>
      </c>
      <c r="C56">
        <f t="shared" si="0"/>
        <v>2.1649557662424996</v>
      </c>
      <c r="D56">
        <v>1.7399999999999999E-2</v>
      </c>
      <c r="E56">
        <v>3.5999999999999999E-3</v>
      </c>
      <c r="F56">
        <f t="shared" si="1"/>
        <v>881.98145</v>
      </c>
      <c r="G56">
        <f t="shared" si="2"/>
        <v>-0.49092999999999998</v>
      </c>
      <c r="H56">
        <f t="shared" si="3"/>
        <v>-432.99115324849993</v>
      </c>
      <c r="I56">
        <v>1</v>
      </c>
      <c r="J56">
        <f t="shared" si="4"/>
        <v>-0.12558425494254782</v>
      </c>
      <c r="K56">
        <f t="shared" si="5"/>
        <v>-0.73079515177521748</v>
      </c>
      <c r="L56">
        <v>1</v>
      </c>
      <c r="M56">
        <f t="shared" si="6"/>
        <v>0.59459566425375765</v>
      </c>
      <c r="N56">
        <f t="shared" si="7"/>
        <v>7.6732386149999998E-2</v>
      </c>
      <c r="O56">
        <f t="shared" si="8"/>
        <v>1.5875666099999998E-2</v>
      </c>
      <c r="P56">
        <f t="shared" si="9"/>
        <v>4.3591435271459832E-2</v>
      </c>
      <c r="V56">
        <v>-0.80000000000002003</v>
      </c>
      <c r="W56">
        <f t="shared" si="12"/>
        <v>-0.55928999999999895</v>
      </c>
    </row>
    <row r="57" spans="1:23" x14ac:dyDescent="0.3">
      <c r="A57">
        <v>4.4923244499999999</v>
      </c>
      <c r="B57">
        <v>0.48707</v>
      </c>
      <c r="C57">
        <f t="shared" si="0"/>
        <v>2.1880764698615001</v>
      </c>
      <c r="D57">
        <v>1.7399999999999999E-2</v>
      </c>
      <c r="E57">
        <v>3.5999999999999999E-3</v>
      </c>
      <c r="F57">
        <f t="shared" si="1"/>
        <v>898.46488999999997</v>
      </c>
      <c r="G57">
        <f t="shared" si="2"/>
        <v>-0.48707</v>
      </c>
      <c r="H57">
        <f t="shared" si="3"/>
        <v>-437.61529397230004</v>
      </c>
      <c r="I57">
        <v>1</v>
      </c>
      <c r="J57">
        <f t="shared" si="4"/>
        <v>-0.10706764976019419</v>
      </c>
      <c r="K57">
        <f t="shared" si="5"/>
        <v>-0.73465515177521745</v>
      </c>
      <c r="L57">
        <v>1</v>
      </c>
      <c r="M57">
        <f t="shared" si="6"/>
        <v>0.59556500853505379</v>
      </c>
      <c r="N57">
        <f t="shared" si="7"/>
        <v>7.8166445429999995E-2</v>
      </c>
      <c r="O57">
        <f t="shared" si="8"/>
        <v>1.6172368019999998E-2</v>
      </c>
      <c r="P57">
        <f t="shared" si="9"/>
        <v>4.4751329790163677E-2</v>
      </c>
      <c r="V57">
        <v>-0.70000000000002005</v>
      </c>
      <c r="W57">
        <f t="shared" si="12"/>
        <v>-0.56452499999999894</v>
      </c>
    </row>
    <row r="58" spans="1:23" x14ac:dyDescent="0.3">
      <c r="A58">
        <v>4.5759444</v>
      </c>
      <c r="B58">
        <v>0.48320999999999997</v>
      </c>
      <c r="C58">
        <f t="shared" si="0"/>
        <v>2.2111420935239998</v>
      </c>
      <c r="D58">
        <v>1.7399999999999999E-2</v>
      </c>
      <c r="E58">
        <v>3.5999999999999999E-3</v>
      </c>
      <c r="F58">
        <f t="shared" si="1"/>
        <v>915.18888000000004</v>
      </c>
      <c r="G58">
        <f t="shared" si="2"/>
        <v>-0.48320999999999997</v>
      </c>
      <c r="H58">
        <f t="shared" si="3"/>
        <v>-442.22841870479999</v>
      </c>
      <c r="I58">
        <v>1</v>
      </c>
      <c r="J58">
        <f t="shared" si="4"/>
        <v>-8.8624808780069939E-2</v>
      </c>
      <c r="K58">
        <f t="shared" si="5"/>
        <v>-0.73851515177521754</v>
      </c>
      <c r="L58">
        <v>1</v>
      </c>
      <c r="M58">
        <f t="shared" si="6"/>
        <v>0.59653049126036328</v>
      </c>
      <c r="N58">
        <f t="shared" si="7"/>
        <v>7.9621432559999997E-2</v>
      </c>
      <c r="O58">
        <f t="shared" si="8"/>
        <v>1.647339984E-2</v>
      </c>
      <c r="P58">
        <f t="shared" si="9"/>
        <v>4.5889828114854259E-2</v>
      </c>
      <c r="V58">
        <v>-0.60000000000001996</v>
      </c>
      <c r="W58">
        <f t="shared" si="12"/>
        <v>-0.56975999999999893</v>
      </c>
    </row>
    <row r="59" spans="1:23" x14ac:dyDescent="0.3">
      <c r="A59">
        <v>4.6589634000000002</v>
      </c>
      <c r="B59">
        <v>0.47937000000000002</v>
      </c>
      <c r="C59">
        <f t="shared" si="0"/>
        <v>2.2333672850580002</v>
      </c>
      <c r="D59">
        <v>1.7399999999999999E-2</v>
      </c>
      <c r="E59">
        <v>3.5999999999999999E-3</v>
      </c>
      <c r="F59">
        <f t="shared" si="1"/>
        <v>931.79268000000002</v>
      </c>
      <c r="G59">
        <f t="shared" si="2"/>
        <v>-0.47937000000000002</v>
      </c>
      <c r="H59">
        <f t="shared" si="3"/>
        <v>-446.67345701160002</v>
      </c>
      <c r="I59">
        <v>1</v>
      </c>
      <c r="J59">
        <f t="shared" si="4"/>
        <v>-7.0644935393336564E-2</v>
      </c>
      <c r="K59">
        <f t="shared" si="5"/>
        <v>-0.74235515177521738</v>
      </c>
      <c r="L59">
        <v>1</v>
      </c>
      <c r="M59">
        <f t="shared" si="6"/>
        <v>0.59747173763215877</v>
      </c>
      <c r="N59">
        <f t="shared" si="7"/>
        <v>8.1065963160000004E-2</v>
      </c>
      <c r="O59">
        <f t="shared" si="8"/>
        <v>1.6772268239999999E-2</v>
      </c>
      <c r="P59">
        <f t="shared" si="9"/>
        <v>4.7045182743058606E-2</v>
      </c>
      <c r="V59">
        <v>-0.50000000000001998</v>
      </c>
      <c r="W59">
        <f t="shared" si="12"/>
        <v>-0.57499499999999892</v>
      </c>
    </row>
    <row r="60" spans="1:23" x14ac:dyDescent="0.3">
      <c r="A60">
        <v>4.7419819499999996</v>
      </c>
      <c r="B60">
        <v>0.47550999999999999</v>
      </c>
      <c r="C60">
        <f t="shared" si="0"/>
        <v>2.2548598370444997</v>
      </c>
      <c r="D60">
        <v>1.7399999999999999E-2</v>
      </c>
      <c r="E60">
        <v>3.5999999999999999E-3</v>
      </c>
      <c r="F60">
        <f t="shared" si="1"/>
        <v>948.39638999999988</v>
      </c>
      <c r="G60">
        <f t="shared" si="2"/>
        <v>-0.47550999999999999</v>
      </c>
      <c r="H60">
        <f t="shared" si="3"/>
        <v>-450.97196740889996</v>
      </c>
      <c r="I60">
        <v>1</v>
      </c>
      <c r="J60">
        <f t="shared" si="4"/>
        <v>-5.298273120892831E-2</v>
      </c>
      <c r="K60">
        <f t="shared" si="5"/>
        <v>-0.74621515177521747</v>
      </c>
      <c r="L60">
        <v>1</v>
      </c>
      <c r="M60">
        <f t="shared" si="6"/>
        <v>0.59839635402121261</v>
      </c>
      <c r="N60">
        <f t="shared" si="7"/>
        <v>8.2510485929999988E-2</v>
      </c>
      <c r="O60">
        <f t="shared" si="8"/>
        <v>1.7071135019999999E-2</v>
      </c>
      <c r="P60">
        <f t="shared" si="9"/>
        <v>4.8237176804004869E-2</v>
      </c>
      <c r="V60">
        <v>-0.40000000000002001</v>
      </c>
      <c r="W60">
        <f t="shared" si="12"/>
        <v>-0.58022999999999891</v>
      </c>
    </row>
    <row r="61" spans="1:23" x14ac:dyDescent="0.3">
      <c r="A61">
        <v>4.8256019500000003</v>
      </c>
      <c r="B61">
        <v>0.47169</v>
      </c>
      <c r="C61">
        <f t="shared" si="0"/>
        <v>2.2761881837955</v>
      </c>
      <c r="D61">
        <v>1.7399999999999999E-2</v>
      </c>
      <c r="E61">
        <v>3.5999999999999999E-3</v>
      </c>
      <c r="F61">
        <f t="shared" si="1"/>
        <v>965.12039000000004</v>
      </c>
      <c r="G61">
        <f t="shared" si="2"/>
        <v>-0.47169</v>
      </c>
      <c r="H61">
        <f t="shared" si="3"/>
        <v>-455.23763675909998</v>
      </c>
      <c r="I61">
        <v>1</v>
      </c>
      <c r="J61">
        <f t="shared" si="4"/>
        <v>-3.5502428947909191E-2</v>
      </c>
      <c r="K61">
        <f t="shared" si="5"/>
        <v>-0.75003515177521751</v>
      </c>
      <c r="L61">
        <v>1</v>
      </c>
      <c r="M61">
        <f t="shared" si="6"/>
        <v>0.59931144784457691</v>
      </c>
      <c r="N61">
        <f t="shared" si="7"/>
        <v>8.3965473929999992E-2</v>
      </c>
      <c r="O61">
        <f t="shared" si="8"/>
        <v>1.7372167019999999E-2</v>
      </c>
      <c r="P61">
        <f t="shared" si="9"/>
        <v>4.9386062980640619E-2</v>
      </c>
      <c r="V61">
        <v>-0.30000000000001997</v>
      </c>
      <c r="W61">
        <f t="shared" si="12"/>
        <v>-0.5854649999999989</v>
      </c>
    </row>
    <row r="62" spans="1:23" x14ac:dyDescent="0.3">
      <c r="A62">
        <v>4.9092219000000004</v>
      </c>
      <c r="B62">
        <v>0.46788000000000002</v>
      </c>
      <c r="C62">
        <f t="shared" si="0"/>
        <v>2.2969267425720004</v>
      </c>
      <c r="D62">
        <v>1.7399999999999999E-2</v>
      </c>
      <c r="E62">
        <v>3.5999999999999999E-3</v>
      </c>
      <c r="F62">
        <f t="shared" si="1"/>
        <v>981.84438000000011</v>
      </c>
      <c r="G62">
        <f t="shared" si="2"/>
        <v>-0.46788000000000002</v>
      </c>
      <c r="H62">
        <f t="shared" si="3"/>
        <v>-459.38534851440005</v>
      </c>
      <c r="I62">
        <v>1</v>
      </c>
      <c r="J62">
        <f t="shared" si="4"/>
        <v>-1.8322455690856936E-2</v>
      </c>
      <c r="K62">
        <f t="shared" si="5"/>
        <v>-0.75384515177521738</v>
      </c>
      <c r="L62">
        <v>1</v>
      </c>
      <c r="M62">
        <f t="shared" si="6"/>
        <v>0.60021081944458365</v>
      </c>
      <c r="N62">
        <f t="shared" si="7"/>
        <v>8.5420461059999994E-2</v>
      </c>
      <c r="O62">
        <f t="shared" si="8"/>
        <v>1.7673198840000001E-2</v>
      </c>
      <c r="P62">
        <f t="shared" si="9"/>
        <v>5.0540672430633732E-2</v>
      </c>
      <c r="V62">
        <v>-0.20000000000002</v>
      </c>
      <c r="W62">
        <f t="shared" si="12"/>
        <v>-0.59069999999999889</v>
      </c>
    </row>
    <row r="63" spans="1:23" x14ac:dyDescent="0.3">
      <c r="A63">
        <v>4.9922405000000003</v>
      </c>
      <c r="B63">
        <v>0.46407999999999999</v>
      </c>
      <c r="C63">
        <f t="shared" si="0"/>
        <v>2.3167989712399999</v>
      </c>
      <c r="D63">
        <v>1.7399999999999999E-2</v>
      </c>
      <c r="E63">
        <v>3.5999999999999999E-3</v>
      </c>
      <c r="F63">
        <f t="shared" si="1"/>
        <v>998.44810000000007</v>
      </c>
      <c r="G63">
        <f t="shared" si="2"/>
        <v>-0.46407999999999999</v>
      </c>
      <c r="H63">
        <f t="shared" si="3"/>
        <v>-463.35979424799996</v>
      </c>
      <c r="I63">
        <v>1</v>
      </c>
      <c r="J63">
        <f t="shared" si="4"/>
        <v>-1.5531054441188465E-3</v>
      </c>
      <c r="K63">
        <f t="shared" si="5"/>
        <v>-0.75764515177521741</v>
      </c>
      <c r="L63">
        <v>1</v>
      </c>
      <c r="M63">
        <f t="shared" si="6"/>
        <v>0.60108869493000039</v>
      </c>
      <c r="N63">
        <f t="shared" si="7"/>
        <v>8.6864984699999995E-2</v>
      </c>
      <c r="O63">
        <f t="shared" si="8"/>
        <v>1.7972065799999999E-2</v>
      </c>
      <c r="P63">
        <f t="shared" si="9"/>
        <v>5.1719406345217024E-2</v>
      </c>
      <c r="V63">
        <v>-0.10000000000002</v>
      </c>
      <c r="W63">
        <f t="shared" si="12"/>
        <v>-0.59593499999999888</v>
      </c>
    </row>
    <row r="64" spans="1:23" x14ac:dyDescent="0.3">
      <c r="A64">
        <v>5.0770641000000003</v>
      </c>
      <c r="B64">
        <v>0.46029999999999999</v>
      </c>
      <c r="C64">
        <f t="shared" si="0"/>
        <v>2.3369726052300002</v>
      </c>
      <c r="D64">
        <v>1.7399999999999999E-2</v>
      </c>
      <c r="E64">
        <v>3.5999999999999999E-3</v>
      </c>
      <c r="F64">
        <f t="shared" si="1"/>
        <v>1015.41282</v>
      </c>
      <c r="G64">
        <f t="shared" si="2"/>
        <v>-0.46029999999999999</v>
      </c>
      <c r="H64">
        <f t="shared" si="3"/>
        <v>-467.39452104600002</v>
      </c>
      <c r="I64">
        <v>1</v>
      </c>
      <c r="J64">
        <f t="shared" si="4"/>
        <v>1.5295249017734514E-2</v>
      </c>
      <c r="K64">
        <f t="shared" si="5"/>
        <v>-0.76142515177521752</v>
      </c>
      <c r="L64">
        <v>1</v>
      </c>
      <c r="M64">
        <f t="shared" si="6"/>
        <v>0.60197070628607841</v>
      </c>
      <c r="N64">
        <f t="shared" si="7"/>
        <v>8.8340915339999992E-2</v>
      </c>
      <c r="O64">
        <f t="shared" si="8"/>
        <v>1.8277430760000001E-2</v>
      </c>
      <c r="P64">
        <f t="shared" si="9"/>
        <v>5.2836099389139121E-2</v>
      </c>
      <c r="V64">
        <v>-2.0428103653102899E-14</v>
      </c>
      <c r="W64">
        <f t="shared" si="12"/>
        <v>-0.60116999999999887</v>
      </c>
    </row>
    <row r="65" spans="1:23" x14ac:dyDescent="0.3">
      <c r="A65">
        <v>5.1564730000000001</v>
      </c>
      <c r="B65">
        <v>0.45648</v>
      </c>
      <c r="C65">
        <f t="shared" si="0"/>
        <v>2.3538267950399998</v>
      </c>
      <c r="D65">
        <v>1.7399999999999999E-2</v>
      </c>
      <c r="E65">
        <v>3.5999999999999999E-3</v>
      </c>
      <c r="F65">
        <f t="shared" si="1"/>
        <v>1031.2945999999999</v>
      </c>
      <c r="G65">
        <f t="shared" si="2"/>
        <v>-0.45648</v>
      </c>
      <c r="H65">
        <f t="shared" si="3"/>
        <v>-470.76535900799996</v>
      </c>
      <c r="I65">
        <v>1</v>
      </c>
      <c r="J65">
        <f t="shared" si="4"/>
        <v>3.0814906216413258E-2</v>
      </c>
      <c r="K65">
        <f t="shared" si="5"/>
        <v>-0.76524515177521746</v>
      </c>
      <c r="L65">
        <v>1</v>
      </c>
      <c r="M65">
        <f t="shared" si="6"/>
        <v>0.60278316034042922</v>
      </c>
      <c r="N65">
        <f t="shared" si="7"/>
        <v>8.97226302E-2</v>
      </c>
      <c r="O65">
        <f t="shared" si="8"/>
        <v>1.8563302800000001E-2</v>
      </c>
      <c r="P65">
        <f t="shared" si="9"/>
        <v>5.4176058434788232E-2</v>
      </c>
      <c r="V65">
        <v>9.9999999999980105E-2</v>
      </c>
      <c r="W65">
        <f t="shared" si="12"/>
        <v>-0.60640499999999897</v>
      </c>
    </row>
    <row r="66" spans="1:23" x14ac:dyDescent="0.3">
      <c r="A66">
        <v>5.2406948</v>
      </c>
      <c r="B66">
        <v>0.45266000000000001</v>
      </c>
      <c r="C66">
        <f t="shared" si="0"/>
        <v>2.3722529081679999</v>
      </c>
      <c r="D66">
        <v>1.7399999999999999E-2</v>
      </c>
      <c r="E66">
        <v>3.5999999999999999E-3</v>
      </c>
      <c r="F66">
        <f t="shared" si="1"/>
        <v>1048.13896</v>
      </c>
      <c r="G66">
        <f t="shared" si="2"/>
        <v>-0.45266000000000001</v>
      </c>
      <c r="H66">
        <f t="shared" si="3"/>
        <v>-474.4505816336</v>
      </c>
      <c r="I66">
        <v>1</v>
      </c>
      <c r="J66">
        <f t="shared" si="4"/>
        <v>4.7016172528702022E-2</v>
      </c>
      <c r="K66">
        <f t="shared" si="5"/>
        <v>-0.76906515177521739</v>
      </c>
      <c r="L66">
        <v>1</v>
      </c>
      <c r="M66">
        <f t="shared" si="6"/>
        <v>0.60363129663187753</v>
      </c>
      <c r="N66">
        <f t="shared" si="7"/>
        <v>9.1188089519999987E-2</v>
      </c>
      <c r="O66">
        <f t="shared" si="8"/>
        <v>1.886650128E-2</v>
      </c>
      <c r="P66">
        <f t="shared" si="9"/>
        <v>5.5379264343339868E-2</v>
      </c>
      <c r="V66">
        <v>0.19999999999998</v>
      </c>
      <c r="W66">
        <f t="shared" si="12"/>
        <v>-0.61163999999999896</v>
      </c>
    </row>
    <row r="67" spans="1:23" x14ac:dyDescent="0.3">
      <c r="A67">
        <v>5.3207054999999999</v>
      </c>
      <c r="B67">
        <v>0.44888</v>
      </c>
      <c r="C67">
        <f t="shared" si="0"/>
        <v>2.3883582848399998</v>
      </c>
      <c r="D67">
        <v>1.7399999999999999E-2</v>
      </c>
      <c r="E67">
        <v>3.5999999999999999E-3</v>
      </c>
      <c r="F67">
        <f t="shared" si="1"/>
        <v>1064.1411000000001</v>
      </c>
      <c r="G67">
        <f t="shared" si="2"/>
        <v>-0.44888</v>
      </c>
      <c r="H67">
        <f t="shared" si="3"/>
        <v>-477.67165696799998</v>
      </c>
      <c r="I67">
        <v>1</v>
      </c>
      <c r="J67">
        <f t="shared" si="4"/>
        <v>6.2167994909109923E-2</v>
      </c>
      <c r="K67">
        <f t="shared" si="5"/>
        <v>-0.77284515177521751</v>
      </c>
      <c r="L67">
        <v>1</v>
      </c>
      <c r="M67">
        <f t="shared" si="6"/>
        <v>0.6044244945334919</v>
      </c>
      <c r="N67">
        <f t="shared" si="7"/>
        <v>9.2580275699999992E-2</v>
      </c>
      <c r="O67">
        <f t="shared" si="8"/>
        <v>1.9154539799999998E-2</v>
      </c>
      <c r="P67">
        <f t="shared" si="9"/>
        <v>5.6685841741725626E-2</v>
      </c>
      <c r="V67">
        <v>0.29999999999998</v>
      </c>
      <c r="W67">
        <f t="shared" si="12"/>
        <v>-0.61687499999999895</v>
      </c>
    </row>
    <row r="68" spans="1:23" x14ac:dyDescent="0.3">
      <c r="A68">
        <v>5.4073337500000003</v>
      </c>
      <c r="B68">
        <v>0.44512000000000002</v>
      </c>
      <c r="C68">
        <f t="shared" ref="C68:C131" si="13">A68*B68</f>
        <v>2.4069123988000003</v>
      </c>
      <c r="D68">
        <v>1.7399999999999999E-2</v>
      </c>
      <c r="E68">
        <v>3.5999999999999999E-3</v>
      </c>
      <c r="F68">
        <f t="shared" ref="F68:F131" si="14">A68*200</f>
        <v>1081.46675</v>
      </c>
      <c r="G68">
        <f t="shared" ref="G68:G131" si="15">-B68</f>
        <v>-0.44512000000000002</v>
      </c>
      <c r="H68">
        <f t="shared" ref="H68:H131" si="16">-C68*200</f>
        <v>-481.38247976000008</v>
      </c>
      <c r="I68">
        <v>1</v>
      </c>
      <c r="J68">
        <f t="shared" ref="J68:J131" si="17">LN(F68/1000)</f>
        <v>7.8318221601790153E-2</v>
      </c>
      <c r="K68">
        <f t="shared" ref="K68:K131" si="18">((-G68)-$N$2)</f>
        <v>-0.77660515177521749</v>
      </c>
      <c r="L68">
        <v>1</v>
      </c>
      <c r="M68">
        <f t="shared" ref="M68:M131" si="19">-1*($S$4+($S$5*J68))</f>
        <v>0.60526995890085367</v>
      </c>
      <c r="N68">
        <f t="shared" ref="N68:N131" si="20">D68*A68</f>
        <v>9.4087607249999997E-2</v>
      </c>
      <c r="O68">
        <f t="shared" ref="O68:O131" si="21">E68*A68</f>
        <v>1.9466401500000001E-2</v>
      </c>
      <c r="P68">
        <f t="shared" ref="P68:P131" si="22">-K68-M68-N68-O68</f>
        <v>5.7781184124363831E-2</v>
      </c>
      <c r="V68">
        <v>0.39999999999997998</v>
      </c>
      <c r="W68">
        <f t="shared" ref="W68:W99" si="23">V68*$S$5+$S$4</f>
        <v>-0.62210999999999894</v>
      </c>
    </row>
    <row r="69" spans="1:23" x14ac:dyDescent="0.3">
      <c r="A69">
        <v>5.4903522999999996</v>
      </c>
      <c r="B69">
        <v>0.44133</v>
      </c>
      <c r="C69">
        <f t="shared" si="13"/>
        <v>2.4230571805589998</v>
      </c>
      <c r="D69">
        <v>1.7399999999999999E-2</v>
      </c>
      <c r="E69">
        <v>3.5999999999999999E-3</v>
      </c>
      <c r="F69">
        <f t="shared" si="14"/>
        <v>1098.0704599999999</v>
      </c>
      <c r="G69">
        <f t="shared" si="15"/>
        <v>-0.44133</v>
      </c>
      <c r="H69">
        <f t="shared" si="16"/>
        <v>-484.61143611179995</v>
      </c>
      <c r="I69">
        <v>1</v>
      </c>
      <c r="J69">
        <f t="shared" si="17"/>
        <v>9.3554512248854901E-2</v>
      </c>
      <c r="K69">
        <f t="shared" si="18"/>
        <v>-0.78039515177521745</v>
      </c>
      <c r="L69">
        <v>1</v>
      </c>
      <c r="M69">
        <f t="shared" si="19"/>
        <v>0.60606757871622752</v>
      </c>
      <c r="N69">
        <f t="shared" si="20"/>
        <v>9.5532130019999981E-2</v>
      </c>
      <c r="O69">
        <f t="shared" si="21"/>
        <v>1.9765268279999998E-2</v>
      </c>
      <c r="P69">
        <f t="shared" si="22"/>
        <v>5.9030174758989959E-2</v>
      </c>
      <c r="V69">
        <v>0.49999999999998002</v>
      </c>
      <c r="W69">
        <f t="shared" si="23"/>
        <v>-0.62734499999999893</v>
      </c>
    </row>
    <row r="70" spans="1:23" x14ac:dyDescent="0.3">
      <c r="A70">
        <v>5.5721676499999999</v>
      </c>
      <c r="B70">
        <v>0.43753999999999998</v>
      </c>
      <c r="C70">
        <f t="shared" si="13"/>
        <v>2.4380462335809998</v>
      </c>
      <c r="D70">
        <v>1.7399999999999999E-2</v>
      </c>
      <c r="E70">
        <v>3.5999999999999999E-3</v>
      </c>
      <c r="F70">
        <f t="shared" si="14"/>
        <v>1114.43353</v>
      </c>
      <c r="G70">
        <f t="shared" si="15"/>
        <v>-0.43753999999999998</v>
      </c>
      <c r="H70">
        <f t="shared" si="16"/>
        <v>-487.60924671619995</v>
      </c>
      <c r="I70">
        <v>1</v>
      </c>
      <c r="J70">
        <f t="shared" si="17"/>
        <v>0.10834623097052451</v>
      </c>
      <c r="K70">
        <f t="shared" si="18"/>
        <v>-0.78418515177521741</v>
      </c>
      <c r="L70">
        <v>1</v>
      </c>
      <c r="M70">
        <f t="shared" si="19"/>
        <v>0.60684192519130697</v>
      </c>
      <c r="N70">
        <f t="shared" si="20"/>
        <v>9.6955717109999992E-2</v>
      </c>
      <c r="O70">
        <f t="shared" si="21"/>
        <v>2.0059803540000001E-2</v>
      </c>
      <c r="P70">
        <f t="shared" si="22"/>
        <v>6.0327705933910444E-2</v>
      </c>
      <c r="V70">
        <v>0.59999999999997999</v>
      </c>
      <c r="W70">
        <f t="shared" si="23"/>
        <v>-0.63257999999999892</v>
      </c>
    </row>
    <row r="71" spans="1:23" x14ac:dyDescent="0.3">
      <c r="A71">
        <v>5.6569908499999997</v>
      </c>
      <c r="B71">
        <v>0.43376999999999999</v>
      </c>
      <c r="C71">
        <f t="shared" si="13"/>
        <v>2.4538329210045</v>
      </c>
      <c r="D71">
        <v>1.7399999999999999E-2</v>
      </c>
      <c r="E71">
        <v>3.5999999999999999E-3</v>
      </c>
      <c r="F71">
        <f t="shared" si="14"/>
        <v>1131.3981699999999</v>
      </c>
      <c r="G71">
        <f t="shared" si="15"/>
        <v>-0.43376999999999999</v>
      </c>
      <c r="H71">
        <f t="shared" si="16"/>
        <v>-490.76658420090001</v>
      </c>
      <c r="I71">
        <v>1</v>
      </c>
      <c r="J71">
        <f t="shared" si="17"/>
        <v>0.12345418646052266</v>
      </c>
      <c r="K71">
        <f t="shared" si="18"/>
        <v>-0.78795515177521747</v>
      </c>
      <c r="L71">
        <v>1</v>
      </c>
      <c r="M71">
        <f t="shared" si="19"/>
        <v>0.60763282666120833</v>
      </c>
      <c r="N71">
        <f t="shared" si="20"/>
        <v>9.8431640789999983E-2</v>
      </c>
      <c r="O71">
        <f t="shared" si="21"/>
        <v>2.0365167059999998E-2</v>
      </c>
      <c r="P71">
        <f t="shared" si="22"/>
        <v>6.1525517264009164E-2</v>
      </c>
      <c r="V71">
        <v>0.69999999999997997</v>
      </c>
      <c r="W71">
        <f t="shared" si="23"/>
        <v>-0.63781499999999891</v>
      </c>
    </row>
    <row r="72" spans="1:23" x14ac:dyDescent="0.3">
      <c r="A72">
        <v>5.7394080000000001</v>
      </c>
      <c r="B72">
        <v>0.43001</v>
      </c>
      <c r="C72">
        <f t="shared" si="13"/>
        <v>2.46800283408</v>
      </c>
      <c r="D72">
        <v>1.7399999999999999E-2</v>
      </c>
      <c r="E72">
        <v>3.5999999999999999E-3</v>
      </c>
      <c r="F72">
        <f t="shared" si="14"/>
        <v>1147.8815999999999</v>
      </c>
      <c r="G72">
        <f t="shared" si="15"/>
        <v>-0.43001</v>
      </c>
      <c r="H72">
        <f t="shared" si="16"/>
        <v>-493.60056681599997</v>
      </c>
      <c r="I72">
        <v>1</v>
      </c>
      <c r="J72">
        <f t="shared" si="17"/>
        <v>0.13791815669000132</v>
      </c>
      <c r="K72">
        <f t="shared" si="18"/>
        <v>-0.79171515177521745</v>
      </c>
      <c r="L72">
        <v>1</v>
      </c>
      <c r="M72">
        <f t="shared" si="19"/>
        <v>0.60839001550272154</v>
      </c>
      <c r="N72">
        <f t="shared" si="20"/>
        <v>9.9865699199999991E-2</v>
      </c>
      <c r="O72">
        <f t="shared" si="21"/>
        <v>2.06618688E-2</v>
      </c>
      <c r="P72">
        <f t="shared" si="22"/>
        <v>6.2797568272495927E-2</v>
      </c>
      <c r="V72">
        <v>0.79999999999997995</v>
      </c>
      <c r="W72">
        <f t="shared" si="23"/>
        <v>-0.6430499999999989</v>
      </c>
    </row>
    <row r="73" spans="1:23" x14ac:dyDescent="0.3">
      <c r="A73">
        <v>5.8230279999999999</v>
      </c>
      <c r="B73">
        <v>0.42619000000000001</v>
      </c>
      <c r="C73">
        <f t="shared" si="13"/>
        <v>2.4817163033199998</v>
      </c>
      <c r="D73">
        <v>1.7399999999999999E-2</v>
      </c>
      <c r="E73">
        <v>3.5999999999999999E-3</v>
      </c>
      <c r="F73">
        <f t="shared" si="14"/>
        <v>1164.6055999999999</v>
      </c>
      <c r="G73">
        <f t="shared" si="15"/>
        <v>-0.42619000000000001</v>
      </c>
      <c r="H73">
        <f t="shared" si="16"/>
        <v>-496.34326066399996</v>
      </c>
      <c r="I73">
        <v>1</v>
      </c>
      <c r="J73">
        <f t="shared" si="17"/>
        <v>0.15238248892726752</v>
      </c>
      <c r="K73">
        <f t="shared" si="18"/>
        <v>-0.79553515177521739</v>
      </c>
      <c r="L73">
        <v>1</v>
      </c>
      <c r="M73">
        <f t="shared" si="19"/>
        <v>0.60914722329534243</v>
      </c>
      <c r="N73">
        <f t="shared" si="20"/>
        <v>0.1013206872</v>
      </c>
      <c r="O73">
        <f t="shared" si="21"/>
        <v>2.09629008E-2</v>
      </c>
      <c r="P73">
        <f t="shared" si="22"/>
        <v>6.4104340479874955E-2</v>
      </c>
      <c r="V73">
        <v>0.89999999999998004</v>
      </c>
      <c r="W73">
        <f t="shared" si="23"/>
        <v>-0.64828499999999889</v>
      </c>
    </row>
    <row r="74" spans="1:23" x14ac:dyDescent="0.3">
      <c r="A74">
        <v>5.9054451500000003</v>
      </c>
      <c r="B74">
        <v>0.4224</v>
      </c>
      <c r="C74">
        <f t="shared" si="13"/>
        <v>2.4944600313600001</v>
      </c>
      <c r="D74">
        <v>1.7399999999999999E-2</v>
      </c>
      <c r="E74">
        <v>3.5999999999999999E-3</v>
      </c>
      <c r="F74">
        <f t="shared" si="14"/>
        <v>1181.0890300000001</v>
      </c>
      <c r="G74">
        <f t="shared" si="15"/>
        <v>-0.4224</v>
      </c>
      <c r="H74">
        <f t="shared" si="16"/>
        <v>-498.892006272</v>
      </c>
      <c r="I74">
        <v>1</v>
      </c>
      <c r="J74">
        <f t="shared" si="17"/>
        <v>0.16643691964062202</v>
      </c>
      <c r="K74">
        <f t="shared" si="18"/>
        <v>-0.79932515177521746</v>
      </c>
      <c r="L74">
        <v>1</v>
      </c>
      <c r="M74">
        <f t="shared" si="19"/>
        <v>0.60988297274318659</v>
      </c>
      <c r="N74">
        <f t="shared" si="20"/>
        <v>0.10275474561</v>
      </c>
      <c r="O74">
        <f t="shared" si="21"/>
        <v>2.1259602540000002E-2</v>
      </c>
      <c r="P74">
        <f t="shared" si="22"/>
        <v>6.5427830882030857E-2</v>
      </c>
      <c r="V74">
        <v>0.99999999999998002</v>
      </c>
      <c r="W74">
        <f t="shared" si="23"/>
        <v>-0.65351999999999899</v>
      </c>
    </row>
    <row r="75" spans="1:23" x14ac:dyDescent="0.3">
      <c r="A75">
        <v>5.9890651500000001</v>
      </c>
      <c r="B75">
        <v>0.41861999999999999</v>
      </c>
      <c r="C75">
        <f t="shared" si="13"/>
        <v>2.507142453093</v>
      </c>
      <c r="D75">
        <v>1.7399999999999999E-2</v>
      </c>
      <c r="E75">
        <v>3.5999999999999999E-3</v>
      </c>
      <c r="F75">
        <f t="shared" si="14"/>
        <v>1197.81303</v>
      </c>
      <c r="G75">
        <f t="shared" si="15"/>
        <v>-0.41861999999999999</v>
      </c>
      <c r="H75">
        <f t="shared" si="16"/>
        <v>-501.42849061859999</v>
      </c>
      <c r="I75">
        <v>1</v>
      </c>
      <c r="J75">
        <f t="shared" si="17"/>
        <v>0.18049741906589786</v>
      </c>
      <c r="K75">
        <f t="shared" si="18"/>
        <v>-0.80310515177521746</v>
      </c>
      <c r="L75">
        <v>1</v>
      </c>
      <c r="M75">
        <f t="shared" si="19"/>
        <v>0.61061903988809973</v>
      </c>
      <c r="N75">
        <f t="shared" si="20"/>
        <v>0.10420973360999999</v>
      </c>
      <c r="O75">
        <f t="shared" si="21"/>
        <v>2.1560634539999998E-2</v>
      </c>
      <c r="P75">
        <f t="shared" si="22"/>
        <v>6.6715743737117736E-2</v>
      </c>
      <c r="V75">
        <v>1.0999999999999699</v>
      </c>
      <c r="W75">
        <f t="shared" si="23"/>
        <v>-0.65875499999999843</v>
      </c>
    </row>
    <row r="76" spans="1:23" x14ac:dyDescent="0.3">
      <c r="A76">
        <v>6.0726855000000004</v>
      </c>
      <c r="B76">
        <v>0.41470000000000001</v>
      </c>
      <c r="C76">
        <f t="shared" si="13"/>
        <v>2.5183426768500001</v>
      </c>
      <c r="D76">
        <v>1.7399999999999999E-2</v>
      </c>
      <c r="E76">
        <v>3.5999999999999999E-3</v>
      </c>
      <c r="F76">
        <f t="shared" si="14"/>
        <v>1214.5371</v>
      </c>
      <c r="G76">
        <f t="shared" si="15"/>
        <v>-0.41470000000000001</v>
      </c>
      <c r="H76">
        <f t="shared" si="16"/>
        <v>-503.66853537000003</v>
      </c>
      <c r="I76">
        <v>1</v>
      </c>
      <c r="J76">
        <f t="shared" si="17"/>
        <v>0.19436301654395552</v>
      </c>
      <c r="K76">
        <f t="shared" si="18"/>
        <v>-0.80702515177521739</v>
      </c>
      <c r="L76">
        <v>1</v>
      </c>
      <c r="M76">
        <f t="shared" si="19"/>
        <v>0.6113449039160761</v>
      </c>
      <c r="N76">
        <f t="shared" si="20"/>
        <v>0.1056647277</v>
      </c>
      <c r="O76">
        <f t="shared" si="21"/>
        <v>2.1861667800000002E-2</v>
      </c>
      <c r="P76">
        <f t="shared" si="22"/>
        <v>6.8153852359141287E-2</v>
      </c>
      <c r="V76">
        <v>1.19999999999997</v>
      </c>
      <c r="W76">
        <f t="shared" si="23"/>
        <v>-0.66398999999999841</v>
      </c>
    </row>
    <row r="77" spans="1:23" x14ac:dyDescent="0.3">
      <c r="A77">
        <v>6.1551022499999997</v>
      </c>
      <c r="B77">
        <v>0.41088000000000002</v>
      </c>
      <c r="C77">
        <f t="shared" si="13"/>
        <v>2.5290084124800001</v>
      </c>
      <c r="D77">
        <v>1.7399999999999999E-2</v>
      </c>
      <c r="E77">
        <v>3.5999999999999999E-3</v>
      </c>
      <c r="F77">
        <f t="shared" si="14"/>
        <v>1231.02045</v>
      </c>
      <c r="G77">
        <f t="shared" si="15"/>
        <v>-0.41088000000000002</v>
      </c>
      <c r="H77">
        <f t="shared" si="16"/>
        <v>-505.80168249600001</v>
      </c>
      <c r="I77">
        <v>1</v>
      </c>
      <c r="J77">
        <f t="shared" si="17"/>
        <v>0.20784345957448452</v>
      </c>
      <c r="K77">
        <f t="shared" si="18"/>
        <v>-0.81084515177521743</v>
      </c>
      <c r="L77">
        <v>1</v>
      </c>
      <c r="M77">
        <f t="shared" si="19"/>
        <v>0.61205060510872422</v>
      </c>
      <c r="N77">
        <f t="shared" si="20"/>
        <v>0.10709877914999999</v>
      </c>
      <c r="O77">
        <f t="shared" si="21"/>
        <v>2.2158368099999999E-2</v>
      </c>
      <c r="P77">
        <f t="shared" si="22"/>
        <v>6.9537399416493229E-2</v>
      </c>
      <c r="V77">
        <v>1.2999999999999701</v>
      </c>
      <c r="W77">
        <f t="shared" si="23"/>
        <v>-0.6692249999999984</v>
      </c>
    </row>
    <row r="78" spans="1:23" x14ac:dyDescent="0.3">
      <c r="A78">
        <v>6.2405273000000001</v>
      </c>
      <c r="B78">
        <v>0.40705000000000002</v>
      </c>
      <c r="C78">
        <f t="shared" si="13"/>
        <v>2.5402066374650003</v>
      </c>
      <c r="D78">
        <v>1.7399999999999999E-2</v>
      </c>
      <c r="E78">
        <v>3.5999999999999999E-3</v>
      </c>
      <c r="F78">
        <f t="shared" si="14"/>
        <v>1248.10546</v>
      </c>
      <c r="G78">
        <f t="shared" si="15"/>
        <v>-0.40705000000000002</v>
      </c>
      <c r="H78">
        <f t="shared" si="16"/>
        <v>-508.04132749300004</v>
      </c>
      <c r="I78">
        <v>1</v>
      </c>
      <c r="J78">
        <f t="shared" si="17"/>
        <v>0.22162676958216931</v>
      </c>
      <c r="K78">
        <f t="shared" si="18"/>
        <v>-0.81467515177521743</v>
      </c>
      <c r="L78">
        <v>1</v>
      </c>
      <c r="M78">
        <f t="shared" si="19"/>
        <v>0.61277216138762658</v>
      </c>
      <c r="N78">
        <f t="shared" si="20"/>
        <v>0.10858517501999999</v>
      </c>
      <c r="O78">
        <f t="shared" si="21"/>
        <v>2.246589828E-2</v>
      </c>
      <c r="P78">
        <f t="shared" si="22"/>
        <v>7.0851917087590865E-2</v>
      </c>
      <c r="V78">
        <v>1.3999999999999699</v>
      </c>
      <c r="W78">
        <f t="shared" si="23"/>
        <v>-0.67445999999999839</v>
      </c>
    </row>
    <row r="79" spans="1:23" x14ac:dyDescent="0.3">
      <c r="A79">
        <v>6.3217411999999999</v>
      </c>
      <c r="B79">
        <v>0.40325</v>
      </c>
      <c r="C79">
        <f t="shared" si="13"/>
        <v>2.5492421389</v>
      </c>
      <c r="D79">
        <v>1.7399999999999999E-2</v>
      </c>
      <c r="E79">
        <v>3.5999999999999999E-3</v>
      </c>
      <c r="F79">
        <f t="shared" si="14"/>
        <v>1264.34824</v>
      </c>
      <c r="G79">
        <f t="shared" si="15"/>
        <v>-0.40325</v>
      </c>
      <c r="H79">
        <f t="shared" si="16"/>
        <v>-509.84842778000001</v>
      </c>
      <c r="I79">
        <v>1</v>
      </c>
      <c r="J79">
        <f t="shared" si="17"/>
        <v>0.23455676410888021</v>
      </c>
      <c r="K79">
        <f t="shared" si="18"/>
        <v>-0.81847515177521746</v>
      </c>
      <c r="L79">
        <v>1</v>
      </c>
      <c r="M79">
        <f t="shared" si="19"/>
        <v>0.61344904660109989</v>
      </c>
      <c r="N79">
        <f t="shared" si="20"/>
        <v>0.10999829687999998</v>
      </c>
      <c r="O79">
        <f t="shared" si="21"/>
        <v>2.275826832E-2</v>
      </c>
      <c r="P79">
        <f t="shared" si="22"/>
        <v>7.2269539974117586E-2</v>
      </c>
      <c r="V79">
        <v>1.49999999999997</v>
      </c>
      <c r="W79">
        <f t="shared" si="23"/>
        <v>-0.67969499999999838</v>
      </c>
    </row>
    <row r="80" spans="1:23" x14ac:dyDescent="0.3">
      <c r="A80">
        <v>6.4053611999999998</v>
      </c>
      <c r="B80">
        <v>0.39932000000000001</v>
      </c>
      <c r="C80">
        <f t="shared" si="13"/>
        <v>2.5577888343840001</v>
      </c>
      <c r="D80">
        <v>1.7399999999999999E-2</v>
      </c>
      <c r="E80">
        <v>3.5999999999999999E-3</v>
      </c>
      <c r="F80">
        <f t="shared" si="14"/>
        <v>1281.07224</v>
      </c>
      <c r="G80">
        <f t="shared" si="15"/>
        <v>-0.39932000000000001</v>
      </c>
      <c r="H80">
        <f t="shared" si="16"/>
        <v>-511.55776687680003</v>
      </c>
      <c r="I80">
        <v>1</v>
      </c>
      <c r="J80">
        <f t="shared" si="17"/>
        <v>0.24769741476716964</v>
      </c>
      <c r="K80">
        <f t="shared" si="18"/>
        <v>-0.82240515177521745</v>
      </c>
      <c r="L80">
        <v>1</v>
      </c>
      <c r="M80">
        <f t="shared" si="19"/>
        <v>0.61413695966306137</v>
      </c>
      <c r="N80">
        <f t="shared" si="20"/>
        <v>0.11145328487999999</v>
      </c>
      <c r="O80">
        <f t="shared" si="21"/>
        <v>2.305930032E-2</v>
      </c>
      <c r="P80">
        <f t="shared" si="22"/>
        <v>7.3755606912156088E-2</v>
      </c>
      <c r="V80">
        <v>1.5999999999999699</v>
      </c>
      <c r="W80">
        <f t="shared" si="23"/>
        <v>-0.68492999999999837</v>
      </c>
    </row>
    <row r="81" spans="1:23" x14ac:dyDescent="0.3">
      <c r="A81">
        <v>6.4913876000000004</v>
      </c>
      <c r="B81">
        <v>0.39550000000000002</v>
      </c>
      <c r="C81">
        <f t="shared" si="13"/>
        <v>2.5673437958000003</v>
      </c>
      <c r="D81">
        <v>1.7399999999999999E-2</v>
      </c>
      <c r="E81">
        <v>3.5999999999999999E-3</v>
      </c>
      <c r="F81">
        <f t="shared" si="14"/>
        <v>1298.2775200000001</v>
      </c>
      <c r="G81">
        <f t="shared" si="15"/>
        <v>-0.39550000000000002</v>
      </c>
      <c r="H81">
        <f t="shared" si="16"/>
        <v>-513.4687591600001</v>
      </c>
      <c r="I81">
        <v>1</v>
      </c>
      <c r="J81">
        <f t="shared" si="17"/>
        <v>0.26103840128384564</v>
      </c>
      <c r="K81">
        <f t="shared" si="18"/>
        <v>-0.82622515177521749</v>
      </c>
      <c r="L81">
        <v>1</v>
      </c>
      <c r="M81">
        <f t="shared" si="19"/>
        <v>0.61483536030720931</v>
      </c>
      <c r="N81">
        <f t="shared" si="20"/>
        <v>0.11295014423999999</v>
      </c>
      <c r="O81">
        <f t="shared" si="21"/>
        <v>2.3368995360000002E-2</v>
      </c>
      <c r="P81">
        <f t="shared" si="22"/>
        <v>7.5070651868008181E-2</v>
      </c>
      <c r="V81">
        <v>1.69999999999997</v>
      </c>
      <c r="W81">
        <f t="shared" si="23"/>
        <v>-0.69016499999999836</v>
      </c>
    </row>
    <row r="82" spans="1:23" x14ac:dyDescent="0.3">
      <c r="A82">
        <v>6.5726015499999999</v>
      </c>
      <c r="B82">
        <v>0.39158999999999999</v>
      </c>
      <c r="C82">
        <f t="shared" si="13"/>
        <v>2.5737650409645001</v>
      </c>
      <c r="D82">
        <v>1.7399999999999999E-2</v>
      </c>
      <c r="E82">
        <v>3.5999999999999999E-3</v>
      </c>
      <c r="F82">
        <f t="shared" si="14"/>
        <v>1314.5203099999999</v>
      </c>
      <c r="G82">
        <f t="shared" si="15"/>
        <v>-0.39158999999999999</v>
      </c>
      <c r="H82">
        <f t="shared" si="16"/>
        <v>-514.75300819289998</v>
      </c>
      <c r="I82">
        <v>1</v>
      </c>
      <c r="J82">
        <f t="shared" si="17"/>
        <v>0.27347181581016411</v>
      </c>
      <c r="K82">
        <f t="shared" si="18"/>
        <v>-0.83013515177521746</v>
      </c>
      <c r="L82">
        <v>1</v>
      </c>
      <c r="M82">
        <f t="shared" si="19"/>
        <v>0.61548624955766207</v>
      </c>
      <c r="N82">
        <f t="shared" si="20"/>
        <v>0.11436326696999999</v>
      </c>
      <c r="O82">
        <f t="shared" si="21"/>
        <v>2.366136558E-2</v>
      </c>
      <c r="P82">
        <f t="shared" si="22"/>
        <v>7.6624269667555409E-2</v>
      </c>
      <c r="V82">
        <v>1.7999999999999701</v>
      </c>
      <c r="W82">
        <f t="shared" si="23"/>
        <v>-0.69539999999999846</v>
      </c>
    </row>
    <row r="83" spans="1:23" x14ac:dyDescent="0.3">
      <c r="A83">
        <v>6.6550187000000003</v>
      </c>
      <c r="B83">
        <v>0.38764999999999999</v>
      </c>
      <c r="C83">
        <f t="shared" si="13"/>
        <v>2.5798179990549999</v>
      </c>
      <c r="D83">
        <v>1.7399999999999999E-2</v>
      </c>
      <c r="E83">
        <v>3.5999999999999999E-3</v>
      </c>
      <c r="F83">
        <f t="shared" si="14"/>
        <v>1331.0037400000001</v>
      </c>
      <c r="G83">
        <f t="shared" si="15"/>
        <v>-0.38764999999999999</v>
      </c>
      <c r="H83">
        <f t="shared" si="16"/>
        <v>-515.96359981099999</v>
      </c>
      <c r="I83">
        <v>1</v>
      </c>
      <c r="J83">
        <f t="shared" si="17"/>
        <v>0.2859333493263822</v>
      </c>
      <c r="K83">
        <f t="shared" si="18"/>
        <v>-0.8340751517752174</v>
      </c>
      <c r="L83">
        <v>1</v>
      </c>
      <c r="M83">
        <f t="shared" si="19"/>
        <v>0.61613861083723609</v>
      </c>
      <c r="N83">
        <f t="shared" si="20"/>
        <v>0.11579732538</v>
      </c>
      <c r="O83">
        <f t="shared" si="21"/>
        <v>2.3958067320000002E-2</v>
      </c>
      <c r="P83">
        <f t="shared" si="22"/>
        <v>7.8181148237981321E-2</v>
      </c>
      <c r="V83">
        <v>1.8999999999999699</v>
      </c>
      <c r="W83">
        <f t="shared" si="23"/>
        <v>-0.70063499999999845</v>
      </c>
    </row>
    <row r="84" spans="1:23" x14ac:dyDescent="0.3">
      <c r="A84">
        <v>6.7386387000000001</v>
      </c>
      <c r="B84">
        <v>0.38368999999999998</v>
      </c>
      <c r="C84">
        <f t="shared" si="13"/>
        <v>2.5855482828029999</v>
      </c>
      <c r="D84">
        <v>1.7399999999999999E-2</v>
      </c>
      <c r="E84">
        <v>3.5999999999999999E-3</v>
      </c>
      <c r="F84">
        <f t="shared" si="14"/>
        <v>1347.72774</v>
      </c>
      <c r="G84">
        <f t="shared" si="15"/>
        <v>-0.38368999999999998</v>
      </c>
      <c r="H84">
        <f t="shared" si="16"/>
        <v>-517.1096565606</v>
      </c>
      <c r="I84">
        <v>1</v>
      </c>
      <c r="J84">
        <f t="shared" si="17"/>
        <v>0.29842001879699431</v>
      </c>
      <c r="K84">
        <f t="shared" si="18"/>
        <v>-0.83803515177521748</v>
      </c>
      <c r="L84">
        <v>1</v>
      </c>
      <c r="M84">
        <f t="shared" si="19"/>
        <v>0.61679228798402264</v>
      </c>
      <c r="N84">
        <f t="shared" si="20"/>
        <v>0.11725231337999999</v>
      </c>
      <c r="O84">
        <f t="shared" si="21"/>
        <v>2.4259099319999998E-2</v>
      </c>
      <c r="P84">
        <f t="shared" si="22"/>
        <v>7.9731451091194866E-2</v>
      </c>
      <c r="V84">
        <v>1.99999999999997</v>
      </c>
      <c r="W84">
        <f t="shared" si="23"/>
        <v>-0.70586999999999844</v>
      </c>
    </row>
    <row r="85" spans="1:23" x14ac:dyDescent="0.3">
      <c r="A85">
        <v>6.8216572500000003</v>
      </c>
      <c r="B85">
        <v>0.37979000000000002</v>
      </c>
      <c r="C85">
        <f t="shared" si="13"/>
        <v>2.5907972069775003</v>
      </c>
      <c r="D85">
        <v>1.7399999999999999E-2</v>
      </c>
      <c r="E85">
        <v>3.5999999999999999E-3</v>
      </c>
      <c r="F85">
        <f t="shared" si="14"/>
        <v>1364.3314500000001</v>
      </c>
      <c r="G85">
        <f t="shared" si="15"/>
        <v>-0.37979000000000002</v>
      </c>
      <c r="H85">
        <f t="shared" si="16"/>
        <v>-518.15944139550004</v>
      </c>
      <c r="I85">
        <v>1</v>
      </c>
      <c r="J85">
        <f t="shared" si="17"/>
        <v>0.31066452843563308</v>
      </c>
      <c r="K85">
        <f t="shared" si="18"/>
        <v>-0.84193515177521738</v>
      </c>
      <c r="L85">
        <v>1</v>
      </c>
      <c r="M85">
        <f t="shared" si="19"/>
        <v>0.61743328806360542</v>
      </c>
      <c r="N85">
        <f t="shared" si="20"/>
        <v>0.11869683615</v>
      </c>
      <c r="O85">
        <f t="shared" si="21"/>
        <v>2.4557966100000002E-2</v>
      </c>
      <c r="P85">
        <f t="shared" si="22"/>
        <v>8.1247061461611952E-2</v>
      </c>
      <c r="V85">
        <v>2.0999999999999699</v>
      </c>
      <c r="W85">
        <f t="shared" si="23"/>
        <v>-0.71110499999999843</v>
      </c>
    </row>
    <row r="86" spans="1:23" x14ac:dyDescent="0.3">
      <c r="A86">
        <v>6.9052776500000004</v>
      </c>
      <c r="B86">
        <v>0.37583</v>
      </c>
      <c r="C86">
        <f t="shared" si="13"/>
        <v>2.5952104991995002</v>
      </c>
      <c r="D86">
        <v>1.7399999999999999E-2</v>
      </c>
      <c r="E86">
        <v>3.5999999999999999E-3</v>
      </c>
      <c r="F86">
        <f t="shared" si="14"/>
        <v>1381.0555300000001</v>
      </c>
      <c r="G86">
        <f t="shared" si="15"/>
        <v>-0.37583</v>
      </c>
      <c r="H86">
        <f t="shared" si="16"/>
        <v>-519.04209983990006</v>
      </c>
      <c r="I86">
        <v>1</v>
      </c>
      <c r="J86">
        <f t="shared" si="17"/>
        <v>0.32284808361151385</v>
      </c>
      <c r="K86">
        <f t="shared" si="18"/>
        <v>-0.84589515177521746</v>
      </c>
      <c r="L86">
        <v>1</v>
      </c>
      <c r="M86">
        <f t="shared" si="19"/>
        <v>0.61807109717706277</v>
      </c>
      <c r="N86">
        <f t="shared" si="20"/>
        <v>0.12015183111</v>
      </c>
      <c r="O86">
        <f t="shared" si="21"/>
        <v>2.4858999539999999E-2</v>
      </c>
      <c r="P86">
        <f t="shared" si="22"/>
        <v>8.2813223948154699E-2</v>
      </c>
      <c r="V86">
        <v>2.19999999999997</v>
      </c>
      <c r="W86">
        <f t="shared" si="23"/>
        <v>-0.71633999999999842</v>
      </c>
    </row>
    <row r="87" spans="1:23" x14ac:dyDescent="0.3">
      <c r="A87">
        <v>6.9882961999999997</v>
      </c>
      <c r="B87">
        <v>0.37181999999999998</v>
      </c>
      <c r="C87">
        <f t="shared" si="13"/>
        <v>2.5983882930839997</v>
      </c>
      <c r="D87">
        <v>1.7399999999999999E-2</v>
      </c>
      <c r="E87">
        <v>3.5999999999999999E-3</v>
      </c>
      <c r="F87">
        <f t="shared" si="14"/>
        <v>1397.65924</v>
      </c>
      <c r="G87">
        <f t="shared" si="15"/>
        <v>-0.37181999999999998</v>
      </c>
      <c r="H87">
        <f t="shared" si="16"/>
        <v>-519.67765861679993</v>
      </c>
      <c r="I87">
        <v>1</v>
      </c>
      <c r="J87">
        <f t="shared" si="17"/>
        <v>0.33479886588846386</v>
      </c>
      <c r="K87">
        <f t="shared" si="18"/>
        <v>-0.84990515177521742</v>
      </c>
      <c r="L87">
        <v>1</v>
      </c>
      <c r="M87">
        <f t="shared" si="19"/>
        <v>0.61869672062926107</v>
      </c>
      <c r="N87">
        <f t="shared" si="20"/>
        <v>0.12159635387999999</v>
      </c>
      <c r="O87">
        <f t="shared" si="21"/>
        <v>2.515786632E-2</v>
      </c>
      <c r="P87">
        <f t="shared" si="22"/>
        <v>8.4454210945956357E-2</v>
      </c>
      <c r="V87">
        <v>2.2999999999999701</v>
      </c>
      <c r="W87">
        <f t="shared" si="23"/>
        <v>-0.72157499999999841</v>
      </c>
    </row>
    <row r="88" spans="1:23" x14ac:dyDescent="0.3">
      <c r="A88">
        <v>7.0713147999999997</v>
      </c>
      <c r="B88">
        <v>0.36786000000000002</v>
      </c>
      <c r="C88">
        <f t="shared" si="13"/>
        <v>2.6012538623279999</v>
      </c>
      <c r="D88">
        <v>1.7399999999999999E-2</v>
      </c>
      <c r="E88">
        <v>3.5999999999999999E-3</v>
      </c>
      <c r="F88">
        <f t="shared" si="14"/>
        <v>1414.26296</v>
      </c>
      <c r="G88">
        <f t="shared" si="15"/>
        <v>-0.36786000000000002</v>
      </c>
      <c r="H88">
        <f t="shared" si="16"/>
        <v>-520.25077246559999</v>
      </c>
      <c r="I88">
        <v>1</v>
      </c>
      <c r="J88">
        <f t="shared" si="17"/>
        <v>0.34660851906691453</v>
      </c>
      <c r="K88">
        <f t="shared" si="18"/>
        <v>-0.85386515177521738</v>
      </c>
      <c r="L88">
        <v>1</v>
      </c>
      <c r="M88">
        <f t="shared" si="19"/>
        <v>0.619314955973153</v>
      </c>
      <c r="N88">
        <f t="shared" si="20"/>
        <v>0.12304087751999998</v>
      </c>
      <c r="O88">
        <f t="shared" si="21"/>
        <v>2.5456733279999998E-2</v>
      </c>
      <c r="P88">
        <f t="shared" si="22"/>
        <v>8.6052585002064391E-2</v>
      </c>
      <c r="V88">
        <v>2.3999999999999702</v>
      </c>
      <c r="W88">
        <f t="shared" si="23"/>
        <v>-0.7268099999999984</v>
      </c>
    </row>
    <row r="89" spans="1:23" x14ac:dyDescent="0.3">
      <c r="A89">
        <v>7.1543333499999999</v>
      </c>
      <c r="B89">
        <v>0.36386000000000002</v>
      </c>
      <c r="C89">
        <f t="shared" si="13"/>
        <v>2.6031757327310001</v>
      </c>
      <c r="D89">
        <v>1.7399999999999999E-2</v>
      </c>
      <c r="E89">
        <v>3.5999999999999999E-3</v>
      </c>
      <c r="F89">
        <f t="shared" si="14"/>
        <v>1430.8666699999999</v>
      </c>
      <c r="G89">
        <f t="shared" si="15"/>
        <v>-0.36386000000000002</v>
      </c>
      <c r="H89">
        <f t="shared" si="16"/>
        <v>-520.63514654620008</v>
      </c>
      <c r="I89">
        <v>1</v>
      </c>
      <c r="J89">
        <f t="shared" si="17"/>
        <v>0.35828032362690804</v>
      </c>
      <c r="K89">
        <f t="shared" si="18"/>
        <v>-0.85786515177521738</v>
      </c>
      <c r="L89">
        <v>1</v>
      </c>
      <c r="M89">
        <f t="shared" si="19"/>
        <v>0.61992597494186863</v>
      </c>
      <c r="N89">
        <f t="shared" si="20"/>
        <v>0.12448540028999999</v>
      </c>
      <c r="O89">
        <f t="shared" si="21"/>
        <v>2.5755600059999998E-2</v>
      </c>
      <c r="P89">
        <f t="shared" si="22"/>
        <v>8.7698176483348766E-2</v>
      </c>
      <c r="V89">
        <v>2.4999999999999698</v>
      </c>
      <c r="W89">
        <f t="shared" si="23"/>
        <v>-0.73204499999999839</v>
      </c>
    </row>
    <row r="90" spans="1:23" x14ac:dyDescent="0.3">
      <c r="A90">
        <v>7.23795375</v>
      </c>
      <c r="B90">
        <v>0.35980000000000001</v>
      </c>
      <c r="C90">
        <f t="shared" si="13"/>
        <v>2.6042157592500002</v>
      </c>
      <c r="D90">
        <v>1.7399999999999999E-2</v>
      </c>
      <c r="E90">
        <v>3.5999999999999999E-3</v>
      </c>
      <c r="F90">
        <f t="shared" si="14"/>
        <v>1447.5907500000001</v>
      </c>
      <c r="G90">
        <f t="shared" si="15"/>
        <v>-0.35980000000000001</v>
      </c>
      <c r="H90">
        <f t="shared" si="16"/>
        <v>-520.84315185000003</v>
      </c>
      <c r="I90">
        <v>1</v>
      </c>
      <c r="J90">
        <f t="shared" si="17"/>
        <v>0.36990062280032587</v>
      </c>
      <c r="K90">
        <f t="shared" si="18"/>
        <v>-0.86192515177521745</v>
      </c>
      <c r="L90">
        <v>1</v>
      </c>
      <c r="M90">
        <f t="shared" si="19"/>
        <v>0.62053429760359702</v>
      </c>
      <c r="N90">
        <f t="shared" si="20"/>
        <v>0.12594039525</v>
      </c>
      <c r="O90">
        <f t="shared" si="21"/>
        <v>2.6056633499999999E-2</v>
      </c>
      <c r="P90">
        <f t="shared" si="22"/>
        <v>8.9393825421620429E-2</v>
      </c>
      <c r="V90">
        <v>2.5999999999999699</v>
      </c>
      <c r="W90">
        <f t="shared" si="23"/>
        <v>-0.73727999999999838</v>
      </c>
    </row>
    <row r="91" spans="1:23" x14ac:dyDescent="0.3">
      <c r="A91">
        <v>7.3227769499999997</v>
      </c>
      <c r="B91">
        <v>0.35585</v>
      </c>
      <c r="C91">
        <f t="shared" si="13"/>
        <v>2.6058101776574998</v>
      </c>
      <c r="D91">
        <v>1.7399999999999999E-2</v>
      </c>
      <c r="E91">
        <v>3.5999999999999999E-3</v>
      </c>
      <c r="F91">
        <f t="shared" si="14"/>
        <v>1464.55539</v>
      </c>
      <c r="G91">
        <f t="shared" si="15"/>
        <v>-0.35585</v>
      </c>
      <c r="H91">
        <f t="shared" si="16"/>
        <v>-521.16203553150001</v>
      </c>
      <c r="I91">
        <v>1</v>
      </c>
      <c r="J91">
        <f t="shared" si="17"/>
        <v>0.38155170835260371</v>
      </c>
      <c r="K91">
        <f t="shared" si="18"/>
        <v>-0.86587515177521746</v>
      </c>
      <c r="L91">
        <v>1</v>
      </c>
      <c r="M91">
        <f t="shared" si="19"/>
        <v>0.62114423193225876</v>
      </c>
      <c r="N91">
        <f t="shared" si="20"/>
        <v>0.12741631892999999</v>
      </c>
      <c r="O91">
        <f t="shared" si="21"/>
        <v>2.636199702E-2</v>
      </c>
      <c r="P91">
        <f t="shared" si="22"/>
        <v>9.09526038929587E-2</v>
      </c>
      <c r="V91">
        <v>2.69999999999997</v>
      </c>
      <c r="W91">
        <f t="shared" si="23"/>
        <v>-0.74251499999999848</v>
      </c>
    </row>
    <row r="92" spans="1:23" x14ac:dyDescent="0.3">
      <c r="A92">
        <v>7.4057955</v>
      </c>
      <c r="B92">
        <v>0.35172999999999999</v>
      </c>
      <c r="C92">
        <f t="shared" si="13"/>
        <v>2.6048404512149999</v>
      </c>
      <c r="D92">
        <v>1.7399999999999999E-2</v>
      </c>
      <c r="E92">
        <v>3.5999999999999999E-3</v>
      </c>
      <c r="F92">
        <f t="shared" si="14"/>
        <v>1481.1591000000001</v>
      </c>
      <c r="G92">
        <f t="shared" si="15"/>
        <v>-0.35172999999999999</v>
      </c>
      <c r="H92">
        <f t="shared" si="16"/>
        <v>-520.96809024300001</v>
      </c>
      <c r="I92">
        <v>1</v>
      </c>
      <c r="J92">
        <f t="shared" si="17"/>
        <v>0.39282495692965996</v>
      </c>
      <c r="K92">
        <f t="shared" si="18"/>
        <v>-0.86999515177521747</v>
      </c>
      <c r="L92">
        <v>1</v>
      </c>
      <c r="M92">
        <f t="shared" si="19"/>
        <v>0.62173438649526769</v>
      </c>
      <c r="N92">
        <f t="shared" si="20"/>
        <v>0.12886084169999998</v>
      </c>
      <c r="O92">
        <f t="shared" si="21"/>
        <v>2.66608638E-2</v>
      </c>
      <c r="P92">
        <f t="shared" si="22"/>
        <v>9.2739059779949798E-2</v>
      </c>
      <c r="V92">
        <v>2.7999999999999701</v>
      </c>
      <c r="W92">
        <f t="shared" si="23"/>
        <v>-0.74774999999999836</v>
      </c>
    </row>
    <row r="93" spans="1:23" x14ac:dyDescent="0.3">
      <c r="A93">
        <v>7.4864076500000003</v>
      </c>
      <c r="B93">
        <v>0.34766000000000002</v>
      </c>
      <c r="C93">
        <f t="shared" si="13"/>
        <v>2.6027244835990002</v>
      </c>
      <c r="D93">
        <v>1.7399999999999999E-2</v>
      </c>
      <c r="E93">
        <v>3.5999999999999999E-3</v>
      </c>
      <c r="F93">
        <f t="shared" si="14"/>
        <v>1497.28153</v>
      </c>
      <c r="G93">
        <f t="shared" si="15"/>
        <v>-0.34766000000000002</v>
      </c>
      <c r="H93">
        <f t="shared" si="16"/>
        <v>-520.54489671980002</v>
      </c>
      <c r="I93">
        <v>1</v>
      </c>
      <c r="J93">
        <f t="shared" si="17"/>
        <v>0.40365115054815232</v>
      </c>
      <c r="K93">
        <f t="shared" si="18"/>
        <v>-0.87406515177521737</v>
      </c>
      <c r="L93">
        <v>1</v>
      </c>
      <c r="M93">
        <f t="shared" si="19"/>
        <v>0.62230113773119577</v>
      </c>
      <c r="N93">
        <f t="shared" si="20"/>
        <v>0.13026349310999999</v>
      </c>
      <c r="O93">
        <f t="shared" si="21"/>
        <v>2.6951067540000002E-2</v>
      </c>
      <c r="P93">
        <f t="shared" si="22"/>
        <v>9.4549453394021613E-2</v>
      </c>
      <c r="V93">
        <v>2.8999999999999702</v>
      </c>
      <c r="W93">
        <f t="shared" si="23"/>
        <v>-0.75298499999999846</v>
      </c>
    </row>
    <row r="94" spans="1:23" x14ac:dyDescent="0.3">
      <c r="A94">
        <v>7.5688243999999996</v>
      </c>
      <c r="B94">
        <v>0.34355000000000002</v>
      </c>
      <c r="C94">
        <f t="shared" si="13"/>
        <v>2.6002696226199999</v>
      </c>
      <c r="D94">
        <v>1.7399999999999999E-2</v>
      </c>
      <c r="E94">
        <v>3.5999999999999999E-3</v>
      </c>
      <c r="F94">
        <f t="shared" si="14"/>
        <v>1513.7648799999999</v>
      </c>
      <c r="G94">
        <f t="shared" si="15"/>
        <v>-0.34355000000000002</v>
      </c>
      <c r="H94">
        <f t="shared" si="16"/>
        <v>-520.05392452399997</v>
      </c>
      <c r="I94">
        <v>1</v>
      </c>
      <c r="J94">
        <f t="shared" si="17"/>
        <v>0.41459984572950248</v>
      </c>
      <c r="K94">
        <f t="shared" si="18"/>
        <v>-0.87817515177521743</v>
      </c>
      <c r="L94">
        <v>1</v>
      </c>
      <c r="M94">
        <f t="shared" si="19"/>
        <v>0.62287430192393944</v>
      </c>
      <c r="N94">
        <f t="shared" si="20"/>
        <v>0.13169754455999999</v>
      </c>
      <c r="O94">
        <f t="shared" si="21"/>
        <v>2.7247767839999999E-2</v>
      </c>
      <c r="P94">
        <f t="shared" si="22"/>
        <v>9.6355537451278006E-2</v>
      </c>
      <c r="V94">
        <v>2.9999999999999698</v>
      </c>
      <c r="W94">
        <f t="shared" si="23"/>
        <v>-0.75821999999999834</v>
      </c>
    </row>
    <row r="95" spans="1:23" x14ac:dyDescent="0.3">
      <c r="A95">
        <v>7.6536476000000002</v>
      </c>
      <c r="B95">
        <v>0.33956999999999998</v>
      </c>
      <c r="C95">
        <f t="shared" si="13"/>
        <v>2.5989491155320001</v>
      </c>
      <c r="D95">
        <v>1.7399999999999999E-2</v>
      </c>
      <c r="E95">
        <v>3.5999999999999999E-3</v>
      </c>
      <c r="F95">
        <f t="shared" si="14"/>
        <v>1530.7295200000001</v>
      </c>
      <c r="G95">
        <f t="shared" si="15"/>
        <v>-0.33956999999999998</v>
      </c>
      <c r="H95">
        <f t="shared" si="16"/>
        <v>-519.78982310640004</v>
      </c>
      <c r="I95">
        <v>1</v>
      </c>
      <c r="J95">
        <f t="shared" si="17"/>
        <v>0.42574443222387542</v>
      </c>
      <c r="K95">
        <f t="shared" si="18"/>
        <v>-0.88215515177521753</v>
      </c>
      <c r="L95">
        <v>1</v>
      </c>
      <c r="M95">
        <f t="shared" si="19"/>
        <v>0.62345772102691988</v>
      </c>
      <c r="N95">
        <f t="shared" si="20"/>
        <v>0.13317346823999998</v>
      </c>
      <c r="O95">
        <f t="shared" si="21"/>
        <v>2.755313136E-2</v>
      </c>
      <c r="P95">
        <f t="shared" si="22"/>
        <v>9.7970831148297674E-2</v>
      </c>
      <c r="V95">
        <v>3.0999999999999699</v>
      </c>
      <c r="W95">
        <f t="shared" si="23"/>
        <v>-0.76345499999999844</v>
      </c>
    </row>
    <row r="96" spans="1:23" x14ac:dyDescent="0.3">
      <c r="A96">
        <v>7.7354633499999998</v>
      </c>
      <c r="B96">
        <v>0.33527000000000001</v>
      </c>
      <c r="C96">
        <f t="shared" si="13"/>
        <v>2.5934687973544999</v>
      </c>
      <c r="D96">
        <v>1.7399999999999999E-2</v>
      </c>
      <c r="E96">
        <v>3.5999999999999999E-3</v>
      </c>
      <c r="F96">
        <f t="shared" si="14"/>
        <v>1547.09267</v>
      </c>
      <c r="G96">
        <f t="shared" si="15"/>
        <v>-0.33527000000000001</v>
      </c>
      <c r="H96">
        <f t="shared" si="16"/>
        <v>-518.69375947089998</v>
      </c>
      <c r="I96">
        <v>1</v>
      </c>
      <c r="J96">
        <f t="shared" si="17"/>
        <v>0.4363774728349521</v>
      </c>
      <c r="K96">
        <f t="shared" si="18"/>
        <v>-0.8864551517752175</v>
      </c>
      <c r="L96">
        <v>1</v>
      </c>
      <c r="M96">
        <f t="shared" si="19"/>
        <v>0.62401436070290972</v>
      </c>
      <c r="N96">
        <f t="shared" si="20"/>
        <v>0.13459706228999999</v>
      </c>
      <c r="O96">
        <f t="shared" si="21"/>
        <v>2.7847668059999997E-2</v>
      </c>
      <c r="P96">
        <f t="shared" si="22"/>
        <v>9.9996060722307795E-2</v>
      </c>
      <c r="V96">
        <v>3.19999999999997</v>
      </c>
      <c r="W96">
        <f t="shared" si="23"/>
        <v>-0.76868999999999843</v>
      </c>
    </row>
    <row r="97" spans="1:23" x14ac:dyDescent="0.3">
      <c r="A97">
        <v>7.8196847500000004</v>
      </c>
      <c r="B97">
        <v>0.33109</v>
      </c>
      <c r="C97">
        <f t="shared" si="13"/>
        <v>2.5890194238775002</v>
      </c>
      <c r="D97">
        <v>1.7399999999999999E-2</v>
      </c>
      <c r="E97">
        <v>3.5999999999999999E-3</v>
      </c>
      <c r="F97">
        <f t="shared" si="14"/>
        <v>1563.93695</v>
      </c>
      <c r="G97">
        <f t="shared" si="15"/>
        <v>-0.33109</v>
      </c>
      <c r="H97">
        <f t="shared" si="16"/>
        <v>-517.80388477550002</v>
      </c>
      <c r="I97">
        <v>1</v>
      </c>
      <c r="J97">
        <f t="shared" si="17"/>
        <v>0.44720632801128368</v>
      </c>
      <c r="K97">
        <f t="shared" si="18"/>
        <v>-0.89063515177521746</v>
      </c>
      <c r="L97">
        <v>1</v>
      </c>
      <c r="M97">
        <f t="shared" si="19"/>
        <v>0.62458125127139064</v>
      </c>
      <c r="N97">
        <f t="shared" si="20"/>
        <v>0.13606251464999999</v>
      </c>
      <c r="O97">
        <f t="shared" si="21"/>
        <v>2.8150865100000002E-2</v>
      </c>
      <c r="P97">
        <f t="shared" si="22"/>
        <v>0.10184052075382682</v>
      </c>
      <c r="V97">
        <v>3.2999999999999701</v>
      </c>
      <c r="W97">
        <f t="shared" si="23"/>
        <v>-0.77392499999999842</v>
      </c>
    </row>
    <row r="98" spans="1:23" x14ac:dyDescent="0.3">
      <c r="A98">
        <v>7.9027032999999998</v>
      </c>
      <c r="B98">
        <v>0.32689000000000001</v>
      </c>
      <c r="C98">
        <f t="shared" si="13"/>
        <v>2.5833146817369999</v>
      </c>
      <c r="D98">
        <v>1.7399999999999999E-2</v>
      </c>
      <c r="E98">
        <v>3.5999999999999999E-3</v>
      </c>
      <c r="F98">
        <f t="shared" si="14"/>
        <v>1580.5406599999999</v>
      </c>
      <c r="G98">
        <f t="shared" si="15"/>
        <v>-0.32689000000000001</v>
      </c>
      <c r="H98">
        <f t="shared" si="16"/>
        <v>-516.66293634739998</v>
      </c>
      <c r="I98">
        <v>1</v>
      </c>
      <c r="J98">
        <f t="shared" si="17"/>
        <v>0.45776697837869101</v>
      </c>
      <c r="K98">
        <f t="shared" si="18"/>
        <v>-0.89483515177521744</v>
      </c>
      <c r="L98">
        <v>1</v>
      </c>
      <c r="M98">
        <f t="shared" si="19"/>
        <v>0.62513410131812441</v>
      </c>
      <c r="N98">
        <f t="shared" si="20"/>
        <v>0.13750703741999998</v>
      </c>
      <c r="O98">
        <f t="shared" si="21"/>
        <v>2.8449731879999999E-2</v>
      </c>
      <c r="P98">
        <f t="shared" si="22"/>
        <v>0.10374428115709305</v>
      </c>
      <c r="V98">
        <v>3.3999999999999702</v>
      </c>
      <c r="W98">
        <f t="shared" si="23"/>
        <v>-0.77915999999999841</v>
      </c>
    </row>
    <row r="99" spans="1:23" x14ac:dyDescent="0.3">
      <c r="A99">
        <v>7.98572185</v>
      </c>
      <c r="B99">
        <v>0.3226</v>
      </c>
      <c r="C99">
        <f t="shared" si="13"/>
        <v>2.5761938688099999</v>
      </c>
      <c r="D99">
        <v>1.7399999999999999E-2</v>
      </c>
      <c r="E99">
        <v>3.5999999999999999E-3</v>
      </c>
      <c r="F99">
        <f t="shared" si="14"/>
        <v>1597.14437</v>
      </c>
      <c r="G99">
        <f t="shared" si="15"/>
        <v>-0.3226</v>
      </c>
      <c r="H99">
        <f t="shared" si="16"/>
        <v>-515.23877376199994</v>
      </c>
      <c r="I99">
        <v>1</v>
      </c>
      <c r="J99">
        <f t="shared" si="17"/>
        <v>0.46821726589838264</v>
      </c>
      <c r="K99">
        <f t="shared" si="18"/>
        <v>-0.89912515177521746</v>
      </c>
      <c r="L99">
        <v>1</v>
      </c>
      <c r="M99">
        <f t="shared" si="19"/>
        <v>0.62568117386978028</v>
      </c>
      <c r="N99">
        <f t="shared" si="20"/>
        <v>0.13895156018999999</v>
      </c>
      <c r="O99">
        <f t="shared" si="21"/>
        <v>2.8748598659999999E-2</v>
      </c>
      <c r="P99">
        <f t="shared" si="22"/>
        <v>0.10574381905543719</v>
      </c>
      <c r="V99">
        <v>3.4999999999999698</v>
      </c>
      <c r="W99">
        <f t="shared" si="23"/>
        <v>-0.7843949999999984</v>
      </c>
    </row>
    <row r="100" spans="1:23" x14ac:dyDescent="0.3">
      <c r="A100">
        <v>8.0699440500000001</v>
      </c>
      <c r="B100">
        <v>0.31835999999999998</v>
      </c>
      <c r="C100">
        <f t="shared" si="13"/>
        <v>2.569147387758</v>
      </c>
      <c r="D100">
        <v>1.7399999999999999E-2</v>
      </c>
      <c r="E100">
        <v>3.5999999999999999E-3</v>
      </c>
      <c r="F100">
        <f t="shared" si="14"/>
        <v>1613.9888100000001</v>
      </c>
      <c r="G100">
        <f t="shared" si="15"/>
        <v>-0.31835999999999998</v>
      </c>
      <c r="H100">
        <f t="shared" si="16"/>
        <v>-513.82947755160001</v>
      </c>
      <c r="I100">
        <v>1</v>
      </c>
      <c r="J100">
        <f t="shared" si="17"/>
        <v>0.47870863673822134</v>
      </c>
      <c r="K100">
        <f t="shared" si="18"/>
        <v>-0.90336515177521748</v>
      </c>
      <c r="L100">
        <v>1</v>
      </c>
      <c r="M100">
        <f t="shared" si="19"/>
        <v>0.62623039713324591</v>
      </c>
      <c r="N100">
        <f t="shared" si="20"/>
        <v>0.14041702646999998</v>
      </c>
      <c r="O100">
        <f t="shared" si="21"/>
        <v>2.905179858E-2</v>
      </c>
      <c r="P100">
        <f t="shared" si="22"/>
        <v>0.10766592959197159</v>
      </c>
      <c r="V100">
        <v>3.5999999999999699</v>
      </c>
      <c r="W100">
        <f t="shared" ref="W100:W131" si="24">V100*$S$5+$S$4</f>
        <v>-0.78962999999999839</v>
      </c>
    </row>
    <row r="101" spans="1:23" x14ac:dyDescent="0.3">
      <c r="A101">
        <v>8.1523608000000003</v>
      </c>
      <c r="B101">
        <v>0.31402999999999998</v>
      </c>
      <c r="C101">
        <f t="shared" si="13"/>
        <v>2.5600858620239997</v>
      </c>
      <c r="D101">
        <v>1.7399999999999999E-2</v>
      </c>
      <c r="E101">
        <v>3.5999999999999999E-3</v>
      </c>
      <c r="F101">
        <f t="shared" si="14"/>
        <v>1630.47216</v>
      </c>
      <c r="G101">
        <f t="shared" si="15"/>
        <v>-0.31402999999999998</v>
      </c>
      <c r="H101">
        <f t="shared" si="16"/>
        <v>-512.01717240479991</v>
      </c>
      <c r="I101">
        <v>1</v>
      </c>
      <c r="J101">
        <f t="shared" si="17"/>
        <v>0.48886964158444629</v>
      </c>
      <c r="K101">
        <f t="shared" si="18"/>
        <v>-0.90769515177521742</v>
      </c>
      <c r="L101">
        <v>1</v>
      </c>
      <c r="M101">
        <f t="shared" si="19"/>
        <v>0.62676232573694579</v>
      </c>
      <c r="N101">
        <f t="shared" si="20"/>
        <v>0.14185107791999998</v>
      </c>
      <c r="O101">
        <f t="shared" si="21"/>
        <v>2.9348498880000001E-2</v>
      </c>
      <c r="P101">
        <f t="shared" si="22"/>
        <v>0.10973324923827164</v>
      </c>
      <c r="V101">
        <v>3.69999999999997</v>
      </c>
      <c r="W101">
        <f t="shared" si="24"/>
        <v>-0.79486499999999838</v>
      </c>
    </row>
    <row r="102" spans="1:23" x14ac:dyDescent="0.3">
      <c r="A102">
        <v>8.2347783999999997</v>
      </c>
      <c r="B102">
        <v>0.30967</v>
      </c>
      <c r="C102">
        <f t="shared" si="13"/>
        <v>2.5500638271280001</v>
      </c>
      <c r="D102">
        <v>1.7399999999999999E-2</v>
      </c>
      <c r="E102">
        <v>3.5999999999999999E-3</v>
      </c>
      <c r="F102">
        <f t="shared" si="14"/>
        <v>1646.95568</v>
      </c>
      <c r="G102">
        <f t="shared" si="15"/>
        <v>-0.30967</v>
      </c>
      <c r="H102">
        <f t="shared" si="16"/>
        <v>-510.01276542560004</v>
      </c>
      <c r="I102">
        <v>1</v>
      </c>
      <c r="J102">
        <f t="shared" si="17"/>
        <v>0.49892854130095204</v>
      </c>
      <c r="K102">
        <f t="shared" si="18"/>
        <v>-0.91205515177521745</v>
      </c>
      <c r="L102">
        <v>1</v>
      </c>
      <c r="M102">
        <f t="shared" si="19"/>
        <v>0.62728890913710478</v>
      </c>
      <c r="N102">
        <f t="shared" si="20"/>
        <v>0.14328514415999999</v>
      </c>
      <c r="O102">
        <f t="shared" si="21"/>
        <v>2.9645202239999998E-2</v>
      </c>
      <c r="P102">
        <f t="shared" si="22"/>
        <v>0.11183589623811269</v>
      </c>
      <c r="V102">
        <v>3.7999999999999701</v>
      </c>
      <c r="W102">
        <f t="shared" si="24"/>
        <v>-0.80009999999999848</v>
      </c>
    </row>
    <row r="103" spans="1:23" x14ac:dyDescent="0.3">
      <c r="A103">
        <v>8.3189997499999997</v>
      </c>
      <c r="B103">
        <v>0.30526999999999999</v>
      </c>
      <c r="C103">
        <f t="shared" si="13"/>
        <v>2.5395410536824996</v>
      </c>
      <c r="D103">
        <v>1.7399999999999999E-2</v>
      </c>
      <c r="E103">
        <v>3.5999999999999999E-3</v>
      </c>
      <c r="F103">
        <f t="shared" si="14"/>
        <v>1663.7999499999999</v>
      </c>
      <c r="G103">
        <f t="shared" si="15"/>
        <v>-0.30526999999999999</v>
      </c>
      <c r="H103">
        <f t="shared" si="16"/>
        <v>-507.90821073649994</v>
      </c>
      <c r="I103">
        <v>1</v>
      </c>
      <c r="J103">
        <f t="shared" si="17"/>
        <v>0.5091041128159608</v>
      </c>
      <c r="K103">
        <f t="shared" si="18"/>
        <v>-0.91645515177521752</v>
      </c>
      <c r="L103">
        <v>1</v>
      </c>
      <c r="M103">
        <f t="shared" si="19"/>
        <v>0.62782160030591549</v>
      </c>
      <c r="N103">
        <f t="shared" si="20"/>
        <v>0.14475059564999998</v>
      </c>
      <c r="O103">
        <f t="shared" si="21"/>
        <v>2.9948399099999998E-2</v>
      </c>
      <c r="P103">
        <f t="shared" si="22"/>
        <v>0.11393455671930205</v>
      </c>
      <c r="V103">
        <v>3.8999999999999599</v>
      </c>
      <c r="W103">
        <f t="shared" si="24"/>
        <v>-0.80533499999999791</v>
      </c>
    </row>
    <row r="104" spans="1:23" x14ac:dyDescent="0.3">
      <c r="A104">
        <v>8.4032211500000003</v>
      </c>
      <c r="B104">
        <v>0.30079</v>
      </c>
      <c r="C104">
        <f t="shared" si="13"/>
        <v>2.5276048897084999</v>
      </c>
      <c r="D104">
        <v>1.7399999999999999E-2</v>
      </c>
      <c r="E104">
        <v>3.5999999999999999E-3</v>
      </c>
      <c r="F104">
        <f t="shared" si="14"/>
        <v>1680.6442300000001</v>
      </c>
      <c r="G104">
        <f t="shared" si="15"/>
        <v>-0.30079</v>
      </c>
      <c r="H104">
        <f t="shared" si="16"/>
        <v>-505.52097794169998</v>
      </c>
      <c r="I104">
        <v>1</v>
      </c>
      <c r="J104">
        <f t="shared" si="17"/>
        <v>0.51917719014734209</v>
      </c>
      <c r="K104">
        <f t="shared" si="18"/>
        <v>-0.92093515177521745</v>
      </c>
      <c r="L104">
        <v>1</v>
      </c>
      <c r="M104">
        <f t="shared" si="19"/>
        <v>0.62834892590421332</v>
      </c>
      <c r="N104">
        <f t="shared" si="20"/>
        <v>0.14621604800999999</v>
      </c>
      <c r="O104">
        <f t="shared" si="21"/>
        <v>3.025159614E-2</v>
      </c>
      <c r="P104">
        <f t="shared" si="22"/>
        <v>0.11611858172100414</v>
      </c>
      <c r="V104">
        <v>3.99999999999996</v>
      </c>
      <c r="W104">
        <f t="shared" si="24"/>
        <v>-0.8105699999999979</v>
      </c>
    </row>
    <row r="105" spans="1:23" x14ac:dyDescent="0.3">
      <c r="A105">
        <v>8.4844351000000007</v>
      </c>
      <c r="B105">
        <v>0.29632999999999998</v>
      </c>
      <c r="C105">
        <f t="shared" si="13"/>
        <v>2.5141926531830001</v>
      </c>
      <c r="D105">
        <v>1.7399999999999999E-2</v>
      </c>
      <c r="E105">
        <v>3.5999999999999999E-3</v>
      </c>
      <c r="F105">
        <f t="shared" si="14"/>
        <v>1696.8870200000001</v>
      </c>
      <c r="G105">
        <f t="shared" si="15"/>
        <v>-0.29632999999999998</v>
      </c>
      <c r="H105">
        <f t="shared" si="16"/>
        <v>-502.83853063660001</v>
      </c>
      <c r="I105">
        <v>1</v>
      </c>
      <c r="J105">
        <f t="shared" si="17"/>
        <v>0.52879540772465106</v>
      </c>
      <c r="K105">
        <f t="shared" si="18"/>
        <v>-0.92539515177521747</v>
      </c>
      <c r="L105">
        <v>1</v>
      </c>
      <c r="M105">
        <f t="shared" si="19"/>
        <v>0.62885243959438542</v>
      </c>
      <c r="N105">
        <f t="shared" si="20"/>
        <v>0.14762917074000001</v>
      </c>
      <c r="O105">
        <f t="shared" si="21"/>
        <v>3.0543966360000001E-2</v>
      </c>
      <c r="P105">
        <f t="shared" si="22"/>
        <v>0.11836957508083204</v>
      </c>
      <c r="V105">
        <v>4.0999999999999996</v>
      </c>
      <c r="W105">
        <f t="shared" si="24"/>
        <v>-0.815805</v>
      </c>
    </row>
    <row r="106" spans="1:23" x14ac:dyDescent="0.3">
      <c r="A106">
        <v>8.5656490499999993</v>
      </c>
      <c r="B106">
        <v>0.29183999999999999</v>
      </c>
      <c r="C106">
        <f t="shared" si="13"/>
        <v>2.4997990187519998</v>
      </c>
      <c r="D106">
        <v>1.7399999999999999E-2</v>
      </c>
      <c r="E106">
        <v>3.5999999999999999E-3</v>
      </c>
      <c r="F106">
        <f t="shared" si="14"/>
        <v>1713.1298099999999</v>
      </c>
      <c r="G106">
        <f t="shared" si="15"/>
        <v>-0.29183999999999999</v>
      </c>
      <c r="H106">
        <f t="shared" si="16"/>
        <v>-499.95980375039994</v>
      </c>
      <c r="I106">
        <v>1</v>
      </c>
      <c r="J106">
        <f t="shared" si="17"/>
        <v>0.53832199580537488</v>
      </c>
      <c r="K106">
        <f t="shared" si="18"/>
        <v>-0.92988515177521747</v>
      </c>
      <c r="L106">
        <v>1</v>
      </c>
      <c r="M106">
        <f t="shared" si="19"/>
        <v>0.6293511564804114</v>
      </c>
      <c r="N106">
        <f t="shared" si="20"/>
        <v>0.14904229346999998</v>
      </c>
      <c r="O106">
        <f t="shared" si="21"/>
        <v>3.0836336579999998E-2</v>
      </c>
      <c r="P106">
        <f t="shared" si="22"/>
        <v>0.12065536524480609</v>
      </c>
      <c r="V106">
        <v>4.2</v>
      </c>
      <c r="W106">
        <f t="shared" si="24"/>
        <v>-0.82103999999999999</v>
      </c>
    </row>
    <row r="107" spans="1:23" x14ac:dyDescent="0.3">
      <c r="A107">
        <v>8.6510740500000001</v>
      </c>
      <c r="B107">
        <v>0.28733999999999998</v>
      </c>
      <c r="C107">
        <f t="shared" si="13"/>
        <v>2.4857996175269998</v>
      </c>
      <c r="D107">
        <v>1.7399999999999999E-2</v>
      </c>
      <c r="E107">
        <v>3.5999999999999999E-3</v>
      </c>
      <c r="F107">
        <f t="shared" si="14"/>
        <v>1730.2148099999999</v>
      </c>
      <c r="G107">
        <f t="shared" si="15"/>
        <v>-0.28733999999999998</v>
      </c>
      <c r="H107">
        <f t="shared" si="16"/>
        <v>-497.15992350539995</v>
      </c>
      <c r="I107">
        <v>1</v>
      </c>
      <c r="J107">
        <f t="shared" si="17"/>
        <v>0.54824556843158323</v>
      </c>
      <c r="K107">
        <f t="shared" si="18"/>
        <v>-0.93438515177521753</v>
      </c>
      <c r="L107">
        <v>1</v>
      </c>
      <c r="M107">
        <f t="shared" si="19"/>
        <v>0.62987065550739341</v>
      </c>
      <c r="N107">
        <f t="shared" si="20"/>
        <v>0.15052868846999998</v>
      </c>
      <c r="O107">
        <f t="shared" si="21"/>
        <v>3.1143866579999999E-2</v>
      </c>
      <c r="P107">
        <f t="shared" si="22"/>
        <v>0.12284194121782414</v>
      </c>
      <c r="V107">
        <v>4.3</v>
      </c>
      <c r="W107">
        <f t="shared" si="24"/>
        <v>-0.82627499999999998</v>
      </c>
    </row>
    <row r="108" spans="1:23" x14ac:dyDescent="0.3">
      <c r="A108">
        <v>8.7352954500000006</v>
      </c>
      <c r="B108">
        <v>0.28271000000000002</v>
      </c>
      <c r="C108">
        <f t="shared" si="13"/>
        <v>2.4695553766695002</v>
      </c>
      <c r="D108">
        <v>1.7399999999999999E-2</v>
      </c>
      <c r="E108">
        <v>3.5999999999999999E-3</v>
      </c>
      <c r="F108">
        <f t="shared" si="14"/>
        <v>1747.0590900000002</v>
      </c>
      <c r="G108">
        <f t="shared" si="15"/>
        <v>-0.28271000000000002</v>
      </c>
      <c r="H108">
        <f t="shared" si="16"/>
        <v>-493.91107533390004</v>
      </c>
      <c r="I108">
        <v>1</v>
      </c>
      <c r="J108">
        <f t="shared" si="17"/>
        <v>0.55793385427767894</v>
      </c>
      <c r="K108">
        <f t="shared" si="18"/>
        <v>-0.93901515177521744</v>
      </c>
      <c r="L108">
        <v>1</v>
      </c>
      <c r="M108">
        <f t="shared" si="19"/>
        <v>0.63037783727143648</v>
      </c>
      <c r="N108">
        <f t="shared" si="20"/>
        <v>0.15199414083000001</v>
      </c>
      <c r="O108">
        <f t="shared" si="21"/>
        <v>3.144706362E-2</v>
      </c>
      <c r="P108">
        <f t="shared" si="22"/>
        <v>0.12519611005378095</v>
      </c>
      <c r="V108">
        <v>4.4000000000000004</v>
      </c>
      <c r="W108">
        <f t="shared" si="24"/>
        <v>-0.83150999999999997</v>
      </c>
    </row>
    <row r="109" spans="1:23" x14ac:dyDescent="0.3">
      <c r="A109">
        <v>8.8171111999999994</v>
      </c>
      <c r="B109">
        <v>0.27796999999999999</v>
      </c>
      <c r="C109">
        <f t="shared" si="13"/>
        <v>2.4508924002639998</v>
      </c>
      <c r="D109">
        <v>1.7399999999999999E-2</v>
      </c>
      <c r="E109">
        <v>3.5999999999999999E-3</v>
      </c>
      <c r="F109">
        <f t="shared" si="14"/>
        <v>1763.4222399999999</v>
      </c>
      <c r="G109">
        <f t="shared" si="15"/>
        <v>-0.27796999999999999</v>
      </c>
      <c r="H109">
        <f t="shared" si="16"/>
        <v>-490.17848005279996</v>
      </c>
      <c r="I109">
        <v>1</v>
      </c>
      <c r="J109">
        <f t="shared" si="17"/>
        <v>0.56725637559080533</v>
      </c>
      <c r="K109">
        <f t="shared" si="18"/>
        <v>-0.9437551517752174</v>
      </c>
      <c r="L109">
        <v>1</v>
      </c>
      <c r="M109">
        <f t="shared" si="19"/>
        <v>0.63086587126217863</v>
      </c>
      <c r="N109">
        <f t="shared" si="20"/>
        <v>0.15341773487999999</v>
      </c>
      <c r="O109">
        <f t="shared" si="21"/>
        <v>3.1741600319999994E-2</v>
      </c>
      <c r="P109">
        <f t="shared" si="22"/>
        <v>0.12772994531303877</v>
      </c>
      <c r="V109">
        <v>4.5</v>
      </c>
      <c r="W109">
        <f t="shared" si="24"/>
        <v>-0.83674499999999996</v>
      </c>
    </row>
    <row r="110" spans="1:23" x14ac:dyDescent="0.3">
      <c r="A110">
        <v>8.9001297499999996</v>
      </c>
      <c r="B110">
        <v>0.27321000000000001</v>
      </c>
      <c r="C110">
        <f t="shared" si="13"/>
        <v>2.4316044489975002</v>
      </c>
      <c r="D110">
        <v>1.7399999999999999E-2</v>
      </c>
      <c r="E110">
        <v>3.5999999999999999E-3</v>
      </c>
      <c r="F110">
        <f t="shared" si="14"/>
        <v>1780.02595</v>
      </c>
      <c r="G110">
        <f t="shared" si="15"/>
        <v>-0.27321000000000001</v>
      </c>
      <c r="H110">
        <f t="shared" si="16"/>
        <v>-486.32088979950004</v>
      </c>
      <c r="I110">
        <v>1</v>
      </c>
      <c r="J110">
        <f t="shared" si="17"/>
        <v>0.57662794284941166</v>
      </c>
      <c r="K110">
        <f t="shared" si="18"/>
        <v>-0.9485151517752175</v>
      </c>
      <c r="L110">
        <v>1</v>
      </c>
      <c r="M110">
        <f t="shared" si="19"/>
        <v>0.63135647280816665</v>
      </c>
      <c r="N110">
        <f t="shared" si="20"/>
        <v>0.15486225764999997</v>
      </c>
      <c r="O110">
        <f t="shared" si="21"/>
        <v>3.2040467099999997E-2</v>
      </c>
      <c r="P110">
        <f t="shared" si="22"/>
        <v>0.13025595421705088</v>
      </c>
      <c r="V110">
        <v>4.5999999999999996</v>
      </c>
      <c r="W110">
        <f t="shared" si="24"/>
        <v>-0.84197999999999995</v>
      </c>
    </row>
    <row r="111" spans="1:23" x14ac:dyDescent="0.3">
      <c r="A111">
        <v>8.9837501500000005</v>
      </c>
      <c r="B111">
        <v>0.26828999999999997</v>
      </c>
      <c r="C111">
        <f t="shared" si="13"/>
        <v>2.4102503277434999</v>
      </c>
      <c r="D111">
        <v>1.7399999999999999E-2</v>
      </c>
      <c r="E111">
        <v>3.5999999999999999E-3</v>
      </c>
      <c r="F111">
        <f t="shared" si="14"/>
        <v>1796.7500300000002</v>
      </c>
      <c r="G111">
        <f t="shared" si="15"/>
        <v>-0.26828999999999997</v>
      </c>
      <c r="H111">
        <f t="shared" si="16"/>
        <v>-482.05006554869999</v>
      </c>
      <c r="I111">
        <v>1</v>
      </c>
      <c r="J111">
        <f t="shared" si="17"/>
        <v>0.58597949406322858</v>
      </c>
      <c r="K111">
        <f t="shared" si="18"/>
        <v>-0.95343515177521754</v>
      </c>
      <c r="L111">
        <v>1</v>
      </c>
      <c r="M111">
        <f t="shared" si="19"/>
        <v>0.63184602651420996</v>
      </c>
      <c r="N111">
        <f t="shared" si="20"/>
        <v>0.15631725261000001</v>
      </c>
      <c r="O111">
        <f t="shared" si="21"/>
        <v>3.2341500539999998E-2</v>
      </c>
      <c r="P111">
        <f t="shared" si="22"/>
        <v>0.13293037211100756</v>
      </c>
      <c r="V111">
        <v>4.7</v>
      </c>
      <c r="W111">
        <f t="shared" si="24"/>
        <v>-0.84721500000000005</v>
      </c>
    </row>
    <row r="112" spans="1:23" x14ac:dyDescent="0.3">
      <c r="A112">
        <v>9.0667687000000008</v>
      </c>
      <c r="B112">
        <v>0.26334000000000002</v>
      </c>
      <c r="C112">
        <f t="shared" si="13"/>
        <v>2.3876428694580003</v>
      </c>
      <c r="D112">
        <v>1.7399999999999999E-2</v>
      </c>
      <c r="E112">
        <v>3.5999999999999999E-3</v>
      </c>
      <c r="F112">
        <f t="shared" si="14"/>
        <v>1813.3537400000002</v>
      </c>
      <c r="G112">
        <f t="shared" si="15"/>
        <v>-0.26334000000000002</v>
      </c>
      <c r="H112">
        <f t="shared" si="16"/>
        <v>-477.52857389160005</v>
      </c>
      <c r="I112">
        <v>1</v>
      </c>
      <c r="J112">
        <f t="shared" si="17"/>
        <v>0.59517802581289014</v>
      </c>
      <c r="K112">
        <f t="shared" si="18"/>
        <v>-0.95838515177521744</v>
      </c>
      <c r="L112">
        <v>1</v>
      </c>
      <c r="M112">
        <f t="shared" si="19"/>
        <v>0.63232756965130477</v>
      </c>
      <c r="N112">
        <f t="shared" si="20"/>
        <v>0.15776177538</v>
      </c>
      <c r="O112">
        <f t="shared" si="21"/>
        <v>3.2640367320000002E-2</v>
      </c>
      <c r="P112">
        <f t="shared" si="22"/>
        <v>0.13565543942391267</v>
      </c>
      <c r="V112">
        <v>4.8</v>
      </c>
      <c r="W112">
        <f t="shared" si="24"/>
        <v>-0.85244999999999993</v>
      </c>
    </row>
    <row r="113" spans="1:23" x14ac:dyDescent="0.3">
      <c r="A113">
        <v>9.1497872499999993</v>
      </c>
      <c r="B113">
        <v>0.25835000000000002</v>
      </c>
      <c r="C113">
        <f t="shared" si="13"/>
        <v>2.3638475360375</v>
      </c>
      <c r="D113">
        <v>1.7399999999999999E-2</v>
      </c>
      <c r="E113">
        <v>3.5999999999999999E-3</v>
      </c>
      <c r="F113">
        <f t="shared" si="14"/>
        <v>1829.9574499999999</v>
      </c>
      <c r="G113">
        <f t="shared" si="15"/>
        <v>-0.25835000000000002</v>
      </c>
      <c r="H113">
        <f t="shared" si="16"/>
        <v>-472.7695072075</v>
      </c>
      <c r="I113">
        <v>1</v>
      </c>
      <c r="J113">
        <f t="shared" si="17"/>
        <v>0.6042927152168921</v>
      </c>
      <c r="K113">
        <f t="shared" si="18"/>
        <v>-0.96337515177521738</v>
      </c>
      <c r="L113">
        <v>1</v>
      </c>
      <c r="M113">
        <f t="shared" si="19"/>
        <v>0.63280472364160434</v>
      </c>
      <c r="N113">
        <f t="shared" si="20"/>
        <v>0.15920629814999998</v>
      </c>
      <c r="O113">
        <f t="shared" si="21"/>
        <v>3.2939234099999999E-2</v>
      </c>
      <c r="P113">
        <f t="shared" si="22"/>
        <v>0.13842489588361306</v>
      </c>
      <c r="V113">
        <v>4.9000000000000004</v>
      </c>
      <c r="W113">
        <f t="shared" si="24"/>
        <v>-0.85768500000000003</v>
      </c>
    </row>
    <row r="114" spans="1:23" x14ac:dyDescent="0.3">
      <c r="A114">
        <v>9.2358133000000002</v>
      </c>
      <c r="B114">
        <v>0.25319999999999998</v>
      </c>
      <c r="C114">
        <f t="shared" si="13"/>
        <v>2.3385079275599998</v>
      </c>
      <c r="D114">
        <v>1.7399999999999999E-2</v>
      </c>
      <c r="E114">
        <v>3.5999999999999999E-3</v>
      </c>
      <c r="F114">
        <f t="shared" si="14"/>
        <v>1847.16266</v>
      </c>
      <c r="G114">
        <f t="shared" si="15"/>
        <v>-0.25319999999999998</v>
      </c>
      <c r="H114">
        <f t="shared" si="16"/>
        <v>-467.70158551199995</v>
      </c>
      <c r="I114">
        <v>1</v>
      </c>
      <c r="J114">
        <f t="shared" si="17"/>
        <v>0.61365076447531641</v>
      </c>
      <c r="K114">
        <f t="shared" si="18"/>
        <v>-0.96852515177521747</v>
      </c>
      <c r="L114">
        <v>1</v>
      </c>
      <c r="M114">
        <f t="shared" si="19"/>
        <v>0.63329461752028282</v>
      </c>
      <c r="N114">
        <f t="shared" si="20"/>
        <v>0.16070315142</v>
      </c>
      <c r="O114">
        <f t="shared" si="21"/>
        <v>3.3248927880000001E-2</v>
      </c>
      <c r="P114">
        <f t="shared" si="22"/>
        <v>0.14127845495493466</v>
      </c>
      <c r="V114">
        <v>5</v>
      </c>
      <c r="W114">
        <f t="shared" si="24"/>
        <v>-0.86291999999999991</v>
      </c>
    </row>
    <row r="115" spans="1:23" x14ac:dyDescent="0.3">
      <c r="A115">
        <v>9.3182308500000008</v>
      </c>
      <c r="B115">
        <v>0.24801999999999999</v>
      </c>
      <c r="C115">
        <f t="shared" si="13"/>
        <v>2.3111076154170003</v>
      </c>
      <c r="D115">
        <v>1.7399999999999999E-2</v>
      </c>
      <c r="E115">
        <v>3.5999999999999999E-3</v>
      </c>
      <c r="F115">
        <f t="shared" si="14"/>
        <v>1863.6461700000002</v>
      </c>
      <c r="G115">
        <f t="shared" si="15"/>
        <v>-0.24801999999999999</v>
      </c>
      <c r="H115">
        <f t="shared" si="16"/>
        <v>-462.22152308340003</v>
      </c>
      <c r="I115">
        <v>1</v>
      </c>
      <c r="J115">
        <f t="shared" si="17"/>
        <v>0.62253487528336759</v>
      </c>
      <c r="K115">
        <f t="shared" si="18"/>
        <v>-0.97370515177521744</v>
      </c>
      <c r="L115">
        <v>1</v>
      </c>
      <c r="M115">
        <f t="shared" si="19"/>
        <v>0.63375970072108423</v>
      </c>
      <c r="N115">
        <f t="shared" si="20"/>
        <v>0.16213721679000001</v>
      </c>
      <c r="O115">
        <f t="shared" si="21"/>
        <v>3.3545631060000004E-2</v>
      </c>
      <c r="P115">
        <f t="shared" si="22"/>
        <v>0.1442626032041332</v>
      </c>
      <c r="V115">
        <v>5.0999999999999996</v>
      </c>
      <c r="W115">
        <f t="shared" si="24"/>
        <v>-0.86815500000000001</v>
      </c>
    </row>
    <row r="116" spans="1:23" x14ac:dyDescent="0.3">
      <c r="C116">
        <f t="shared" si="13"/>
        <v>0</v>
      </c>
      <c r="D116">
        <v>1.78E-2</v>
      </c>
      <c r="E116">
        <v>2.5469999999999998E-3</v>
      </c>
      <c r="F116">
        <f t="shared" si="14"/>
        <v>0</v>
      </c>
      <c r="G116">
        <f t="shared" si="15"/>
        <v>0</v>
      </c>
      <c r="H116">
        <f t="shared" si="16"/>
        <v>0</v>
      </c>
      <c r="I116">
        <v>1</v>
      </c>
      <c r="J116" t="e">
        <f t="shared" si="17"/>
        <v>#NUM!</v>
      </c>
      <c r="K116">
        <f t="shared" si="18"/>
        <v>-1.2217251517752175</v>
      </c>
      <c r="L116">
        <v>1</v>
      </c>
      <c r="M116" t="e">
        <f t="shared" si="19"/>
        <v>#NUM!</v>
      </c>
      <c r="N116">
        <f t="shared" si="20"/>
        <v>0</v>
      </c>
      <c r="O116">
        <f t="shared" si="21"/>
        <v>0</v>
      </c>
      <c r="P116" t="e">
        <f t="shared" si="22"/>
        <v>#NUM!</v>
      </c>
      <c r="V116">
        <v>5.2</v>
      </c>
      <c r="W116">
        <f t="shared" si="24"/>
        <v>-0.87339</v>
      </c>
    </row>
    <row r="117" spans="1:23" x14ac:dyDescent="0.3">
      <c r="C117">
        <f t="shared" si="13"/>
        <v>0</v>
      </c>
      <c r="D117">
        <v>1.78E-2</v>
      </c>
      <c r="E117">
        <v>2.5469999999999998E-3</v>
      </c>
      <c r="F117">
        <f t="shared" si="14"/>
        <v>0</v>
      </c>
      <c r="G117">
        <f t="shared" si="15"/>
        <v>0</v>
      </c>
      <c r="H117">
        <f t="shared" si="16"/>
        <v>0</v>
      </c>
      <c r="I117">
        <v>1</v>
      </c>
      <c r="J117" t="e">
        <f t="shared" si="17"/>
        <v>#NUM!</v>
      </c>
      <c r="K117">
        <f t="shared" si="18"/>
        <v>-1.2217251517752175</v>
      </c>
      <c r="L117">
        <v>1</v>
      </c>
      <c r="M117" t="e">
        <f t="shared" si="19"/>
        <v>#NUM!</v>
      </c>
      <c r="N117">
        <f t="shared" si="20"/>
        <v>0</v>
      </c>
      <c r="O117">
        <f t="shared" si="21"/>
        <v>0</v>
      </c>
      <c r="P117" t="e">
        <f t="shared" si="22"/>
        <v>#NUM!</v>
      </c>
      <c r="V117">
        <v>5.3</v>
      </c>
      <c r="W117">
        <f t="shared" si="24"/>
        <v>-0.87862499999999999</v>
      </c>
    </row>
    <row r="118" spans="1:23" x14ac:dyDescent="0.3">
      <c r="C118">
        <f t="shared" si="13"/>
        <v>0</v>
      </c>
      <c r="D118">
        <v>1.78E-2</v>
      </c>
      <c r="E118">
        <v>2.5469999999999998E-3</v>
      </c>
      <c r="F118">
        <f t="shared" si="14"/>
        <v>0</v>
      </c>
      <c r="G118">
        <f t="shared" si="15"/>
        <v>0</v>
      </c>
      <c r="H118">
        <f t="shared" si="16"/>
        <v>0</v>
      </c>
      <c r="I118">
        <v>1</v>
      </c>
      <c r="J118" t="e">
        <f t="shared" si="17"/>
        <v>#NUM!</v>
      </c>
      <c r="K118">
        <f t="shared" si="18"/>
        <v>-1.2217251517752175</v>
      </c>
      <c r="L118">
        <v>1</v>
      </c>
      <c r="M118" t="e">
        <f t="shared" si="19"/>
        <v>#NUM!</v>
      </c>
      <c r="N118">
        <f t="shared" si="20"/>
        <v>0</v>
      </c>
      <c r="O118">
        <f t="shared" si="21"/>
        <v>0</v>
      </c>
      <c r="P118" t="e">
        <f t="shared" si="22"/>
        <v>#NUM!</v>
      </c>
      <c r="V118">
        <v>5.4</v>
      </c>
      <c r="W118">
        <f t="shared" si="24"/>
        <v>-0.88385999999999998</v>
      </c>
    </row>
    <row r="119" spans="1:23" x14ac:dyDescent="0.3">
      <c r="C119">
        <f t="shared" si="13"/>
        <v>0</v>
      </c>
      <c r="D119">
        <v>1.78E-2</v>
      </c>
      <c r="E119">
        <v>2.5469999999999998E-3</v>
      </c>
      <c r="F119">
        <f t="shared" si="14"/>
        <v>0</v>
      </c>
      <c r="G119">
        <f t="shared" si="15"/>
        <v>0</v>
      </c>
      <c r="H119">
        <f t="shared" si="16"/>
        <v>0</v>
      </c>
      <c r="I119">
        <v>1</v>
      </c>
      <c r="J119" t="e">
        <f t="shared" si="17"/>
        <v>#NUM!</v>
      </c>
      <c r="K119">
        <f t="shared" si="18"/>
        <v>-1.2217251517752175</v>
      </c>
      <c r="L119">
        <v>1</v>
      </c>
      <c r="M119" t="e">
        <f t="shared" si="19"/>
        <v>#NUM!</v>
      </c>
      <c r="N119">
        <f t="shared" si="20"/>
        <v>0</v>
      </c>
      <c r="O119">
        <f t="shared" si="21"/>
        <v>0</v>
      </c>
      <c r="P119" t="e">
        <f t="shared" si="22"/>
        <v>#NUM!</v>
      </c>
      <c r="V119">
        <v>5.5</v>
      </c>
      <c r="W119">
        <f t="shared" si="24"/>
        <v>-0.88909499999999997</v>
      </c>
    </row>
    <row r="120" spans="1:23" x14ac:dyDescent="0.3">
      <c r="C120">
        <f t="shared" si="13"/>
        <v>0</v>
      </c>
      <c r="D120">
        <v>1.78E-2</v>
      </c>
      <c r="E120">
        <v>2.5469999999999998E-3</v>
      </c>
      <c r="F120">
        <f t="shared" si="14"/>
        <v>0</v>
      </c>
      <c r="G120">
        <f t="shared" si="15"/>
        <v>0</v>
      </c>
      <c r="H120">
        <f t="shared" si="16"/>
        <v>0</v>
      </c>
      <c r="I120">
        <v>1</v>
      </c>
      <c r="J120" t="e">
        <f t="shared" si="17"/>
        <v>#NUM!</v>
      </c>
      <c r="K120">
        <f t="shared" si="18"/>
        <v>-1.2217251517752175</v>
      </c>
      <c r="L120">
        <v>1</v>
      </c>
      <c r="M120" t="e">
        <f t="shared" si="19"/>
        <v>#NUM!</v>
      </c>
      <c r="N120">
        <f t="shared" si="20"/>
        <v>0</v>
      </c>
      <c r="O120">
        <f t="shared" si="21"/>
        <v>0</v>
      </c>
      <c r="P120" t="e">
        <f t="shared" si="22"/>
        <v>#NUM!</v>
      </c>
      <c r="V120">
        <v>5.6</v>
      </c>
      <c r="W120">
        <f t="shared" si="24"/>
        <v>-0.89432999999999996</v>
      </c>
    </row>
    <row r="121" spans="1:23" x14ac:dyDescent="0.3">
      <c r="C121">
        <f t="shared" si="13"/>
        <v>0</v>
      </c>
      <c r="D121">
        <v>1.78E-2</v>
      </c>
      <c r="E121">
        <v>2.5469999999999998E-3</v>
      </c>
      <c r="F121">
        <f t="shared" si="14"/>
        <v>0</v>
      </c>
      <c r="G121">
        <f t="shared" si="15"/>
        <v>0</v>
      </c>
      <c r="H121">
        <f t="shared" si="16"/>
        <v>0</v>
      </c>
      <c r="I121">
        <v>1</v>
      </c>
      <c r="J121" t="e">
        <f t="shared" si="17"/>
        <v>#NUM!</v>
      </c>
      <c r="K121">
        <f t="shared" si="18"/>
        <v>-1.2217251517752175</v>
      </c>
      <c r="L121">
        <v>1</v>
      </c>
      <c r="M121" t="e">
        <f t="shared" si="19"/>
        <v>#NUM!</v>
      </c>
      <c r="N121">
        <f t="shared" si="20"/>
        <v>0</v>
      </c>
      <c r="O121">
        <f t="shared" si="21"/>
        <v>0</v>
      </c>
      <c r="P121" t="e">
        <f t="shared" si="22"/>
        <v>#NUM!</v>
      </c>
      <c r="V121">
        <v>5.7</v>
      </c>
      <c r="W121">
        <f t="shared" si="24"/>
        <v>-0.89956499999999995</v>
      </c>
    </row>
    <row r="122" spans="1:23" x14ac:dyDescent="0.3">
      <c r="C122">
        <f t="shared" si="13"/>
        <v>0</v>
      </c>
      <c r="D122">
        <v>1.78E-2</v>
      </c>
      <c r="E122">
        <v>2.5469999999999998E-3</v>
      </c>
      <c r="F122">
        <f t="shared" si="14"/>
        <v>0</v>
      </c>
      <c r="G122">
        <f t="shared" si="15"/>
        <v>0</v>
      </c>
      <c r="H122">
        <f t="shared" si="16"/>
        <v>0</v>
      </c>
      <c r="I122">
        <v>1</v>
      </c>
      <c r="J122" t="e">
        <f t="shared" si="17"/>
        <v>#NUM!</v>
      </c>
      <c r="K122">
        <f t="shared" si="18"/>
        <v>-1.2217251517752175</v>
      </c>
      <c r="L122">
        <v>1</v>
      </c>
      <c r="M122" t="e">
        <f t="shared" si="19"/>
        <v>#NUM!</v>
      </c>
      <c r="N122">
        <f t="shared" si="20"/>
        <v>0</v>
      </c>
      <c r="O122">
        <f t="shared" si="21"/>
        <v>0</v>
      </c>
      <c r="P122" t="e">
        <f t="shared" si="22"/>
        <v>#NUM!</v>
      </c>
      <c r="V122">
        <v>5.8</v>
      </c>
      <c r="W122">
        <f t="shared" si="24"/>
        <v>-0.90480000000000005</v>
      </c>
    </row>
    <row r="123" spans="1:23" x14ac:dyDescent="0.3">
      <c r="C123">
        <f t="shared" si="13"/>
        <v>0</v>
      </c>
      <c r="D123">
        <v>1.78E-2</v>
      </c>
      <c r="E123">
        <v>2.5469999999999998E-3</v>
      </c>
      <c r="F123">
        <f t="shared" si="14"/>
        <v>0</v>
      </c>
      <c r="G123">
        <f t="shared" si="15"/>
        <v>0</v>
      </c>
      <c r="H123">
        <f t="shared" si="16"/>
        <v>0</v>
      </c>
      <c r="I123">
        <v>1</v>
      </c>
      <c r="J123" t="e">
        <f t="shared" si="17"/>
        <v>#NUM!</v>
      </c>
      <c r="K123">
        <f t="shared" si="18"/>
        <v>-1.2217251517752175</v>
      </c>
      <c r="L123">
        <v>1</v>
      </c>
      <c r="M123" t="e">
        <f t="shared" si="19"/>
        <v>#NUM!</v>
      </c>
      <c r="N123">
        <f t="shared" si="20"/>
        <v>0</v>
      </c>
      <c r="O123">
        <f t="shared" si="21"/>
        <v>0</v>
      </c>
      <c r="P123" t="e">
        <f t="shared" si="22"/>
        <v>#NUM!</v>
      </c>
      <c r="V123">
        <v>5.9</v>
      </c>
      <c r="W123">
        <f t="shared" si="24"/>
        <v>-0.91003499999999993</v>
      </c>
    </row>
    <row r="124" spans="1:23" x14ac:dyDescent="0.3">
      <c r="C124">
        <f t="shared" si="13"/>
        <v>0</v>
      </c>
      <c r="D124">
        <v>1.78E-2</v>
      </c>
      <c r="E124">
        <v>2.5469999999999998E-3</v>
      </c>
      <c r="F124">
        <f t="shared" si="14"/>
        <v>0</v>
      </c>
      <c r="G124">
        <f t="shared" si="15"/>
        <v>0</v>
      </c>
      <c r="H124">
        <f t="shared" si="16"/>
        <v>0</v>
      </c>
      <c r="I124">
        <v>1</v>
      </c>
      <c r="J124" t="e">
        <f t="shared" si="17"/>
        <v>#NUM!</v>
      </c>
      <c r="K124">
        <f t="shared" si="18"/>
        <v>-1.2217251517752175</v>
      </c>
      <c r="L124">
        <v>1</v>
      </c>
      <c r="M124" t="e">
        <f t="shared" si="19"/>
        <v>#NUM!</v>
      </c>
      <c r="N124">
        <f t="shared" si="20"/>
        <v>0</v>
      </c>
      <c r="O124">
        <f t="shared" si="21"/>
        <v>0</v>
      </c>
      <c r="P124" t="e">
        <f t="shared" si="22"/>
        <v>#NUM!</v>
      </c>
      <c r="V124">
        <v>6</v>
      </c>
      <c r="W124">
        <f t="shared" si="24"/>
        <v>-0.91527000000000003</v>
      </c>
    </row>
    <row r="125" spans="1:23" x14ac:dyDescent="0.3">
      <c r="C125">
        <f t="shared" si="13"/>
        <v>0</v>
      </c>
      <c r="D125">
        <v>1.78E-2</v>
      </c>
      <c r="E125">
        <v>2.5469999999999998E-3</v>
      </c>
      <c r="F125">
        <f t="shared" si="14"/>
        <v>0</v>
      </c>
      <c r="G125">
        <f t="shared" si="15"/>
        <v>0</v>
      </c>
      <c r="H125">
        <f t="shared" si="16"/>
        <v>0</v>
      </c>
      <c r="I125">
        <v>1</v>
      </c>
      <c r="J125" t="e">
        <f t="shared" si="17"/>
        <v>#NUM!</v>
      </c>
      <c r="K125">
        <f t="shared" si="18"/>
        <v>-1.2217251517752175</v>
      </c>
      <c r="L125">
        <v>1</v>
      </c>
      <c r="M125" t="e">
        <f t="shared" si="19"/>
        <v>#NUM!</v>
      </c>
      <c r="N125">
        <f t="shared" si="20"/>
        <v>0</v>
      </c>
      <c r="O125">
        <f t="shared" si="21"/>
        <v>0</v>
      </c>
      <c r="P125" t="e">
        <f t="shared" si="22"/>
        <v>#NUM!</v>
      </c>
      <c r="V125">
        <v>6.1</v>
      </c>
      <c r="W125">
        <f t="shared" si="24"/>
        <v>-0.92050499999999991</v>
      </c>
    </row>
    <row r="126" spans="1:23" x14ac:dyDescent="0.3">
      <c r="C126">
        <f t="shared" si="13"/>
        <v>0</v>
      </c>
      <c r="D126">
        <v>1.78E-2</v>
      </c>
      <c r="E126">
        <v>2.5469999999999998E-3</v>
      </c>
      <c r="F126">
        <f t="shared" si="14"/>
        <v>0</v>
      </c>
      <c r="G126">
        <f t="shared" si="15"/>
        <v>0</v>
      </c>
      <c r="H126">
        <f t="shared" si="16"/>
        <v>0</v>
      </c>
      <c r="I126">
        <v>1</v>
      </c>
      <c r="J126" t="e">
        <f t="shared" si="17"/>
        <v>#NUM!</v>
      </c>
      <c r="K126">
        <f t="shared" si="18"/>
        <v>-1.2217251517752175</v>
      </c>
      <c r="L126">
        <v>1</v>
      </c>
      <c r="M126" t="e">
        <f t="shared" si="19"/>
        <v>#NUM!</v>
      </c>
      <c r="N126">
        <f t="shared" si="20"/>
        <v>0</v>
      </c>
      <c r="O126">
        <f t="shared" si="21"/>
        <v>0</v>
      </c>
      <c r="P126" t="e">
        <f t="shared" si="22"/>
        <v>#NUM!</v>
      </c>
      <c r="V126">
        <v>6.2</v>
      </c>
      <c r="W126">
        <f t="shared" si="24"/>
        <v>-0.92574000000000001</v>
      </c>
    </row>
    <row r="127" spans="1:23" x14ac:dyDescent="0.3">
      <c r="C127">
        <f t="shared" si="13"/>
        <v>0</v>
      </c>
      <c r="D127">
        <v>1.78E-2</v>
      </c>
      <c r="E127">
        <v>2.5469999999999998E-3</v>
      </c>
      <c r="F127">
        <f t="shared" si="14"/>
        <v>0</v>
      </c>
      <c r="G127">
        <f t="shared" si="15"/>
        <v>0</v>
      </c>
      <c r="H127">
        <f t="shared" si="16"/>
        <v>0</v>
      </c>
      <c r="I127">
        <v>1</v>
      </c>
      <c r="J127" t="e">
        <f t="shared" si="17"/>
        <v>#NUM!</v>
      </c>
      <c r="K127">
        <f t="shared" si="18"/>
        <v>-1.2217251517752175</v>
      </c>
      <c r="L127">
        <v>1</v>
      </c>
      <c r="M127" t="e">
        <f t="shared" si="19"/>
        <v>#NUM!</v>
      </c>
      <c r="N127">
        <f t="shared" si="20"/>
        <v>0</v>
      </c>
      <c r="O127">
        <f t="shared" si="21"/>
        <v>0</v>
      </c>
      <c r="P127" t="e">
        <f t="shared" si="22"/>
        <v>#NUM!</v>
      </c>
      <c r="V127">
        <v>6.3</v>
      </c>
      <c r="W127">
        <f t="shared" si="24"/>
        <v>-0.930975</v>
      </c>
    </row>
    <row r="128" spans="1:23" x14ac:dyDescent="0.3">
      <c r="C128">
        <f t="shared" si="13"/>
        <v>0</v>
      </c>
      <c r="D128">
        <v>1.78E-2</v>
      </c>
      <c r="E128">
        <v>2.5469999999999998E-3</v>
      </c>
      <c r="F128">
        <f t="shared" si="14"/>
        <v>0</v>
      </c>
      <c r="G128">
        <f t="shared" si="15"/>
        <v>0</v>
      </c>
      <c r="H128">
        <f t="shared" si="16"/>
        <v>0</v>
      </c>
      <c r="I128">
        <v>1</v>
      </c>
      <c r="J128" t="e">
        <f t="shared" si="17"/>
        <v>#NUM!</v>
      </c>
      <c r="K128">
        <f t="shared" si="18"/>
        <v>-1.2217251517752175</v>
      </c>
      <c r="L128">
        <v>1</v>
      </c>
      <c r="M128" t="e">
        <f t="shared" si="19"/>
        <v>#NUM!</v>
      </c>
      <c r="N128">
        <f t="shared" si="20"/>
        <v>0</v>
      </c>
      <c r="O128">
        <f t="shared" si="21"/>
        <v>0</v>
      </c>
      <c r="P128" t="e">
        <f t="shared" si="22"/>
        <v>#NUM!</v>
      </c>
      <c r="V128">
        <v>6.4</v>
      </c>
      <c r="W128">
        <f t="shared" si="24"/>
        <v>-0.93620999999999999</v>
      </c>
    </row>
    <row r="129" spans="3:23" x14ac:dyDescent="0.3">
      <c r="C129">
        <f t="shared" si="13"/>
        <v>0</v>
      </c>
      <c r="D129">
        <v>1.78E-2</v>
      </c>
      <c r="E129">
        <v>2.5469999999999998E-3</v>
      </c>
      <c r="F129">
        <f t="shared" si="14"/>
        <v>0</v>
      </c>
      <c r="G129">
        <f t="shared" si="15"/>
        <v>0</v>
      </c>
      <c r="H129">
        <f t="shared" si="16"/>
        <v>0</v>
      </c>
      <c r="I129">
        <v>1</v>
      </c>
      <c r="J129" t="e">
        <f t="shared" si="17"/>
        <v>#NUM!</v>
      </c>
      <c r="K129">
        <f t="shared" si="18"/>
        <v>-1.2217251517752175</v>
      </c>
      <c r="L129">
        <v>1</v>
      </c>
      <c r="M129" t="e">
        <f t="shared" si="19"/>
        <v>#NUM!</v>
      </c>
      <c r="N129">
        <f t="shared" si="20"/>
        <v>0</v>
      </c>
      <c r="O129">
        <f t="shared" si="21"/>
        <v>0</v>
      </c>
      <c r="P129" t="e">
        <f t="shared" si="22"/>
        <v>#NUM!</v>
      </c>
      <c r="V129">
        <v>6.5</v>
      </c>
      <c r="W129">
        <f t="shared" si="24"/>
        <v>-0.94144499999999998</v>
      </c>
    </row>
    <row r="130" spans="3:23" x14ac:dyDescent="0.3">
      <c r="C130">
        <f t="shared" si="13"/>
        <v>0</v>
      </c>
      <c r="D130">
        <v>1.78E-2</v>
      </c>
      <c r="E130">
        <v>2.5469999999999998E-3</v>
      </c>
      <c r="F130">
        <f t="shared" si="14"/>
        <v>0</v>
      </c>
      <c r="G130">
        <f t="shared" si="15"/>
        <v>0</v>
      </c>
      <c r="H130">
        <f t="shared" si="16"/>
        <v>0</v>
      </c>
      <c r="I130">
        <v>1</v>
      </c>
      <c r="J130" t="e">
        <f t="shared" si="17"/>
        <v>#NUM!</v>
      </c>
      <c r="K130">
        <f t="shared" si="18"/>
        <v>-1.2217251517752175</v>
      </c>
      <c r="L130">
        <v>1</v>
      </c>
      <c r="M130" t="e">
        <f t="shared" si="19"/>
        <v>#NUM!</v>
      </c>
      <c r="N130">
        <f t="shared" si="20"/>
        <v>0</v>
      </c>
      <c r="O130">
        <f t="shared" si="21"/>
        <v>0</v>
      </c>
      <c r="P130" t="e">
        <f t="shared" si="22"/>
        <v>#NUM!</v>
      </c>
      <c r="V130">
        <v>6.6</v>
      </c>
      <c r="W130">
        <f t="shared" si="24"/>
        <v>-0.94667999999999997</v>
      </c>
    </row>
    <row r="131" spans="3:23" x14ac:dyDescent="0.3">
      <c r="C131">
        <f t="shared" si="13"/>
        <v>0</v>
      </c>
      <c r="D131">
        <v>1.78E-2</v>
      </c>
      <c r="E131">
        <v>2.5469999999999998E-3</v>
      </c>
      <c r="F131">
        <f t="shared" si="14"/>
        <v>0</v>
      </c>
      <c r="G131">
        <f t="shared" si="15"/>
        <v>0</v>
      </c>
      <c r="H131">
        <f t="shared" si="16"/>
        <v>0</v>
      </c>
      <c r="I131">
        <v>1</v>
      </c>
      <c r="J131" t="e">
        <f t="shared" si="17"/>
        <v>#NUM!</v>
      </c>
      <c r="K131">
        <f t="shared" si="18"/>
        <v>-1.2217251517752175</v>
      </c>
      <c r="L131">
        <v>1</v>
      </c>
      <c r="M131" t="e">
        <f t="shared" si="19"/>
        <v>#NUM!</v>
      </c>
      <c r="N131">
        <f t="shared" si="20"/>
        <v>0</v>
      </c>
      <c r="O131">
        <f t="shared" si="21"/>
        <v>0</v>
      </c>
      <c r="P131" t="e">
        <f t="shared" si="22"/>
        <v>#NUM!</v>
      </c>
      <c r="V131">
        <v>6.7</v>
      </c>
      <c r="W131">
        <f t="shared" si="24"/>
        <v>-0.95191500000000007</v>
      </c>
    </row>
    <row r="132" spans="3:23" x14ac:dyDescent="0.3">
      <c r="C132">
        <f t="shared" ref="C132:C195" si="25">A132*B132</f>
        <v>0</v>
      </c>
      <c r="D132">
        <v>1.78E-2</v>
      </c>
      <c r="E132">
        <v>2.5469999999999998E-3</v>
      </c>
      <c r="F132">
        <f t="shared" ref="F132:F195" si="26">A132*200</f>
        <v>0</v>
      </c>
      <c r="G132">
        <f t="shared" ref="G132:G195" si="27">-B132</f>
        <v>0</v>
      </c>
      <c r="H132">
        <f t="shared" ref="H132:H195" si="28">-C132*200</f>
        <v>0</v>
      </c>
      <c r="I132">
        <v>1</v>
      </c>
      <c r="J132" t="e">
        <f t="shared" ref="J132:J195" si="29">LN(F132/1000)</f>
        <v>#NUM!</v>
      </c>
      <c r="K132">
        <f t="shared" ref="K132:K195" si="30">((-G132)-$N$2)</f>
        <v>-1.2217251517752175</v>
      </c>
      <c r="L132">
        <v>1</v>
      </c>
      <c r="M132" t="e">
        <f t="shared" ref="M132:M195" si="31">-1*($S$4+($S$5*J132))</f>
        <v>#NUM!</v>
      </c>
      <c r="N132">
        <f t="shared" ref="N132:N195" si="32">D132*A132</f>
        <v>0</v>
      </c>
      <c r="O132">
        <f t="shared" ref="O132:O195" si="33">E132*A132</f>
        <v>0</v>
      </c>
      <c r="P132" t="e">
        <f t="shared" ref="P132:P195" si="34">-K132-M132-N132-O132</f>
        <v>#NUM!</v>
      </c>
      <c r="V132">
        <v>6.8</v>
      </c>
      <c r="W132">
        <f t="shared" ref="W132:W163" si="35">V132*$S$5+$S$4</f>
        <v>-0.95714999999999995</v>
      </c>
    </row>
    <row r="133" spans="3:23" x14ac:dyDescent="0.3">
      <c r="C133">
        <f t="shared" si="25"/>
        <v>0</v>
      </c>
      <c r="D133">
        <v>1.78E-2</v>
      </c>
      <c r="E133">
        <v>2.5469999999999998E-3</v>
      </c>
      <c r="F133">
        <f t="shared" si="26"/>
        <v>0</v>
      </c>
      <c r="G133">
        <f t="shared" si="27"/>
        <v>0</v>
      </c>
      <c r="H133">
        <f t="shared" si="28"/>
        <v>0</v>
      </c>
      <c r="I133">
        <v>1</v>
      </c>
      <c r="J133" t="e">
        <f t="shared" si="29"/>
        <v>#NUM!</v>
      </c>
      <c r="K133">
        <f t="shared" si="30"/>
        <v>-1.2217251517752175</v>
      </c>
      <c r="L133">
        <v>1</v>
      </c>
      <c r="M133" t="e">
        <f t="shared" si="31"/>
        <v>#NUM!</v>
      </c>
      <c r="N133">
        <f t="shared" si="32"/>
        <v>0</v>
      </c>
      <c r="O133">
        <f t="shared" si="33"/>
        <v>0</v>
      </c>
      <c r="P133" t="e">
        <f t="shared" si="34"/>
        <v>#NUM!</v>
      </c>
      <c r="V133">
        <v>6.9</v>
      </c>
      <c r="W133">
        <f t="shared" si="35"/>
        <v>-0.96238500000000005</v>
      </c>
    </row>
    <row r="134" spans="3:23" x14ac:dyDescent="0.3">
      <c r="C134">
        <f t="shared" si="25"/>
        <v>0</v>
      </c>
      <c r="D134">
        <v>1.78E-2</v>
      </c>
      <c r="E134">
        <v>2.5469999999999998E-3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-1.2217251517752175</v>
      </c>
      <c r="L134">
        <v>1</v>
      </c>
      <c r="M134" t="e">
        <f t="shared" si="31"/>
        <v>#NUM!</v>
      </c>
      <c r="N134">
        <f t="shared" si="32"/>
        <v>0</v>
      </c>
      <c r="O134">
        <f t="shared" si="33"/>
        <v>0</v>
      </c>
      <c r="P134" t="e">
        <f t="shared" si="34"/>
        <v>#NUM!</v>
      </c>
      <c r="V134">
        <v>7</v>
      </c>
      <c r="W134">
        <f t="shared" si="35"/>
        <v>-0.96761999999999992</v>
      </c>
    </row>
    <row r="135" spans="3:23" x14ac:dyDescent="0.3">
      <c r="C135">
        <f t="shared" si="25"/>
        <v>0</v>
      </c>
      <c r="D135">
        <v>1.78E-2</v>
      </c>
      <c r="E135">
        <v>2.5469999999999998E-3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-1.2217251517752175</v>
      </c>
      <c r="L135">
        <v>1</v>
      </c>
      <c r="M135" t="e">
        <f t="shared" si="31"/>
        <v>#NUM!</v>
      </c>
      <c r="N135">
        <f t="shared" si="32"/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5"/>
        <v>-0.97285500000000003</v>
      </c>
    </row>
    <row r="136" spans="3:23" x14ac:dyDescent="0.3">
      <c r="C136">
        <f t="shared" si="25"/>
        <v>0</v>
      </c>
      <c r="D136">
        <v>1.78E-2</v>
      </c>
      <c r="E136">
        <v>2.5469999999999998E-3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-1.2217251517752175</v>
      </c>
      <c r="L136">
        <v>1</v>
      </c>
      <c r="M136" t="e">
        <f t="shared" si="31"/>
        <v>#NUM!</v>
      </c>
      <c r="N136">
        <f t="shared" si="32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5"/>
        <v>-0.97809000000000001</v>
      </c>
    </row>
    <row r="137" spans="3:23" x14ac:dyDescent="0.3">
      <c r="C137">
        <f t="shared" si="25"/>
        <v>0</v>
      </c>
      <c r="D137">
        <v>1.78E-2</v>
      </c>
      <c r="E137">
        <v>2.5469999999999998E-3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-1.2217251517752175</v>
      </c>
      <c r="L137">
        <v>1</v>
      </c>
      <c r="M137" t="e">
        <f t="shared" si="31"/>
        <v>#NUM!</v>
      </c>
      <c r="N137">
        <f t="shared" si="32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5"/>
        <v>-0.983325</v>
      </c>
    </row>
    <row r="138" spans="3:23" x14ac:dyDescent="0.3">
      <c r="C138">
        <f t="shared" si="25"/>
        <v>0</v>
      </c>
      <c r="D138">
        <v>1.78E-2</v>
      </c>
      <c r="E138">
        <v>2.5469999999999998E-3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-1.2217251517752175</v>
      </c>
      <c r="L138">
        <v>1</v>
      </c>
      <c r="M138" t="e">
        <f t="shared" si="31"/>
        <v>#NUM!</v>
      </c>
      <c r="N138">
        <f t="shared" si="32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5"/>
        <v>-0.98855999999999999</v>
      </c>
    </row>
    <row r="139" spans="3:23" x14ac:dyDescent="0.3">
      <c r="C139">
        <f t="shared" si="25"/>
        <v>0</v>
      </c>
      <c r="D139">
        <v>1.78E-2</v>
      </c>
      <c r="E139">
        <v>2.5469999999999998E-3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-1.2217251517752175</v>
      </c>
      <c r="L139">
        <v>1</v>
      </c>
      <c r="M139" t="e">
        <f t="shared" si="31"/>
        <v>#NUM!</v>
      </c>
      <c r="N139">
        <f t="shared" si="32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5"/>
        <v>-0.99379499999999998</v>
      </c>
    </row>
    <row r="140" spans="3:23" x14ac:dyDescent="0.3">
      <c r="C140">
        <f t="shared" si="25"/>
        <v>0</v>
      </c>
      <c r="D140">
        <v>1.78E-2</v>
      </c>
      <c r="E140">
        <v>2.5469999999999998E-3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-1.2217251517752175</v>
      </c>
      <c r="L140">
        <v>1</v>
      </c>
      <c r="M140" t="e">
        <f t="shared" si="31"/>
        <v>#NUM!</v>
      </c>
      <c r="N140">
        <f t="shared" si="32"/>
        <v>0</v>
      </c>
      <c r="O140">
        <f t="shared" si="33"/>
        <v>0</v>
      </c>
      <c r="P140" t="e">
        <f t="shared" si="34"/>
        <v>#NUM!</v>
      </c>
    </row>
    <row r="141" spans="3:23" x14ac:dyDescent="0.3">
      <c r="C141">
        <f t="shared" si="25"/>
        <v>0</v>
      </c>
      <c r="D141">
        <v>1.78E-2</v>
      </c>
      <c r="E141">
        <v>2.5469999999999998E-3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-1.2217251517752175</v>
      </c>
      <c r="L141">
        <v>1</v>
      </c>
      <c r="M141" t="e">
        <f t="shared" si="31"/>
        <v>#NUM!</v>
      </c>
      <c r="N141">
        <f t="shared" si="32"/>
        <v>0</v>
      </c>
      <c r="O141">
        <f t="shared" si="33"/>
        <v>0</v>
      </c>
      <c r="P141" t="e">
        <f t="shared" si="34"/>
        <v>#NUM!</v>
      </c>
    </row>
    <row r="142" spans="3:23" x14ac:dyDescent="0.3">
      <c r="C142">
        <f t="shared" si="25"/>
        <v>0</v>
      </c>
      <c r="D142">
        <v>1.78E-2</v>
      </c>
      <c r="E142">
        <v>2.5469999999999998E-3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-1.2217251517752175</v>
      </c>
      <c r="L142">
        <v>1</v>
      </c>
      <c r="M142" t="e">
        <f t="shared" si="31"/>
        <v>#NUM!</v>
      </c>
      <c r="N142">
        <f t="shared" si="32"/>
        <v>0</v>
      </c>
      <c r="O142">
        <f t="shared" si="33"/>
        <v>0</v>
      </c>
      <c r="P142" t="e">
        <f t="shared" si="34"/>
        <v>#NUM!</v>
      </c>
    </row>
    <row r="143" spans="3:23" x14ac:dyDescent="0.3">
      <c r="C143">
        <f t="shared" si="25"/>
        <v>0</v>
      </c>
      <c r="D143">
        <v>1.78E-2</v>
      </c>
      <c r="E143">
        <v>2.5469999999999998E-3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2"/>
        <v>0</v>
      </c>
      <c r="O143">
        <f t="shared" si="33"/>
        <v>0</v>
      </c>
      <c r="P143" t="e">
        <f t="shared" si="34"/>
        <v>#NUM!</v>
      </c>
    </row>
    <row r="144" spans="3:23" x14ac:dyDescent="0.3">
      <c r="C144">
        <f t="shared" si="25"/>
        <v>0</v>
      </c>
      <c r="D144">
        <v>1.78E-2</v>
      </c>
      <c r="E144">
        <v>2.5469999999999998E-3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2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1.78E-2</v>
      </c>
      <c r="E145">
        <v>2.5469999999999998E-3</v>
      </c>
      <c r="F145">
        <f t="shared" si="26"/>
        <v>0</v>
      </c>
      <c r="G145">
        <f t="shared" si="27"/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si="32"/>
        <v>0</v>
      </c>
      <c r="O145">
        <f t="shared" si="33"/>
        <v>0</v>
      </c>
      <c r="P145" t="e">
        <f t="shared" si="34"/>
        <v>#NUM!</v>
      </c>
    </row>
    <row r="146" spans="3:16" x14ac:dyDescent="0.3">
      <c r="C146">
        <f t="shared" si="25"/>
        <v>0</v>
      </c>
      <c r="D146">
        <v>1.78E-2</v>
      </c>
      <c r="E146">
        <v>2.5469999999999998E-3</v>
      </c>
      <c r="F146">
        <f t="shared" si="26"/>
        <v>0</v>
      </c>
      <c r="G146">
        <f t="shared" si="27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2"/>
        <v>0</v>
      </c>
      <c r="O146">
        <f t="shared" si="33"/>
        <v>0</v>
      </c>
      <c r="P146" t="e">
        <f t="shared" si="34"/>
        <v>#NUM!</v>
      </c>
    </row>
    <row r="147" spans="3:16" x14ac:dyDescent="0.3">
      <c r="C147">
        <f t="shared" si="25"/>
        <v>0</v>
      </c>
      <c r="D147">
        <v>1.78E-2</v>
      </c>
      <c r="E147">
        <v>2.5469999999999998E-3</v>
      </c>
      <c r="F147">
        <f t="shared" si="26"/>
        <v>0</v>
      </c>
      <c r="G147">
        <f t="shared" si="27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2"/>
        <v>0</v>
      </c>
      <c r="O147">
        <f t="shared" si="33"/>
        <v>0</v>
      </c>
      <c r="P147" t="e">
        <f t="shared" si="34"/>
        <v>#NUM!</v>
      </c>
    </row>
    <row r="148" spans="3:16" x14ac:dyDescent="0.3">
      <c r="C148">
        <f t="shared" si="25"/>
        <v>0</v>
      </c>
      <c r="D148">
        <v>1.78E-2</v>
      </c>
      <c r="E148">
        <v>2.5469999999999998E-3</v>
      </c>
      <c r="F148">
        <f t="shared" si="26"/>
        <v>0</v>
      </c>
      <c r="G148">
        <f t="shared" si="27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2"/>
        <v>0</v>
      </c>
      <c r="O148">
        <f t="shared" si="33"/>
        <v>0</v>
      </c>
      <c r="P148" t="e">
        <f t="shared" si="34"/>
        <v>#NUM!</v>
      </c>
    </row>
    <row r="149" spans="3:16" x14ac:dyDescent="0.3">
      <c r="C149">
        <f t="shared" si="25"/>
        <v>0</v>
      </c>
      <c r="D149">
        <v>1.78E-2</v>
      </c>
      <c r="E149">
        <v>2.5469999999999998E-3</v>
      </c>
      <c r="F149">
        <f t="shared" si="26"/>
        <v>0</v>
      </c>
      <c r="G149">
        <f t="shared" si="27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2"/>
        <v>0</v>
      </c>
      <c r="O149">
        <f t="shared" si="33"/>
        <v>0</v>
      </c>
      <c r="P149" t="e">
        <f t="shared" si="34"/>
        <v>#NUM!</v>
      </c>
    </row>
    <row r="150" spans="3:16" x14ac:dyDescent="0.3">
      <c r="C150">
        <f t="shared" si="25"/>
        <v>0</v>
      </c>
      <c r="D150">
        <v>1.78E-2</v>
      </c>
      <c r="E150">
        <v>2.5469999999999998E-3</v>
      </c>
      <c r="F150">
        <f t="shared" si="26"/>
        <v>0</v>
      </c>
      <c r="G150">
        <f t="shared" si="27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2"/>
        <v>0</v>
      </c>
      <c r="O150">
        <f t="shared" si="33"/>
        <v>0</v>
      </c>
      <c r="P150" t="e">
        <f t="shared" si="34"/>
        <v>#NUM!</v>
      </c>
    </row>
    <row r="151" spans="3:16" x14ac:dyDescent="0.3">
      <c r="C151">
        <f t="shared" si="25"/>
        <v>0</v>
      </c>
      <c r="D151">
        <v>1.78E-2</v>
      </c>
      <c r="E151">
        <v>2.5469999999999998E-3</v>
      </c>
      <c r="F151">
        <f t="shared" si="26"/>
        <v>0</v>
      </c>
      <c r="G151">
        <f t="shared" si="27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2"/>
        <v>0</v>
      </c>
      <c r="O151">
        <f t="shared" si="33"/>
        <v>0</v>
      </c>
      <c r="P151" t="e">
        <f t="shared" si="34"/>
        <v>#NUM!</v>
      </c>
    </row>
    <row r="152" spans="3:16" x14ac:dyDescent="0.3">
      <c r="C152">
        <f t="shared" si="25"/>
        <v>0</v>
      </c>
      <c r="D152">
        <v>1.78E-2</v>
      </c>
      <c r="E152">
        <v>2.5469999999999998E-3</v>
      </c>
      <c r="F152">
        <f t="shared" si="26"/>
        <v>0</v>
      </c>
      <c r="G152">
        <f t="shared" si="27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2"/>
        <v>0</v>
      </c>
      <c r="O152">
        <f t="shared" si="33"/>
        <v>0</v>
      </c>
      <c r="P152" t="e">
        <f t="shared" si="34"/>
        <v>#NUM!</v>
      </c>
    </row>
    <row r="153" spans="3:16" x14ac:dyDescent="0.3">
      <c r="C153">
        <f t="shared" si="25"/>
        <v>0</v>
      </c>
      <c r="D153">
        <v>1.78E-2</v>
      </c>
      <c r="E153">
        <v>2.5469999999999998E-3</v>
      </c>
      <c r="F153">
        <f t="shared" si="26"/>
        <v>0</v>
      </c>
      <c r="G153">
        <f t="shared" si="27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2"/>
        <v>0</v>
      </c>
      <c r="O153">
        <f t="shared" si="33"/>
        <v>0</v>
      </c>
      <c r="P153" t="e">
        <f t="shared" si="34"/>
        <v>#NUM!</v>
      </c>
    </row>
    <row r="154" spans="3:16" x14ac:dyDescent="0.3">
      <c r="C154">
        <f t="shared" si="25"/>
        <v>0</v>
      </c>
      <c r="D154">
        <v>1.78E-2</v>
      </c>
      <c r="E154">
        <v>2.5469999999999998E-3</v>
      </c>
      <c r="F154">
        <f t="shared" si="26"/>
        <v>0</v>
      </c>
      <c r="G154">
        <f t="shared" si="27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2"/>
        <v>0</v>
      </c>
      <c r="O154">
        <f t="shared" si="33"/>
        <v>0</v>
      </c>
      <c r="P154" t="e">
        <f t="shared" si="34"/>
        <v>#NUM!</v>
      </c>
    </row>
    <row r="155" spans="3:16" x14ac:dyDescent="0.3">
      <c r="C155">
        <f t="shared" si="25"/>
        <v>0</v>
      </c>
      <c r="D155">
        <v>1.78E-2</v>
      </c>
      <c r="E155">
        <v>2.5469999999999998E-3</v>
      </c>
      <c r="F155">
        <f t="shared" si="26"/>
        <v>0</v>
      </c>
      <c r="G155">
        <f t="shared" si="27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2"/>
        <v>0</v>
      </c>
      <c r="O155">
        <f t="shared" si="33"/>
        <v>0</v>
      </c>
      <c r="P155" t="e">
        <f t="shared" si="34"/>
        <v>#NUM!</v>
      </c>
    </row>
    <row r="156" spans="3:16" x14ac:dyDescent="0.3">
      <c r="C156">
        <f t="shared" si="25"/>
        <v>0</v>
      </c>
      <c r="D156">
        <v>1.78E-2</v>
      </c>
      <c r="E156">
        <v>2.5469999999999998E-3</v>
      </c>
      <c r="F156">
        <f t="shared" si="26"/>
        <v>0</v>
      </c>
      <c r="G156">
        <f t="shared" si="27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2"/>
        <v>0</v>
      </c>
      <c r="O156">
        <f t="shared" si="33"/>
        <v>0</v>
      </c>
      <c r="P156" t="e">
        <f t="shared" si="34"/>
        <v>#NUM!</v>
      </c>
    </row>
    <row r="157" spans="3:16" x14ac:dyDescent="0.3">
      <c r="C157">
        <f t="shared" si="25"/>
        <v>0</v>
      </c>
      <c r="D157">
        <v>1.78E-2</v>
      </c>
      <c r="E157">
        <v>2.5469999999999998E-3</v>
      </c>
      <c r="F157">
        <f t="shared" si="26"/>
        <v>0</v>
      </c>
      <c r="G157">
        <f t="shared" si="27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2"/>
        <v>0</v>
      </c>
      <c r="O157">
        <f t="shared" si="33"/>
        <v>0</v>
      </c>
      <c r="P157" t="e">
        <f t="shared" si="34"/>
        <v>#NUM!</v>
      </c>
    </row>
    <row r="158" spans="3:16" x14ac:dyDescent="0.3">
      <c r="C158">
        <f t="shared" si="25"/>
        <v>0</v>
      </c>
      <c r="D158">
        <v>1.78E-2</v>
      </c>
      <c r="E158">
        <v>2.5469999999999998E-3</v>
      </c>
      <c r="F158">
        <f t="shared" si="26"/>
        <v>0</v>
      </c>
      <c r="G158">
        <f t="shared" si="27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2"/>
        <v>0</v>
      </c>
      <c r="O158">
        <f t="shared" si="33"/>
        <v>0</v>
      </c>
      <c r="P158" t="e">
        <f t="shared" si="34"/>
        <v>#NUM!</v>
      </c>
    </row>
    <row r="159" spans="3:16" x14ac:dyDescent="0.3">
      <c r="C159">
        <f t="shared" si="25"/>
        <v>0</v>
      </c>
      <c r="D159">
        <v>1.78E-2</v>
      </c>
      <c r="E159">
        <v>2.5469999999999998E-3</v>
      </c>
      <c r="F159">
        <f t="shared" si="26"/>
        <v>0</v>
      </c>
      <c r="G159">
        <f t="shared" si="27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2"/>
        <v>0</v>
      </c>
      <c r="O159">
        <f t="shared" si="33"/>
        <v>0</v>
      </c>
      <c r="P159" t="e">
        <f t="shared" si="34"/>
        <v>#NUM!</v>
      </c>
    </row>
    <row r="160" spans="3:16" x14ac:dyDescent="0.3">
      <c r="C160">
        <f t="shared" si="25"/>
        <v>0</v>
      </c>
      <c r="D160">
        <v>1.78E-2</v>
      </c>
      <c r="E160">
        <v>2.5469999999999998E-3</v>
      </c>
      <c r="F160">
        <f t="shared" si="26"/>
        <v>0</v>
      </c>
      <c r="G160">
        <f t="shared" si="27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2"/>
        <v>0</v>
      </c>
      <c r="O160">
        <f t="shared" si="33"/>
        <v>0</v>
      </c>
      <c r="P160" t="e">
        <f t="shared" si="34"/>
        <v>#NUM!</v>
      </c>
    </row>
    <row r="161" spans="3:16" x14ac:dyDescent="0.3">
      <c r="C161">
        <f t="shared" si="25"/>
        <v>0</v>
      </c>
      <c r="D161">
        <v>1.78E-2</v>
      </c>
      <c r="E161">
        <v>2.5469999999999998E-3</v>
      </c>
      <c r="F161">
        <f t="shared" si="26"/>
        <v>0</v>
      </c>
      <c r="G161">
        <f t="shared" si="27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2"/>
        <v>0</v>
      </c>
      <c r="O161">
        <f t="shared" si="33"/>
        <v>0</v>
      </c>
      <c r="P161" t="e">
        <f t="shared" si="34"/>
        <v>#NUM!</v>
      </c>
    </row>
    <row r="162" spans="3:16" x14ac:dyDescent="0.3">
      <c r="C162">
        <f t="shared" si="25"/>
        <v>0</v>
      </c>
      <c r="D162">
        <v>1.78E-2</v>
      </c>
      <c r="E162">
        <v>2.5469999999999998E-3</v>
      </c>
      <c r="F162">
        <f t="shared" si="26"/>
        <v>0</v>
      </c>
      <c r="G162">
        <f t="shared" si="27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2"/>
        <v>0</v>
      </c>
      <c r="O162">
        <f t="shared" si="33"/>
        <v>0</v>
      </c>
      <c r="P162" t="e">
        <f t="shared" si="34"/>
        <v>#NUM!</v>
      </c>
    </row>
    <row r="163" spans="3:16" x14ac:dyDescent="0.3">
      <c r="C163">
        <f t="shared" si="25"/>
        <v>0</v>
      </c>
      <c r="D163">
        <v>1.78E-2</v>
      </c>
      <c r="E163">
        <v>2.5469999999999998E-3</v>
      </c>
      <c r="F163">
        <f t="shared" si="26"/>
        <v>0</v>
      </c>
      <c r="G163">
        <f t="shared" si="27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2"/>
        <v>0</v>
      </c>
      <c r="O163">
        <f t="shared" si="33"/>
        <v>0</v>
      </c>
      <c r="P163" t="e">
        <f t="shared" si="34"/>
        <v>#NUM!</v>
      </c>
    </row>
    <row r="164" spans="3:16" x14ac:dyDescent="0.3">
      <c r="C164">
        <f t="shared" si="25"/>
        <v>0</v>
      </c>
      <c r="D164">
        <v>1.78E-2</v>
      </c>
      <c r="E164">
        <v>2.5469999999999998E-3</v>
      </c>
      <c r="F164">
        <f t="shared" si="26"/>
        <v>0</v>
      </c>
      <c r="G164">
        <f t="shared" si="27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2"/>
        <v>0</v>
      </c>
      <c r="O164">
        <f t="shared" si="33"/>
        <v>0</v>
      </c>
      <c r="P164" t="e">
        <f t="shared" si="34"/>
        <v>#NUM!</v>
      </c>
    </row>
    <row r="165" spans="3:16" x14ac:dyDescent="0.3">
      <c r="C165">
        <f t="shared" si="25"/>
        <v>0</v>
      </c>
      <c r="D165">
        <v>1.78E-2</v>
      </c>
      <c r="E165">
        <v>2.5469999999999998E-3</v>
      </c>
      <c r="F165">
        <f t="shared" si="26"/>
        <v>0</v>
      </c>
      <c r="G165">
        <f t="shared" si="27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2"/>
        <v>0</v>
      </c>
      <c r="O165">
        <f t="shared" si="33"/>
        <v>0</v>
      </c>
      <c r="P165" t="e">
        <f t="shared" si="34"/>
        <v>#NUM!</v>
      </c>
    </row>
    <row r="166" spans="3:16" x14ac:dyDescent="0.3">
      <c r="C166">
        <f t="shared" si="25"/>
        <v>0</v>
      </c>
      <c r="D166">
        <v>1.78E-2</v>
      </c>
      <c r="E166">
        <v>2.5469999999999998E-3</v>
      </c>
      <c r="F166">
        <f t="shared" si="26"/>
        <v>0</v>
      </c>
      <c r="G166">
        <f t="shared" si="27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2"/>
        <v>0</v>
      </c>
      <c r="O166">
        <f t="shared" si="33"/>
        <v>0</v>
      </c>
      <c r="P166" t="e">
        <f t="shared" si="34"/>
        <v>#NUM!</v>
      </c>
    </row>
    <row r="167" spans="3:16" x14ac:dyDescent="0.3">
      <c r="C167">
        <f t="shared" si="25"/>
        <v>0</v>
      </c>
      <c r="D167">
        <v>1.78E-2</v>
      </c>
      <c r="E167">
        <v>2.5469999999999998E-3</v>
      </c>
      <c r="F167">
        <f t="shared" si="26"/>
        <v>0</v>
      </c>
      <c r="G167">
        <f t="shared" si="27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2"/>
        <v>0</v>
      </c>
      <c r="O167">
        <f t="shared" si="33"/>
        <v>0</v>
      </c>
      <c r="P167" t="e">
        <f t="shared" si="34"/>
        <v>#NUM!</v>
      </c>
    </row>
    <row r="168" spans="3:16" x14ac:dyDescent="0.3">
      <c r="C168">
        <f t="shared" si="25"/>
        <v>0</v>
      </c>
      <c r="D168">
        <v>1.78E-2</v>
      </c>
      <c r="E168">
        <v>2.5469999999999998E-3</v>
      </c>
      <c r="F168">
        <f t="shared" si="26"/>
        <v>0</v>
      </c>
      <c r="G168">
        <f t="shared" si="27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2"/>
        <v>0</v>
      </c>
      <c r="O168">
        <f t="shared" si="33"/>
        <v>0</v>
      </c>
      <c r="P168" t="e">
        <f t="shared" si="34"/>
        <v>#NUM!</v>
      </c>
    </row>
    <row r="169" spans="3:16" x14ac:dyDescent="0.3">
      <c r="C169">
        <f t="shared" si="25"/>
        <v>0</v>
      </c>
      <c r="D169">
        <v>1.78E-2</v>
      </c>
      <c r="E169">
        <v>2.5469999999999998E-3</v>
      </c>
      <c r="F169">
        <f t="shared" si="26"/>
        <v>0</v>
      </c>
      <c r="G169">
        <f t="shared" si="27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2"/>
        <v>0</v>
      </c>
      <c r="O169">
        <f t="shared" si="33"/>
        <v>0</v>
      </c>
      <c r="P169" t="e">
        <f t="shared" si="34"/>
        <v>#NUM!</v>
      </c>
    </row>
    <row r="170" spans="3:16" x14ac:dyDescent="0.3">
      <c r="C170">
        <f t="shared" si="25"/>
        <v>0</v>
      </c>
      <c r="D170">
        <v>1.78E-2</v>
      </c>
      <c r="E170">
        <v>2.5469999999999998E-3</v>
      </c>
      <c r="F170">
        <f t="shared" si="26"/>
        <v>0</v>
      </c>
      <c r="G170">
        <f t="shared" si="27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2"/>
        <v>0</v>
      </c>
      <c r="O170">
        <f t="shared" si="33"/>
        <v>0</v>
      </c>
      <c r="P170" t="e">
        <f t="shared" si="34"/>
        <v>#NUM!</v>
      </c>
    </row>
    <row r="171" spans="3:16" x14ac:dyDescent="0.3">
      <c r="C171">
        <f t="shared" si="25"/>
        <v>0</v>
      </c>
      <c r="D171">
        <v>1.78E-2</v>
      </c>
      <c r="E171">
        <v>2.5469999999999998E-3</v>
      </c>
      <c r="F171">
        <f t="shared" si="26"/>
        <v>0</v>
      </c>
      <c r="G171">
        <f t="shared" si="27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2"/>
        <v>0</v>
      </c>
      <c r="O171">
        <f t="shared" si="33"/>
        <v>0</v>
      </c>
      <c r="P171" t="e">
        <f t="shared" si="34"/>
        <v>#NUM!</v>
      </c>
    </row>
    <row r="172" spans="3:16" x14ac:dyDescent="0.3">
      <c r="C172">
        <f t="shared" si="25"/>
        <v>0</v>
      </c>
      <c r="D172">
        <v>1.78E-2</v>
      </c>
      <c r="E172">
        <v>2.5469999999999998E-3</v>
      </c>
      <c r="F172">
        <f t="shared" si="26"/>
        <v>0</v>
      </c>
      <c r="G172">
        <f t="shared" si="27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2"/>
        <v>0</v>
      </c>
      <c r="O172">
        <f t="shared" si="33"/>
        <v>0</v>
      </c>
      <c r="P172" t="e">
        <f t="shared" si="34"/>
        <v>#NUM!</v>
      </c>
    </row>
    <row r="173" spans="3:16" x14ac:dyDescent="0.3">
      <c r="C173">
        <f t="shared" si="25"/>
        <v>0</v>
      </c>
      <c r="D173">
        <v>1.78E-2</v>
      </c>
      <c r="E173">
        <v>2.5469999999999998E-3</v>
      </c>
      <c r="F173">
        <f t="shared" si="26"/>
        <v>0</v>
      </c>
      <c r="G173">
        <f t="shared" si="27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2"/>
        <v>0</v>
      </c>
      <c r="O173">
        <f t="shared" si="33"/>
        <v>0</v>
      </c>
      <c r="P173" t="e">
        <f t="shared" si="34"/>
        <v>#NUM!</v>
      </c>
    </row>
    <row r="174" spans="3:16" x14ac:dyDescent="0.3">
      <c r="C174">
        <f t="shared" si="25"/>
        <v>0</v>
      </c>
      <c r="D174">
        <v>1.78E-2</v>
      </c>
      <c r="E174">
        <v>2.5469999999999998E-3</v>
      </c>
      <c r="F174">
        <f t="shared" si="26"/>
        <v>0</v>
      </c>
      <c r="G174">
        <f t="shared" si="27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2"/>
        <v>0</v>
      </c>
      <c r="O174">
        <f t="shared" si="33"/>
        <v>0</v>
      </c>
      <c r="P174" t="e">
        <f t="shared" si="34"/>
        <v>#NUM!</v>
      </c>
    </row>
    <row r="175" spans="3:16" x14ac:dyDescent="0.3">
      <c r="C175">
        <f t="shared" si="25"/>
        <v>0</v>
      </c>
      <c r="D175">
        <v>1.78E-2</v>
      </c>
      <c r="E175">
        <v>2.5469999999999998E-3</v>
      </c>
      <c r="F175">
        <f t="shared" si="26"/>
        <v>0</v>
      </c>
      <c r="G175">
        <f t="shared" si="27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2"/>
        <v>0</v>
      </c>
      <c r="O175">
        <f t="shared" si="33"/>
        <v>0</v>
      </c>
      <c r="P175" t="e">
        <f t="shared" si="34"/>
        <v>#NUM!</v>
      </c>
    </row>
    <row r="176" spans="3:16" x14ac:dyDescent="0.3">
      <c r="C176">
        <f t="shared" si="25"/>
        <v>0</v>
      </c>
      <c r="D176">
        <v>1.78E-2</v>
      </c>
      <c r="E176">
        <v>2.5469999999999998E-3</v>
      </c>
      <c r="F176">
        <f t="shared" si="26"/>
        <v>0</v>
      </c>
      <c r="G176">
        <f t="shared" si="27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2"/>
        <v>0</v>
      </c>
      <c r="O176">
        <f t="shared" si="33"/>
        <v>0</v>
      </c>
      <c r="P176" t="e">
        <f t="shared" si="34"/>
        <v>#NUM!</v>
      </c>
    </row>
    <row r="177" spans="3:16" x14ac:dyDescent="0.3">
      <c r="C177">
        <f t="shared" si="25"/>
        <v>0</v>
      </c>
      <c r="D177">
        <v>1.78E-2</v>
      </c>
      <c r="E177">
        <v>2.5469999999999998E-3</v>
      </c>
      <c r="F177">
        <f t="shared" si="26"/>
        <v>0</v>
      </c>
      <c r="G177">
        <f t="shared" si="27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2"/>
        <v>0</v>
      </c>
      <c r="O177">
        <f t="shared" si="33"/>
        <v>0</v>
      </c>
      <c r="P177" t="e">
        <f t="shared" si="34"/>
        <v>#NUM!</v>
      </c>
    </row>
    <row r="178" spans="3:16" x14ac:dyDescent="0.3">
      <c r="C178">
        <f t="shared" si="25"/>
        <v>0</v>
      </c>
      <c r="D178">
        <v>1.78E-2</v>
      </c>
      <c r="E178">
        <v>2.5469999999999998E-3</v>
      </c>
      <c r="F178">
        <f t="shared" si="26"/>
        <v>0</v>
      </c>
      <c r="G178">
        <f t="shared" si="27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2"/>
        <v>0</v>
      </c>
      <c r="O178">
        <f t="shared" si="33"/>
        <v>0</v>
      </c>
      <c r="P178" t="e">
        <f t="shared" si="34"/>
        <v>#NUM!</v>
      </c>
    </row>
    <row r="179" spans="3:16" x14ac:dyDescent="0.3">
      <c r="C179">
        <f t="shared" si="25"/>
        <v>0</v>
      </c>
      <c r="D179">
        <v>1.78E-2</v>
      </c>
      <c r="E179">
        <v>2.5469999999999998E-3</v>
      </c>
      <c r="F179">
        <f t="shared" si="26"/>
        <v>0</v>
      </c>
      <c r="G179">
        <f t="shared" si="27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2"/>
        <v>0</v>
      </c>
      <c r="O179">
        <f t="shared" si="33"/>
        <v>0</v>
      </c>
      <c r="P179" t="e">
        <f t="shared" si="34"/>
        <v>#NUM!</v>
      </c>
    </row>
    <row r="180" spans="3:16" x14ac:dyDescent="0.3">
      <c r="C180">
        <f t="shared" si="25"/>
        <v>0</v>
      </c>
      <c r="D180">
        <v>1.78E-2</v>
      </c>
      <c r="E180">
        <v>2.5469999999999998E-3</v>
      </c>
      <c r="F180">
        <f t="shared" si="26"/>
        <v>0</v>
      </c>
      <c r="G180">
        <f t="shared" si="27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2"/>
        <v>0</v>
      </c>
      <c r="O180">
        <f t="shared" si="33"/>
        <v>0</v>
      </c>
      <c r="P180" t="e">
        <f t="shared" si="34"/>
        <v>#NUM!</v>
      </c>
    </row>
    <row r="181" spans="3:16" x14ac:dyDescent="0.3">
      <c r="C181">
        <f t="shared" si="25"/>
        <v>0</v>
      </c>
      <c r="D181">
        <v>1.78E-2</v>
      </c>
      <c r="E181">
        <v>2.5469999999999998E-3</v>
      </c>
      <c r="F181">
        <f t="shared" si="26"/>
        <v>0</v>
      </c>
      <c r="G181">
        <f t="shared" si="27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2"/>
        <v>0</v>
      </c>
      <c r="O181">
        <f t="shared" si="33"/>
        <v>0</v>
      </c>
      <c r="P181" t="e">
        <f t="shared" si="34"/>
        <v>#NUM!</v>
      </c>
    </row>
    <row r="182" spans="3:16" x14ac:dyDescent="0.3">
      <c r="C182">
        <f t="shared" si="25"/>
        <v>0</v>
      </c>
      <c r="D182">
        <v>1.78E-2</v>
      </c>
      <c r="E182">
        <v>2.5469999999999998E-3</v>
      </c>
      <c r="F182">
        <f t="shared" si="26"/>
        <v>0</v>
      </c>
      <c r="G182">
        <f t="shared" si="27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2"/>
        <v>0</v>
      </c>
      <c r="O182">
        <f t="shared" si="33"/>
        <v>0</v>
      </c>
      <c r="P182" t="e">
        <f t="shared" si="34"/>
        <v>#NUM!</v>
      </c>
    </row>
    <row r="183" spans="3:16" x14ac:dyDescent="0.3">
      <c r="C183">
        <f t="shared" si="25"/>
        <v>0</v>
      </c>
      <c r="D183">
        <v>1.78E-2</v>
      </c>
      <c r="E183">
        <v>2.5469999999999998E-3</v>
      </c>
      <c r="F183">
        <f t="shared" si="26"/>
        <v>0</v>
      </c>
      <c r="G183">
        <f t="shared" si="27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2"/>
        <v>0</v>
      </c>
      <c r="O183">
        <f t="shared" si="33"/>
        <v>0</v>
      </c>
      <c r="P183" t="e">
        <f t="shared" si="34"/>
        <v>#NUM!</v>
      </c>
    </row>
    <row r="184" spans="3:16" x14ac:dyDescent="0.3">
      <c r="C184">
        <f t="shared" si="25"/>
        <v>0</v>
      </c>
      <c r="D184">
        <v>1.78E-2</v>
      </c>
      <c r="E184">
        <v>2.5469999999999998E-3</v>
      </c>
      <c r="F184">
        <f t="shared" si="26"/>
        <v>0</v>
      </c>
      <c r="G184">
        <f t="shared" si="2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2"/>
        <v>0</v>
      </c>
      <c r="O184">
        <f t="shared" si="33"/>
        <v>0</v>
      </c>
      <c r="P184" t="e">
        <f t="shared" si="34"/>
        <v>#NUM!</v>
      </c>
    </row>
    <row r="185" spans="3:16" x14ac:dyDescent="0.3">
      <c r="C185">
        <f t="shared" si="25"/>
        <v>0</v>
      </c>
      <c r="D185">
        <v>1.78E-2</v>
      </c>
      <c r="E185">
        <v>2.5469999999999998E-3</v>
      </c>
      <c r="F185">
        <f t="shared" si="26"/>
        <v>0</v>
      </c>
      <c r="G185">
        <f t="shared" si="2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2"/>
        <v>0</v>
      </c>
      <c r="O185">
        <f t="shared" si="33"/>
        <v>0</v>
      </c>
      <c r="P185" t="e">
        <f t="shared" si="34"/>
        <v>#NUM!</v>
      </c>
    </row>
    <row r="186" spans="3:16" x14ac:dyDescent="0.3">
      <c r="C186">
        <f t="shared" si="25"/>
        <v>0</v>
      </c>
      <c r="D186">
        <v>1.78E-2</v>
      </c>
      <c r="E186">
        <v>2.5469999999999998E-3</v>
      </c>
      <c r="F186">
        <f t="shared" si="26"/>
        <v>0</v>
      </c>
      <c r="G186">
        <f t="shared" si="2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2"/>
        <v>0</v>
      </c>
      <c r="O186">
        <f t="shared" si="33"/>
        <v>0</v>
      </c>
      <c r="P186" t="e">
        <f t="shared" si="34"/>
        <v>#NUM!</v>
      </c>
    </row>
    <row r="187" spans="3:16" x14ac:dyDescent="0.3">
      <c r="C187">
        <f t="shared" si="25"/>
        <v>0</v>
      </c>
      <c r="D187">
        <v>1.78E-2</v>
      </c>
      <c r="E187">
        <v>2.5469999999999998E-3</v>
      </c>
      <c r="F187">
        <f t="shared" si="26"/>
        <v>0</v>
      </c>
      <c r="G187">
        <f t="shared" si="2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2"/>
        <v>0</v>
      </c>
      <c r="O187">
        <f t="shared" si="33"/>
        <v>0</v>
      </c>
      <c r="P187" t="e">
        <f t="shared" si="34"/>
        <v>#NUM!</v>
      </c>
    </row>
    <row r="188" spans="3:16" x14ac:dyDescent="0.3">
      <c r="C188">
        <f t="shared" si="25"/>
        <v>0</v>
      </c>
      <c r="D188">
        <v>1.78E-2</v>
      </c>
      <c r="E188">
        <v>2.5469999999999998E-3</v>
      </c>
      <c r="F188">
        <f t="shared" si="26"/>
        <v>0</v>
      </c>
      <c r="G188">
        <f t="shared" si="27"/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si="30"/>
        <v>-1.2217251517752175</v>
      </c>
      <c r="L188">
        <v>1</v>
      </c>
      <c r="M188" t="e">
        <f t="shared" si="31"/>
        <v>#NUM!</v>
      </c>
      <c r="N188">
        <f t="shared" si="32"/>
        <v>0</v>
      </c>
      <c r="O188">
        <f t="shared" si="33"/>
        <v>0</v>
      </c>
      <c r="P188" t="e">
        <f t="shared" si="34"/>
        <v>#NUM!</v>
      </c>
    </row>
    <row r="189" spans="3:16" x14ac:dyDescent="0.3">
      <c r="C189">
        <f t="shared" si="25"/>
        <v>0</v>
      </c>
      <c r="D189">
        <v>1.78E-2</v>
      </c>
      <c r="E189">
        <v>2.5469999999999998E-3</v>
      </c>
      <c r="F189">
        <f t="shared" si="26"/>
        <v>0</v>
      </c>
      <c r="G189">
        <f t="shared" si="27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30"/>
        <v>-1.2217251517752175</v>
      </c>
      <c r="L189">
        <v>1</v>
      </c>
      <c r="M189" t="e">
        <f t="shared" si="31"/>
        <v>#NUM!</v>
      </c>
      <c r="N189">
        <f t="shared" si="32"/>
        <v>0</v>
      </c>
      <c r="O189">
        <f t="shared" si="33"/>
        <v>0</v>
      </c>
      <c r="P189" t="e">
        <f t="shared" si="34"/>
        <v>#NUM!</v>
      </c>
    </row>
    <row r="190" spans="3:16" x14ac:dyDescent="0.3">
      <c r="C190">
        <f t="shared" si="25"/>
        <v>0</v>
      </c>
      <c r="D190">
        <v>1.78E-2</v>
      </c>
      <c r="E190">
        <v>2.5469999999999998E-3</v>
      </c>
      <c r="F190">
        <f t="shared" si="26"/>
        <v>0</v>
      </c>
      <c r="G190">
        <f t="shared" si="27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30"/>
        <v>-1.2217251517752175</v>
      </c>
      <c r="L190">
        <v>1</v>
      </c>
      <c r="M190" t="e">
        <f t="shared" si="31"/>
        <v>#NUM!</v>
      </c>
      <c r="N190">
        <f t="shared" si="32"/>
        <v>0</v>
      </c>
      <c r="O190">
        <f t="shared" si="33"/>
        <v>0</v>
      </c>
      <c r="P190" t="e">
        <f t="shared" si="34"/>
        <v>#NUM!</v>
      </c>
    </row>
    <row r="191" spans="3:16" x14ac:dyDescent="0.3">
      <c r="C191">
        <f t="shared" si="25"/>
        <v>0</v>
      </c>
      <c r="D191">
        <v>1.78E-2</v>
      </c>
      <c r="E191">
        <v>2.5469999999999998E-3</v>
      </c>
      <c r="F191">
        <f t="shared" si="26"/>
        <v>0</v>
      </c>
      <c r="G191">
        <f t="shared" si="27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30"/>
        <v>-1.2217251517752175</v>
      </c>
      <c r="L191">
        <v>1</v>
      </c>
      <c r="M191" t="e">
        <f t="shared" si="31"/>
        <v>#NUM!</v>
      </c>
      <c r="N191">
        <f t="shared" si="32"/>
        <v>0</v>
      </c>
      <c r="O191">
        <f t="shared" si="33"/>
        <v>0</v>
      </c>
      <c r="P191" t="e">
        <f t="shared" si="34"/>
        <v>#NUM!</v>
      </c>
    </row>
    <row r="192" spans="3:16" x14ac:dyDescent="0.3">
      <c r="C192">
        <f t="shared" si="25"/>
        <v>0</v>
      </c>
      <c r="D192">
        <v>1.78E-2</v>
      </c>
      <c r="E192">
        <v>2.5469999999999998E-3</v>
      </c>
      <c r="F192">
        <f t="shared" si="26"/>
        <v>0</v>
      </c>
      <c r="G192">
        <f t="shared" si="27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30"/>
        <v>-1.2217251517752175</v>
      </c>
      <c r="L192">
        <v>1</v>
      </c>
      <c r="M192" t="e">
        <f t="shared" si="31"/>
        <v>#NUM!</v>
      </c>
      <c r="N192">
        <f t="shared" si="32"/>
        <v>0</v>
      </c>
      <c r="O192">
        <f t="shared" si="33"/>
        <v>0</v>
      </c>
      <c r="P192" t="e">
        <f t="shared" si="34"/>
        <v>#NUM!</v>
      </c>
    </row>
    <row r="193" spans="3:16" x14ac:dyDescent="0.3">
      <c r="C193">
        <f t="shared" si="25"/>
        <v>0</v>
      </c>
      <c r="D193">
        <v>1.78E-2</v>
      </c>
      <c r="E193">
        <v>2.5469999999999998E-3</v>
      </c>
      <c r="F193">
        <f t="shared" si="26"/>
        <v>0</v>
      </c>
      <c r="G193">
        <f t="shared" si="27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30"/>
        <v>-1.2217251517752175</v>
      </c>
      <c r="L193">
        <v>1</v>
      </c>
      <c r="M193" t="e">
        <f t="shared" si="31"/>
        <v>#NUM!</v>
      </c>
      <c r="N193">
        <f t="shared" si="32"/>
        <v>0</v>
      </c>
      <c r="O193">
        <f t="shared" si="33"/>
        <v>0</v>
      </c>
      <c r="P193" t="e">
        <f t="shared" si="34"/>
        <v>#NUM!</v>
      </c>
    </row>
    <row r="194" spans="3:16" x14ac:dyDescent="0.3">
      <c r="C194">
        <f t="shared" si="25"/>
        <v>0</v>
      </c>
      <c r="D194">
        <v>1.78E-2</v>
      </c>
      <c r="E194">
        <v>2.5469999999999998E-3</v>
      </c>
      <c r="F194">
        <f t="shared" si="26"/>
        <v>0</v>
      </c>
      <c r="G194">
        <f t="shared" si="27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30"/>
        <v>-1.2217251517752175</v>
      </c>
      <c r="L194">
        <v>1</v>
      </c>
      <c r="M194" t="e">
        <f t="shared" si="31"/>
        <v>#NUM!</v>
      </c>
      <c r="N194">
        <f t="shared" si="32"/>
        <v>0</v>
      </c>
      <c r="O194">
        <f t="shared" si="33"/>
        <v>0</v>
      </c>
      <c r="P194" t="e">
        <f t="shared" si="34"/>
        <v>#NUM!</v>
      </c>
    </row>
    <row r="195" spans="3:16" x14ac:dyDescent="0.3">
      <c r="C195">
        <f t="shared" si="25"/>
        <v>0</v>
      </c>
      <c r="D195">
        <v>1.78E-2</v>
      </c>
      <c r="E195">
        <v>2.5469999999999998E-3</v>
      </c>
      <c r="F195">
        <f t="shared" si="26"/>
        <v>0</v>
      </c>
      <c r="G195">
        <f t="shared" si="27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30"/>
        <v>-1.2217251517752175</v>
      </c>
      <c r="L195">
        <v>1</v>
      </c>
      <c r="M195" t="e">
        <f t="shared" si="31"/>
        <v>#NUM!</v>
      </c>
      <c r="N195">
        <f t="shared" si="32"/>
        <v>0</v>
      </c>
      <c r="O195">
        <f t="shared" si="33"/>
        <v>0</v>
      </c>
      <c r="P195" t="e">
        <f t="shared" si="34"/>
        <v>#NUM!</v>
      </c>
    </row>
    <row r="196" spans="3:16" x14ac:dyDescent="0.3">
      <c r="C196">
        <f t="shared" ref="C196:C259" si="36">A196*B196</f>
        <v>0</v>
      </c>
      <c r="D196">
        <v>1.78E-2</v>
      </c>
      <c r="E196">
        <v>2.5469999999999998E-3</v>
      </c>
      <c r="F196">
        <f t="shared" ref="F196:F259" si="37">A196*200</f>
        <v>0</v>
      </c>
      <c r="G196">
        <f t="shared" ref="G196:G259" si="38">-B196</f>
        <v>0</v>
      </c>
      <c r="H196">
        <f t="shared" ref="H196:H259" si="39">-C196*200</f>
        <v>0</v>
      </c>
      <c r="I196">
        <v>1</v>
      </c>
      <c r="J196" t="e">
        <f t="shared" ref="J196:J259" si="40">LN(F196/1000)</f>
        <v>#NUM!</v>
      </c>
      <c r="K196">
        <f t="shared" ref="K196:K259" si="41">((-G196)-$N$2)</f>
        <v>-1.2217251517752175</v>
      </c>
      <c r="L196">
        <v>1</v>
      </c>
      <c r="M196" t="e">
        <f t="shared" ref="M196:M259" si="42">-1*($S$4+($S$5*J196))</f>
        <v>#NUM!</v>
      </c>
      <c r="N196">
        <f t="shared" ref="N196:N259" si="43">D196*A196</f>
        <v>0</v>
      </c>
      <c r="O196">
        <f t="shared" ref="O196:O259" si="44">E196*A196</f>
        <v>0</v>
      </c>
      <c r="P196" t="e">
        <f t="shared" ref="P196:P259" si="45">-K196-M196-N196-O196</f>
        <v>#NUM!</v>
      </c>
    </row>
    <row r="197" spans="3:16" x14ac:dyDescent="0.3">
      <c r="C197">
        <f t="shared" si="36"/>
        <v>0</v>
      </c>
      <c r="D197">
        <v>1.78E-2</v>
      </c>
      <c r="E197">
        <v>2.5469999999999998E-3</v>
      </c>
      <c r="F197">
        <f t="shared" si="37"/>
        <v>0</v>
      </c>
      <c r="G197">
        <f t="shared" si="38"/>
        <v>0</v>
      </c>
      <c r="H197">
        <f t="shared" si="39"/>
        <v>0</v>
      </c>
      <c r="I197">
        <v>1</v>
      </c>
      <c r="J197" t="e">
        <f t="shared" si="40"/>
        <v>#NUM!</v>
      </c>
      <c r="K197">
        <f t="shared" si="41"/>
        <v>-1.2217251517752175</v>
      </c>
      <c r="L197">
        <v>1</v>
      </c>
      <c r="M197" t="e">
        <f t="shared" si="42"/>
        <v>#NUM!</v>
      </c>
      <c r="N197">
        <f t="shared" si="43"/>
        <v>0</v>
      </c>
      <c r="O197">
        <f t="shared" si="44"/>
        <v>0</v>
      </c>
      <c r="P197" t="e">
        <f t="shared" si="45"/>
        <v>#NUM!</v>
      </c>
    </row>
    <row r="198" spans="3:16" x14ac:dyDescent="0.3">
      <c r="C198">
        <f t="shared" si="36"/>
        <v>0</v>
      </c>
      <c r="D198">
        <v>1.78E-2</v>
      </c>
      <c r="E198">
        <v>2.5469999999999998E-3</v>
      </c>
      <c r="F198">
        <f t="shared" si="37"/>
        <v>0</v>
      </c>
      <c r="G198">
        <f t="shared" si="38"/>
        <v>0</v>
      </c>
      <c r="H198">
        <f t="shared" si="39"/>
        <v>0</v>
      </c>
      <c r="I198">
        <v>1</v>
      </c>
      <c r="J198" t="e">
        <f t="shared" si="40"/>
        <v>#NUM!</v>
      </c>
      <c r="K198">
        <f t="shared" si="41"/>
        <v>-1.2217251517752175</v>
      </c>
      <c r="L198">
        <v>1</v>
      </c>
      <c r="M198" t="e">
        <f t="shared" si="42"/>
        <v>#NUM!</v>
      </c>
      <c r="N198">
        <f t="shared" si="43"/>
        <v>0</v>
      </c>
      <c r="O198">
        <f t="shared" si="44"/>
        <v>0</v>
      </c>
      <c r="P198" t="e">
        <f t="shared" si="45"/>
        <v>#NUM!</v>
      </c>
    </row>
    <row r="199" spans="3:16" x14ac:dyDescent="0.3">
      <c r="C199">
        <f t="shared" si="36"/>
        <v>0</v>
      </c>
      <c r="D199">
        <v>1.78E-2</v>
      </c>
      <c r="E199">
        <v>2.5469999999999998E-3</v>
      </c>
      <c r="F199">
        <f t="shared" si="37"/>
        <v>0</v>
      </c>
      <c r="G199">
        <f t="shared" si="38"/>
        <v>0</v>
      </c>
      <c r="H199">
        <f t="shared" si="39"/>
        <v>0</v>
      </c>
      <c r="I199">
        <v>1</v>
      </c>
      <c r="J199" t="e">
        <f t="shared" si="40"/>
        <v>#NUM!</v>
      </c>
      <c r="K199">
        <f t="shared" si="41"/>
        <v>-1.2217251517752175</v>
      </c>
      <c r="L199">
        <v>1</v>
      </c>
      <c r="M199" t="e">
        <f t="shared" si="42"/>
        <v>#NUM!</v>
      </c>
      <c r="N199">
        <f t="shared" si="43"/>
        <v>0</v>
      </c>
      <c r="O199">
        <f t="shared" si="44"/>
        <v>0</v>
      </c>
      <c r="P199" t="e">
        <f t="shared" si="45"/>
        <v>#NUM!</v>
      </c>
    </row>
    <row r="200" spans="3:16" x14ac:dyDescent="0.3">
      <c r="C200">
        <f t="shared" si="36"/>
        <v>0</v>
      </c>
      <c r="D200">
        <v>1.78E-2</v>
      </c>
      <c r="E200">
        <v>2.5469999999999998E-3</v>
      </c>
      <c r="F200">
        <f t="shared" si="37"/>
        <v>0</v>
      </c>
      <c r="G200">
        <f t="shared" si="38"/>
        <v>0</v>
      </c>
      <c r="H200">
        <f t="shared" si="39"/>
        <v>0</v>
      </c>
      <c r="I200">
        <v>1</v>
      </c>
      <c r="J200" t="e">
        <f t="shared" si="40"/>
        <v>#NUM!</v>
      </c>
      <c r="K200">
        <f t="shared" si="41"/>
        <v>-1.2217251517752175</v>
      </c>
      <c r="L200">
        <v>1</v>
      </c>
      <c r="M200" t="e">
        <f t="shared" si="42"/>
        <v>#NUM!</v>
      </c>
      <c r="N200">
        <f t="shared" si="43"/>
        <v>0</v>
      </c>
      <c r="O200">
        <f t="shared" si="44"/>
        <v>0</v>
      </c>
      <c r="P200" t="e">
        <f t="shared" si="45"/>
        <v>#NUM!</v>
      </c>
    </row>
    <row r="201" spans="3:16" x14ac:dyDescent="0.3">
      <c r="C201">
        <f t="shared" si="36"/>
        <v>0</v>
      </c>
      <c r="D201">
        <v>1.78E-2</v>
      </c>
      <c r="E201">
        <v>2.5469999999999998E-3</v>
      </c>
      <c r="F201">
        <f t="shared" si="37"/>
        <v>0</v>
      </c>
      <c r="G201">
        <f t="shared" si="38"/>
        <v>0</v>
      </c>
      <c r="H201">
        <f t="shared" si="39"/>
        <v>0</v>
      </c>
      <c r="I201">
        <v>1</v>
      </c>
      <c r="J201" t="e">
        <f t="shared" si="40"/>
        <v>#NUM!</v>
      </c>
      <c r="K201">
        <f t="shared" si="41"/>
        <v>-1.2217251517752175</v>
      </c>
      <c r="L201">
        <v>1</v>
      </c>
      <c r="M201" t="e">
        <f t="shared" si="42"/>
        <v>#NUM!</v>
      </c>
      <c r="N201">
        <f t="shared" si="43"/>
        <v>0</v>
      </c>
      <c r="O201">
        <f t="shared" si="44"/>
        <v>0</v>
      </c>
      <c r="P201" t="e">
        <f t="shared" si="45"/>
        <v>#NUM!</v>
      </c>
    </row>
    <row r="202" spans="3:16" x14ac:dyDescent="0.3">
      <c r="C202">
        <f t="shared" si="36"/>
        <v>0</v>
      </c>
      <c r="D202">
        <v>1.78E-2</v>
      </c>
      <c r="E202">
        <v>2.5469999999999998E-3</v>
      </c>
      <c r="F202">
        <f t="shared" si="37"/>
        <v>0</v>
      </c>
      <c r="G202">
        <f t="shared" si="38"/>
        <v>0</v>
      </c>
      <c r="H202">
        <f t="shared" si="39"/>
        <v>0</v>
      </c>
      <c r="I202">
        <v>1</v>
      </c>
      <c r="J202" t="e">
        <f t="shared" si="40"/>
        <v>#NUM!</v>
      </c>
      <c r="K202">
        <f t="shared" si="41"/>
        <v>-1.2217251517752175</v>
      </c>
      <c r="L202">
        <v>1</v>
      </c>
      <c r="M202" t="e">
        <f t="shared" si="42"/>
        <v>#NUM!</v>
      </c>
      <c r="N202">
        <f t="shared" si="43"/>
        <v>0</v>
      </c>
      <c r="O202">
        <f t="shared" si="44"/>
        <v>0</v>
      </c>
      <c r="P202" t="e">
        <f t="shared" si="45"/>
        <v>#NUM!</v>
      </c>
    </row>
    <row r="203" spans="3:16" x14ac:dyDescent="0.3">
      <c r="C203">
        <f t="shared" si="36"/>
        <v>0</v>
      </c>
      <c r="D203">
        <v>1.78E-2</v>
      </c>
      <c r="E203">
        <v>2.5469999999999998E-3</v>
      </c>
      <c r="F203">
        <f t="shared" si="37"/>
        <v>0</v>
      </c>
      <c r="G203">
        <f t="shared" si="38"/>
        <v>0</v>
      </c>
      <c r="H203">
        <f t="shared" si="39"/>
        <v>0</v>
      </c>
      <c r="I203">
        <v>1</v>
      </c>
      <c r="J203" t="e">
        <f t="shared" si="40"/>
        <v>#NUM!</v>
      </c>
      <c r="K203">
        <f t="shared" si="41"/>
        <v>-1.2217251517752175</v>
      </c>
      <c r="L203">
        <v>1</v>
      </c>
      <c r="M203" t="e">
        <f t="shared" si="42"/>
        <v>#NUM!</v>
      </c>
      <c r="N203">
        <f t="shared" si="43"/>
        <v>0</v>
      </c>
      <c r="O203">
        <f t="shared" si="44"/>
        <v>0</v>
      </c>
      <c r="P203" t="e">
        <f t="shared" si="45"/>
        <v>#NUM!</v>
      </c>
    </row>
    <row r="204" spans="3:16" x14ac:dyDescent="0.3">
      <c r="C204">
        <f t="shared" si="36"/>
        <v>0</v>
      </c>
      <c r="D204">
        <v>1.78E-2</v>
      </c>
      <c r="E204">
        <v>2.5469999999999998E-3</v>
      </c>
      <c r="F204">
        <f t="shared" si="37"/>
        <v>0</v>
      </c>
      <c r="G204">
        <f t="shared" si="38"/>
        <v>0</v>
      </c>
      <c r="H204">
        <f t="shared" si="39"/>
        <v>0</v>
      </c>
      <c r="I204">
        <v>1</v>
      </c>
      <c r="J204" t="e">
        <f t="shared" si="40"/>
        <v>#NUM!</v>
      </c>
      <c r="K204">
        <f t="shared" si="41"/>
        <v>-1.2217251517752175</v>
      </c>
      <c r="L204">
        <v>1</v>
      </c>
      <c r="M204" t="e">
        <f t="shared" si="42"/>
        <v>#NUM!</v>
      </c>
      <c r="N204">
        <f t="shared" si="43"/>
        <v>0</v>
      </c>
      <c r="O204">
        <f t="shared" si="44"/>
        <v>0</v>
      </c>
      <c r="P204" t="e">
        <f t="shared" si="45"/>
        <v>#NUM!</v>
      </c>
    </row>
    <row r="205" spans="3:16" x14ac:dyDescent="0.3">
      <c r="C205">
        <f t="shared" si="36"/>
        <v>0</v>
      </c>
      <c r="D205">
        <v>1.78E-2</v>
      </c>
      <c r="E205">
        <v>2.5469999999999998E-3</v>
      </c>
      <c r="F205">
        <f t="shared" si="37"/>
        <v>0</v>
      </c>
      <c r="G205">
        <f t="shared" si="38"/>
        <v>0</v>
      </c>
      <c r="H205">
        <f t="shared" si="39"/>
        <v>0</v>
      </c>
      <c r="I205">
        <v>1</v>
      </c>
      <c r="J205" t="e">
        <f t="shared" si="40"/>
        <v>#NUM!</v>
      </c>
      <c r="K205">
        <f t="shared" si="41"/>
        <v>-1.2217251517752175</v>
      </c>
      <c r="L205">
        <v>1</v>
      </c>
      <c r="M205" t="e">
        <f t="shared" si="42"/>
        <v>#NUM!</v>
      </c>
      <c r="N205">
        <f t="shared" si="43"/>
        <v>0</v>
      </c>
      <c r="O205">
        <f t="shared" si="44"/>
        <v>0</v>
      </c>
      <c r="P205" t="e">
        <f t="shared" si="45"/>
        <v>#NUM!</v>
      </c>
    </row>
    <row r="206" spans="3:16" x14ac:dyDescent="0.3">
      <c r="C206">
        <f t="shared" si="36"/>
        <v>0</v>
      </c>
      <c r="D206">
        <v>1.78E-2</v>
      </c>
      <c r="E206">
        <v>2.5469999999999998E-3</v>
      </c>
      <c r="F206">
        <f t="shared" si="37"/>
        <v>0</v>
      </c>
      <c r="G206">
        <f t="shared" si="38"/>
        <v>0</v>
      </c>
      <c r="H206">
        <f t="shared" si="39"/>
        <v>0</v>
      </c>
      <c r="I206">
        <v>1</v>
      </c>
      <c r="J206" t="e">
        <f t="shared" si="40"/>
        <v>#NUM!</v>
      </c>
      <c r="K206">
        <f t="shared" si="41"/>
        <v>-1.2217251517752175</v>
      </c>
      <c r="L206">
        <v>1</v>
      </c>
      <c r="M206" t="e">
        <f t="shared" si="42"/>
        <v>#NUM!</v>
      </c>
      <c r="N206">
        <f t="shared" si="43"/>
        <v>0</v>
      </c>
      <c r="O206">
        <f t="shared" si="44"/>
        <v>0</v>
      </c>
      <c r="P206" t="e">
        <f t="shared" si="45"/>
        <v>#NUM!</v>
      </c>
    </row>
    <row r="207" spans="3:16" x14ac:dyDescent="0.3">
      <c r="C207">
        <f t="shared" si="36"/>
        <v>0</v>
      </c>
      <c r="D207">
        <v>1.78E-2</v>
      </c>
      <c r="E207">
        <v>2.5469999999999998E-3</v>
      </c>
      <c r="F207">
        <f t="shared" si="37"/>
        <v>0</v>
      </c>
      <c r="G207">
        <f t="shared" si="38"/>
        <v>0</v>
      </c>
      <c r="H207">
        <f t="shared" si="39"/>
        <v>0</v>
      </c>
      <c r="I207">
        <v>1</v>
      </c>
      <c r="J207" t="e">
        <f t="shared" si="40"/>
        <v>#NUM!</v>
      </c>
      <c r="K207">
        <f t="shared" si="41"/>
        <v>-1.2217251517752175</v>
      </c>
      <c r="L207">
        <v>1</v>
      </c>
      <c r="M207" t="e">
        <f t="shared" si="42"/>
        <v>#NUM!</v>
      </c>
      <c r="N207">
        <f t="shared" si="43"/>
        <v>0</v>
      </c>
      <c r="O207">
        <f t="shared" si="44"/>
        <v>0</v>
      </c>
      <c r="P207" t="e">
        <f t="shared" si="45"/>
        <v>#NUM!</v>
      </c>
    </row>
    <row r="208" spans="3:16" x14ac:dyDescent="0.3">
      <c r="C208">
        <f t="shared" si="36"/>
        <v>0</v>
      </c>
      <c r="D208">
        <v>1.78E-2</v>
      </c>
      <c r="E208">
        <v>2.5469999999999998E-3</v>
      </c>
      <c r="F208">
        <f t="shared" si="37"/>
        <v>0</v>
      </c>
      <c r="G208">
        <f t="shared" si="38"/>
        <v>0</v>
      </c>
      <c r="H208">
        <f t="shared" si="39"/>
        <v>0</v>
      </c>
      <c r="I208">
        <v>1</v>
      </c>
      <c r="J208" t="e">
        <f t="shared" si="40"/>
        <v>#NUM!</v>
      </c>
      <c r="K208">
        <f t="shared" si="41"/>
        <v>-1.2217251517752175</v>
      </c>
      <c r="L208">
        <v>1</v>
      </c>
      <c r="M208" t="e">
        <f t="shared" si="42"/>
        <v>#NUM!</v>
      </c>
      <c r="N208">
        <f t="shared" si="43"/>
        <v>0</v>
      </c>
      <c r="O208">
        <f t="shared" si="44"/>
        <v>0</v>
      </c>
      <c r="P208" t="e">
        <f t="shared" si="45"/>
        <v>#NUM!</v>
      </c>
    </row>
    <row r="209" spans="3:16" x14ac:dyDescent="0.3">
      <c r="C209">
        <f t="shared" si="36"/>
        <v>0</v>
      </c>
      <c r="D209">
        <v>1.78E-2</v>
      </c>
      <c r="E209">
        <v>2.5469999999999998E-3</v>
      </c>
      <c r="F209">
        <f t="shared" si="37"/>
        <v>0</v>
      </c>
      <c r="G209">
        <f t="shared" si="38"/>
        <v>0</v>
      </c>
      <c r="H209">
        <f t="shared" si="39"/>
        <v>0</v>
      </c>
      <c r="I209">
        <v>1</v>
      </c>
      <c r="J209" t="e">
        <f t="shared" si="40"/>
        <v>#NUM!</v>
      </c>
      <c r="K209">
        <f t="shared" si="41"/>
        <v>-1.2217251517752175</v>
      </c>
      <c r="L209">
        <v>1</v>
      </c>
      <c r="M209" t="e">
        <f t="shared" si="42"/>
        <v>#NUM!</v>
      </c>
      <c r="N209">
        <f t="shared" si="43"/>
        <v>0</v>
      </c>
      <c r="O209">
        <f t="shared" si="44"/>
        <v>0</v>
      </c>
      <c r="P209" t="e">
        <f t="shared" si="45"/>
        <v>#NUM!</v>
      </c>
    </row>
    <row r="210" spans="3:16" x14ac:dyDescent="0.3">
      <c r="C210">
        <f t="shared" si="36"/>
        <v>0</v>
      </c>
      <c r="D210">
        <v>1.78E-2</v>
      </c>
      <c r="E210">
        <v>2.5469999999999998E-3</v>
      </c>
      <c r="F210">
        <f t="shared" si="37"/>
        <v>0</v>
      </c>
      <c r="G210">
        <f t="shared" si="38"/>
        <v>0</v>
      </c>
      <c r="H210">
        <f t="shared" si="39"/>
        <v>0</v>
      </c>
      <c r="I210">
        <v>1</v>
      </c>
      <c r="J210" t="e">
        <f t="shared" si="40"/>
        <v>#NUM!</v>
      </c>
      <c r="K210">
        <f t="shared" si="41"/>
        <v>-1.2217251517752175</v>
      </c>
      <c r="L210">
        <v>1</v>
      </c>
      <c r="M210" t="e">
        <f t="shared" si="42"/>
        <v>#NUM!</v>
      </c>
      <c r="N210">
        <f t="shared" si="43"/>
        <v>0</v>
      </c>
      <c r="O210">
        <f t="shared" si="44"/>
        <v>0</v>
      </c>
      <c r="P210" t="e">
        <f t="shared" si="45"/>
        <v>#NUM!</v>
      </c>
    </row>
    <row r="211" spans="3:16" x14ac:dyDescent="0.3">
      <c r="C211">
        <f t="shared" si="36"/>
        <v>0</v>
      </c>
      <c r="D211">
        <v>1.78E-2</v>
      </c>
      <c r="E211">
        <v>2.5469999999999998E-3</v>
      </c>
      <c r="F211">
        <f t="shared" si="37"/>
        <v>0</v>
      </c>
      <c r="G211">
        <f t="shared" si="38"/>
        <v>0</v>
      </c>
      <c r="H211">
        <f t="shared" si="39"/>
        <v>0</v>
      </c>
      <c r="I211">
        <v>1</v>
      </c>
      <c r="J211" t="e">
        <f t="shared" si="40"/>
        <v>#NUM!</v>
      </c>
      <c r="K211">
        <f t="shared" si="41"/>
        <v>-1.2217251517752175</v>
      </c>
      <c r="L211">
        <v>1</v>
      </c>
      <c r="M211" t="e">
        <f t="shared" si="42"/>
        <v>#NUM!</v>
      </c>
      <c r="N211">
        <f t="shared" si="43"/>
        <v>0</v>
      </c>
      <c r="O211">
        <f t="shared" si="44"/>
        <v>0</v>
      </c>
      <c r="P211" t="e">
        <f t="shared" si="45"/>
        <v>#NUM!</v>
      </c>
    </row>
    <row r="212" spans="3:16" x14ac:dyDescent="0.3">
      <c r="C212">
        <f t="shared" si="36"/>
        <v>0</v>
      </c>
      <c r="D212">
        <v>1.78E-2</v>
      </c>
      <c r="E212">
        <v>2.5469999999999998E-3</v>
      </c>
      <c r="F212">
        <f t="shared" si="37"/>
        <v>0</v>
      </c>
      <c r="G212">
        <f t="shared" si="38"/>
        <v>0</v>
      </c>
      <c r="H212">
        <f t="shared" si="39"/>
        <v>0</v>
      </c>
      <c r="I212">
        <v>1</v>
      </c>
      <c r="J212" t="e">
        <f t="shared" si="40"/>
        <v>#NUM!</v>
      </c>
      <c r="K212">
        <f t="shared" si="41"/>
        <v>-1.2217251517752175</v>
      </c>
      <c r="L212">
        <v>1</v>
      </c>
      <c r="M212" t="e">
        <f t="shared" si="42"/>
        <v>#NUM!</v>
      </c>
      <c r="N212">
        <f t="shared" si="43"/>
        <v>0</v>
      </c>
      <c r="O212">
        <f t="shared" si="44"/>
        <v>0</v>
      </c>
      <c r="P212" t="e">
        <f t="shared" si="45"/>
        <v>#NUM!</v>
      </c>
    </row>
    <row r="213" spans="3:16" x14ac:dyDescent="0.3">
      <c r="C213">
        <f t="shared" si="36"/>
        <v>0</v>
      </c>
      <c r="D213">
        <v>1.78E-2</v>
      </c>
      <c r="E213">
        <v>2.5469999999999998E-3</v>
      </c>
      <c r="F213">
        <f t="shared" si="37"/>
        <v>0</v>
      </c>
      <c r="G213">
        <f t="shared" si="38"/>
        <v>0</v>
      </c>
      <c r="H213">
        <f t="shared" si="39"/>
        <v>0</v>
      </c>
      <c r="I213">
        <v>1</v>
      </c>
      <c r="J213" t="e">
        <f t="shared" si="40"/>
        <v>#NUM!</v>
      </c>
      <c r="K213">
        <f t="shared" si="41"/>
        <v>-1.2217251517752175</v>
      </c>
      <c r="L213">
        <v>1</v>
      </c>
      <c r="M213" t="e">
        <f t="shared" si="42"/>
        <v>#NUM!</v>
      </c>
      <c r="N213">
        <f t="shared" si="43"/>
        <v>0</v>
      </c>
      <c r="O213">
        <f t="shared" si="44"/>
        <v>0</v>
      </c>
      <c r="P213" t="e">
        <f t="shared" si="45"/>
        <v>#NUM!</v>
      </c>
    </row>
    <row r="214" spans="3:16" x14ac:dyDescent="0.3">
      <c r="C214">
        <f t="shared" si="36"/>
        <v>0</v>
      </c>
      <c r="D214">
        <v>1.78E-2</v>
      </c>
      <c r="E214">
        <v>2.5469999999999998E-3</v>
      </c>
      <c r="F214">
        <f t="shared" si="37"/>
        <v>0</v>
      </c>
      <c r="G214">
        <f t="shared" si="38"/>
        <v>0</v>
      </c>
      <c r="H214">
        <f t="shared" si="39"/>
        <v>0</v>
      </c>
      <c r="I214">
        <v>1</v>
      </c>
      <c r="J214" t="e">
        <f t="shared" si="40"/>
        <v>#NUM!</v>
      </c>
      <c r="K214">
        <f t="shared" si="41"/>
        <v>-1.2217251517752175</v>
      </c>
      <c r="L214">
        <v>1</v>
      </c>
      <c r="M214" t="e">
        <f t="shared" si="42"/>
        <v>#NUM!</v>
      </c>
      <c r="N214">
        <f t="shared" si="43"/>
        <v>0</v>
      </c>
      <c r="O214">
        <f t="shared" si="44"/>
        <v>0</v>
      </c>
      <c r="P214" t="e">
        <f t="shared" si="45"/>
        <v>#NUM!</v>
      </c>
    </row>
    <row r="215" spans="3:16" x14ac:dyDescent="0.3">
      <c r="C215">
        <f t="shared" si="36"/>
        <v>0</v>
      </c>
      <c r="D215">
        <v>1.78E-2</v>
      </c>
      <c r="E215">
        <v>2.5469999999999998E-3</v>
      </c>
      <c r="F215">
        <f t="shared" si="37"/>
        <v>0</v>
      </c>
      <c r="G215">
        <f t="shared" si="38"/>
        <v>0</v>
      </c>
      <c r="H215">
        <f t="shared" si="39"/>
        <v>0</v>
      </c>
      <c r="I215">
        <v>1</v>
      </c>
      <c r="J215" t="e">
        <f t="shared" si="40"/>
        <v>#NUM!</v>
      </c>
      <c r="K215">
        <f t="shared" si="41"/>
        <v>-1.2217251517752175</v>
      </c>
      <c r="L215">
        <v>1</v>
      </c>
      <c r="M215" t="e">
        <f t="shared" si="42"/>
        <v>#NUM!</v>
      </c>
      <c r="N215">
        <f t="shared" si="43"/>
        <v>0</v>
      </c>
      <c r="O215">
        <f t="shared" si="44"/>
        <v>0</v>
      </c>
      <c r="P215" t="e">
        <f t="shared" si="45"/>
        <v>#NUM!</v>
      </c>
    </row>
    <row r="216" spans="3:16" x14ac:dyDescent="0.3">
      <c r="C216">
        <f t="shared" si="36"/>
        <v>0</v>
      </c>
      <c r="D216">
        <v>1.78E-2</v>
      </c>
      <c r="E216">
        <v>2.5469999999999998E-3</v>
      </c>
      <c r="F216">
        <f t="shared" si="37"/>
        <v>0</v>
      </c>
      <c r="G216">
        <f t="shared" si="38"/>
        <v>0</v>
      </c>
      <c r="H216">
        <f t="shared" si="39"/>
        <v>0</v>
      </c>
      <c r="I216">
        <v>1</v>
      </c>
      <c r="J216" t="e">
        <f t="shared" si="40"/>
        <v>#NUM!</v>
      </c>
      <c r="K216">
        <f t="shared" si="41"/>
        <v>-1.2217251517752175</v>
      </c>
      <c r="L216">
        <v>1</v>
      </c>
      <c r="M216" t="e">
        <f t="shared" si="42"/>
        <v>#NUM!</v>
      </c>
      <c r="N216">
        <f t="shared" si="43"/>
        <v>0</v>
      </c>
      <c r="O216">
        <f t="shared" si="44"/>
        <v>0</v>
      </c>
      <c r="P216" t="e">
        <f t="shared" si="45"/>
        <v>#NUM!</v>
      </c>
    </row>
    <row r="217" spans="3:16" x14ac:dyDescent="0.3">
      <c r="C217">
        <f t="shared" si="36"/>
        <v>0</v>
      </c>
      <c r="D217">
        <v>1.78E-2</v>
      </c>
      <c r="E217">
        <v>2.5469999999999998E-3</v>
      </c>
      <c r="F217">
        <f t="shared" si="37"/>
        <v>0</v>
      </c>
      <c r="G217">
        <f t="shared" si="38"/>
        <v>0</v>
      </c>
      <c r="H217">
        <f t="shared" si="39"/>
        <v>0</v>
      </c>
      <c r="I217">
        <v>1</v>
      </c>
      <c r="J217" t="e">
        <f t="shared" si="40"/>
        <v>#NUM!</v>
      </c>
      <c r="K217">
        <f t="shared" si="41"/>
        <v>-1.2217251517752175</v>
      </c>
      <c r="L217">
        <v>1</v>
      </c>
      <c r="M217" t="e">
        <f t="shared" si="42"/>
        <v>#NUM!</v>
      </c>
      <c r="N217">
        <f t="shared" si="43"/>
        <v>0</v>
      </c>
      <c r="O217">
        <f t="shared" si="44"/>
        <v>0</v>
      </c>
      <c r="P217" t="e">
        <f t="shared" si="45"/>
        <v>#NUM!</v>
      </c>
    </row>
    <row r="218" spans="3:16" x14ac:dyDescent="0.3">
      <c r="C218">
        <f t="shared" si="36"/>
        <v>0</v>
      </c>
      <c r="D218">
        <v>1.78E-2</v>
      </c>
      <c r="E218">
        <v>2.5469999999999998E-3</v>
      </c>
      <c r="F218">
        <f t="shared" si="37"/>
        <v>0</v>
      </c>
      <c r="G218">
        <f t="shared" si="38"/>
        <v>0</v>
      </c>
      <c r="H218">
        <f t="shared" si="39"/>
        <v>0</v>
      </c>
      <c r="I218">
        <v>1</v>
      </c>
      <c r="J218" t="e">
        <f t="shared" si="40"/>
        <v>#NUM!</v>
      </c>
      <c r="K218">
        <f t="shared" si="41"/>
        <v>-1.2217251517752175</v>
      </c>
      <c r="L218">
        <v>1</v>
      </c>
      <c r="M218" t="e">
        <f t="shared" si="42"/>
        <v>#NUM!</v>
      </c>
      <c r="N218">
        <f t="shared" si="43"/>
        <v>0</v>
      </c>
      <c r="O218">
        <f t="shared" si="44"/>
        <v>0</v>
      </c>
      <c r="P218" t="e">
        <f t="shared" si="45"/>
        <v>#NUM!</v>
      </c>
    </row>
    <row r="219" spans="3:16" x14ac:dyDescent="0.3">
      <c r="C219">
        <f t="shared" si="36"/>
        <v>0</v>
      </c>
      <c r="D219">
        <v>1.78E-2</v>
      </c>
      <c r="E219">
        <v>2.5469999999999998E-3</v>
      </c>
      <c r="F219">
        <f t="shared" si="37"/>
        <v>0</v>
      </c>
      <c r="G219">
        <f t="shared" si="38"/>
        <v>0</v>
      </c>
      <c r="H219">
        <f t="shared" si="39"/>
        <v>0</v>
      </c>
      <c r="I219">
        <v>1</v>
      </c>
      <c r="J219" t="e">
        <f t="shared" si="40"/>
        <v>#NUM!</v>
      </c>
      <c r="K219">
        <f t="shared" si="41"/>
        <v>-1.2217251517752175</v>
      </c>
      <c r="L219">
        <v>1</v>
      </c>
      <c r="M219" t="e">
        <f t="shared" si="42"/>
        <v>#NUM!</v>
      </c>
      <c r="N219">
        <f t="shared" si="43"/>
        <v>0</v>
      </c>
      <c r="O219">
        <f t="shared" si="44"/>
        <v>0</v>
      </c>
      <c r="P219" t="e">
        <f t="shared" si="45"/>
        <v>#NUM!</v>
      </c>
    </row>
    <row r="220" spans="3:16" x14ac:dyDescent="0.3">
      <c r="C220">
        <f t="shared" si="36"/>
        <v>0</v>
      </c>
      <c r="D220">
        <v>1.78E-2</v>
      </c>
      <c r="E220">
        <v>2.5469999999999998E-3</v>
      </c>
      <c r="F220">
        <f t="shared" si="37"/>
        <v>0</v>
      </c>
      <c r="G220">
        <f t="shared" si="38"/>
        <v>0</v>
      </c>
      <c r="H220">
        <f t="shared" si="39"/>
        <v>0</v>
      </c>
      <c r="I220">
        <v>1</v>
      </c>
      <c r="J220" t="e">
        <f t="shared" si="40"/>
        <v>#NUM!</v>
      </c>
      <c r="K220">
        <f t="shared" si="41"/>
        <v>-1.2217251517752175</v>
      </c>
      <c r="L220">
        <v>1</v>
      </c>
      <c r="M220" t="e">
        <f t="shared" si="42"/>
        <v>#NUM!</v>
      </c>
      <c r="N220">
        <f t="shared" si="43"/>
        <v>0</v>
      </c>
      <c r="O220">
        <f t="shared" si="44"/>
        <v>0</v>
      </c>
      <c r="P220" t="e">
        <f t="shared" si="45"/>
        <v>#NUM!</v>
      </c>
    </row>
    <row r="221" spans="3:16" x14ac:dyDescent="0.3">
      <c r="C221">
        <f t="shared" si="36"/>
        <v>0</v>
      </c>
      <c r="D221">
        <v>1.78E-2</v>
      </c>
      <c r="E221">
        <v>2.5469999999999998E-3</v>
      </c>
      <c r="F221">
        <f t="shared" si="37"/>
        <v>0</v>
      </c>
      <c r="G221">
        <f t="shared" si="38"/>
        <v>0</v>
      </c>
      <c r="H221">
        <f t="shared" si="39"/>
        <v>0</v>
      </c>
      <c r="I221">
        <v>1</v>
      </c>
      <c r="J221" t="e">
        <f t="shared" si="40"/>
        <v>#NUM!</v>
      </c>
      <c r="K221">
        <f t="shared" si="41"/>
        <v>-1.2217251517752175</v>
      </c>
      <c r="L221">
        <v>1</v>
      </c>
      <c r="M221" t="e">
        <f t="shared" si="42"/>
        <v>#NUM!</v>
      </c>
      <c r="N221">
        <f t="shared" si="43"/>
        <v>0</v>
      </c>
      <c r="O221">
        <f t="shared" si="44"/>
        <v>0</v>
      </c>
      <c r="P221" t="e">
        <f t="shared" si="45"/>
        <v>#NUM!</v>
      </c>
    </row>
    <row r="222" spans="3:16" x14ac:dyDescent="0.3">
      <c r="C222">
        <f t="shared" si="36"/>
        <v>0</v>
      </c>
      <c r="D222">
        <v>1.78E-2</v>
      </c>
      <c r="E222">
        <v>2.5469999999999998E-3</v>
      </c>
      <c r="F222">
        <f t="shared" si="37"/>
        <v>0</v>
      </c>
      <c r="G222">
        <f t="shared" si="38"/>
        <v>0</v>
      </c>
      <c r="H222">
        <f t="shared" si="39"/>
        <v>0</v>
      </c>
      <c r="I222">
        <v>1</v>
      </c>
      <c r="J222" t="e">
        <f t="shared" si="40"/>
        <v>#NUM!</v>
      </c>
      <c r="K222">
        <f t="shared" si="41"/>
        <v>-1.2217251517752175</v>
      </c>
      <c r="L222">
        <v>1</v>
      </c>
      <c r="M222" t="e">
        <f t="shared" si="42"/>
        <v>#NUM!</v>
      </c>
      <c r="N222">
        <f t="shared" si="43"/>
        <v>0</v>
      </c>
      <c r="O222">
        <f t="shared" si="44"/>
        <v>0</v>
      </c>
      <c r="P222" t="e">
        <f t="shared" si="45"/>
        <v>#NUM!</v>
      </c>
    </row>
    <row r="223" spans="3:16" x14ac:dyDescent="0.3">
      <c r="C223">
        <f t="shared" si="36"/>
        <v>0</v>
      </c>
      <c r="D223">
        <v>1.78E-2</v>
      </c>
      <c r="E223">
        <v>2.5469999999999998E-3</v>
      </c>
      <c r="F223">
        <f t="shared" si="37"/>
        <v>0</v>
      </c>
      <c r="G223">
        <f t="shared" si="38"/>
        <v>0</v>
      </c>
      <c r="H223">
        <f t="shared" si="39"/>
        <v>0</v>
      </c>
      <c r="I223">
        <v>1</v>
      </c>
      <c r="J223" t="e">
        <f t="shared" si="40"/>
        <v>#NUM!</v>
      </c>
      <c r="K223">
        <f t="shared" si="41"/>
        <v>-1.2217251517752175</v>
      </c>
      <c r="L223">
        <v>1</v>
      </c>
      <c r="M223" t="e">
        <f t="shared" si="42"/>
        <v>#NUM!</v>
      </c>
      <c r="N223">
        <f t="shared" si="43"/>
        <v>0</v>
      </c>
      <c r="O223">
        <f t="shared" si="44"/>
        <v>0</v>
      </c>
      <c r="P223" t="e">
        <f t="shared" si="45"/>
        <v>#NUM!</v>
      </c>
    </row>
    <row r="224" spans="3:16" x14ac:dyDescent="0.3">
      <c r="C224">
        <f t="shared" si="36"/>
        <v>0</v>
      </c>
      <c r="D224">
        <v>1.78E-2</v>
      </c>
      <c r="E224">
        <v>2.5469999999999998E-3</v>
      </c>
      <c r="F224">
        <f t="shared" si="37"/>
        <v>0</v>
      </c>
      <c r="G224">
        <f t="shared" si="38"/>
        <v>0</v>
      </c>
      <c r="H224">
        <f t="shared" si="39"/>
        <v>0</v>
      </c>
      <c r="I224">
        <v>1</v>
      </c>
      <c r="J224" t="e">
        <f t="shared" si="40"/>
        <v>#NUM!</v>
      </c>
      <c r="K224">
        <f t="shared" si="41"/>
        <v>-1.2217251517752175</v>
      </c>
      <c r="L224">
        <v>1</v>
      </c>
      <c r="M224" t="e">
        <f t="shared" si="42"/>
        <v>#NUM!</v>
      </c>
      <c r="N224">
        <f t="shared" si="43"/>
        <v>0</v>
      </c>
      <c r="O224">
        <f t="shared" si="44"/>
        <v>0</v>
      </c>
      <c r="P224" t="e">
        <f t="shared" si="45"/>
        <v>#NUM!</v>
      </c>
    </row>
    <row r="225" spans="3:18" x14ac:dyDescent="0.3">
      <c r="C225">
        <f t="shared" si="36"/>
        <v>0</v>
      </c>
      <c r="D225">
        <v>1.78E-2</v>
      </c>
      <c r="E225">
        <v>2.5469999999999998E-3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v>1</v>
      </c>
      <c r="J225" t="e">
        <f t="shared" si="40"/>
        <v>#NUM!</v>
      </c>
      <c r="K225">
        <f t="shared" si="41"/>
        <v>-1.2217251517752175</v>
      </c>
      <c r="L225">
        <v>1</v>
      </c>
      <c r="M225" t="e">
        <f t="shared" si="42"/>
        <v>#NUM!</v>
      </c>
      <c r="N225">
        <f t="shared" si="43"/>
        <v>0</v>
      </c>
      <c r="O225">
        <f t="shared" si="44"/>
        <v>0</v>
      </c>
      <c r="P225" t="e">
        <f t="shared" si="45"/>
        <v>#NUM!</v>
      </c>
      <c r="R225" t="e">
        <f>O225+N225+M225</f>
        <v>#NUM!</v>
      </c>
    </row>
    <row r="226" spans="3:18" x14ac:dyDescent="0.3">
      <c r="C226">
        <f t="shared" si="36"/>
        <v>0</v>
      </c>
      <c r="D226">
        <v>1.78E-2</v>
      </c>
      <c r="E226">
        <v>2.5469999999999998E-3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3:18" x14ac:dyDescent="0.3">
      <c r="C227">
        <f t="shared" si="36"/>
        <v>0</v>
      </c>
      <c r="D227">
        <v>1.78E-2</v>
      </c>
      <c r="E227">
        <v>2.5469999999999998E-3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3:18" x14ac:dyDescent="0.3">
      <c r="C228">
        <f t="shared" si="36"/>
        <v>0</v>
      </c>
      <c r="D228">
        <v>1.78E-2</v>
      </c>
      <c r="E228">
        <v>2.5469999999999998E-3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3:18" x14ac:dyDescent="0.3">
      <c r="C229">
        <f t="shared" si="36"/>
        <v>0</v>
      </c>
      <c r="D229">
        <v>1.78E-2</v>
      </c>
      <c r="E229">
        <v>2.5469999999999998E-3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3:18" x14ac:dyDescent="0.3">
      <c r="C230">
        <f t="shared" si="36"/>
        <v>0</v>
      </c>
      <c r="D230">
        <v>1.78E-2</v>
      </c>
      <c r="E230">
        <v>2.5469999999999998E-3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3:18" x14ac:dyDescent="0.3">
      <c r="C231">
        <f t="shared" si="36"/>
        <v>0</v>
      </c>
      <c r="D231">
        <v>1.78E-2</v>
      </c>
      <c r="E231">
        <v>2.5469999999999998E-3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3:18" x14ac:dyDescent="0.3">
      <c r="C232">
        <f t="shared" si="36"/>
        <v>0</v>
      </c>
      <c r="D232">
        <v>1.78E-2</v>
      </c>
      <c r="E232">
        <v>2.5469999999999998E-3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3:18" x14ac:dyDescent="0.3">
      <c r="C233">
        <f t="shared" si="36"/>
        <v>0</v>
      </c>
      <c r="D233">
        <v>1.78E-2</v>
      </c>
      <c r="E233">
        <v>2.5469999999999998E-3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3:18" x14ac:dyDescent="0.3">
      <c r="C234">
        <f t="shared" si="36"/>
        <v>0</v>
      </c>
      <c r="D234">
        <v>1.78E-2</v>
      </c>
      <c r="E234">
        <v>2.5469999999999998E-3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3:18" x14ac:dyDescent="0.3">
      <c r="C235">
        <f t="shared" si="36"/>
        <v>0</v>
      </c>
      <c r="D235">
        <v>1.78E-2</v>
      </c>
      <c r="E235">
        <v>2.5469999999999998E-3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3:18" x14ac:dyDescent="0.3">
      <c r="C236">
        <f t="shared" si="36"/>
        <v>0</v>
      </c>
      <c r="D236">
        <v>1.78E-2</v>
      </c>
      <c r="E236">
        <v>2.5469999999999998E-3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3:18" x14ac:dyDescent="0.3">
      <c r="C237">
        <f t="shared" si="36"/>
        <v>0</v>
      </c>
      <c r="D237">
        <v>1.78E-2</v>
      </c>
      <c r="E237">
        <v>2.5469999999999998E-3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3:18" x14ac:dyDescent="0.3">
      <c r="C238">
        <f t="shared" si="36"/>
        <v>0</v>
      </c>
      <c r="D238">
        <v>1.78E-2</v>
      </c>
      <c r="E238">
        <v>2.5469999999999998E-3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3:18" x14ac:dyDescent="0.3">
      <c r="C239">
        <f t="shared" si="36"/>
        <v>0</v>
      </c>
      <c r="D239">
        <v>1.78E-2</v>
      </c>
      <c r="E239">
        <v>2.5469999999999998E-3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3:18" x14ac:dyDescent="0.3">
      <c r="C240">
        <f t="shared" si="36"/>
        <v>0</v>
      </c>
      <c r="D240">
        <v>1.78E-2</v>
      </c>
      <c r="E240">
        <v>2.5469999999999998E-3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1.78E-2</v>
      </c>
      <c r="E241">
        <v>2.5469999999999998E-3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1.78E-2</v>
      </c>
      <c r="E242">
        <v>2.5469999999999998E-3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1.78E-2</v>
      </c>
      <c r="E243">
        <v>2.5469999999999998E-3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1.78E-2</v>
      </c>
      <c r="E244">
        <v>2.5469999999999998E-3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1.78E-2</v>
      </c>
      <c r="E245">
        <v>2.5469999999999998E-3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1.78E-2</v>
      </c>
      <c r="E246">
        <v>2.5469999999999998E-3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1.78E-2</v>
      </c>
      <c r="E247">
        <v>2.5469999999999998E-3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1.78E-2</v>
      </c>
      <c r="E248">
        <v>2.5469999999999998E-3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1.78E-2</v>
      </c>
      <c r="E249">
        <v>2.5469999999999998E-3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1.78E-2</v>
      </c>
      <c r="E250">
        <v>2.5469999999999998E-3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1.78E-2</v>
      </c>
      <c r="E251">
        <v>2.5469999999999998E-3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1.78E-2</v>
      </c>
      <c r="E252">
        <v>2.5469999999999998E-3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1.78E-2</v>
      </c>
      <c r="E253">
        <v>2.5469999999999998E-3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1.78E-2</v>
      </c>
      <c r="E254">
        <v>2.5469999999999998E-3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1.78E-2</v>
      </c>
      <c r="E255">
        <v>2.5469999999999998E-3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1.78E-2</v>
      </c>
      <c r="E256">
        <v>2.5469999999999998E-3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1.78E-2</v>
      </c>
      <c r="E257">
        <v>2.5469999999999998E-3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1.78E-2</v>
      </c>
      <c r="E258">
        <v>2.5469999999999998E-3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1.78E-2</v>
      </c>
      <c r="E259">
        <v>2.5469999999999998E-3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23" si="46">A260*B260</f>
        <v>0</v>
      </c>
      <c r="D260">
        <v>1.78E-2</v>
      </c>
      <c r="E260">
        <v>2.5469999999999998E-3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23" si="55">-K260-M260-N260-O260</f>
        <v>#NUM!</v>
      </c>
    </row>
    <row r="261" spans="3:16" x14ac:dyDescent="0.3">
      <c r="C261">
        <f t="shared" si="46"/>
        <v>0</v>
      </c>
      <c r="D261">
        <v>1.78E-2</v>
      </c>
      <c r="E261">
        <v>2.5469999999999998E-3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1.78E-2</v>
      </c>
      <c r="E262">
        <v>2.5469999999999998E-3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1.78E-2</v>
      </c>
      <c r="E263">
        <v>2.5469999999999998E-3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1.78E-2</v>
      </c>
      <c r="E264">
        <v>2.5469999999999998E-3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1.78E-2</v>
      </c>
      <c r="E265">
        <v>2.5469999999999998E-3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1.78E-2</v>
      </c>
      <c r="E266">
        <v>2.5469999999999998E-3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1.78E-2</v>
      </c>
      <c r="E267">
        <v>2.5469999999999998E-3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1.78E-2</v>
      </c>
      <c r="E268">
        <v>2.5469999999999998E-3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1.78E-2</v>
      </c>
      <c r="E269">
        <v>2.5469999999999998E-3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1.78E-2</v>
      </c>
      <c r="E270">
        <v>2.5469999999999998E-3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1.78E-2</v>
      </c>
      <c r="E271">
        <v>2.5469999999999998E-3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1.78E-2</v>
      </c>
      <c r="E272">
        <v>2.5469999999999998E-3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1.78E-2</v>
      </c>
      <c r="E273">
        <v>2.5469999999999998E-3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1.78E-2</v>
      </c>
      <c r="E274">
        <v>2.5469999999999998E-3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1.78E-2</v>
      </c>
      <c r="E275">
        <v>2.5469999999999998E-3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1.78E-2</v>
      </c>
      <c r="E276">
        <v>2.5469999999999998E-3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1.78E-2</v>
      </c>
      <c r="E277">
        <v>2.5469999999999998E-3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1.78E-2</v>
      </c>
      <c r="E278">
        <v>2.5469999999999998E-3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1.78E-2</v>
      </c>
      <c r="E279">
        <v>2.5469999999999998E-3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1.78E-2</v>
      </c>
      <c r="E280">
        <v>2.5469999999999998E-3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1.78E-2</v>
      </c>
      <c r="E281">
        <v>2.5469999999999998E-3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1.78E-2</v>
      </c>
      <c r="E282">
        <v>2.5469999999999998E-3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1.78E-2</v>
      </c>
      <c r="E283">
        <v>2.5469999999999998E-3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1.78E-2</v>
      </c>
      <c r="E284">
        <v>2.5469999999999998E-3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1.78E-2</v>
      </c>
      <c r="E285">
        <v>2.5469999999999998E-3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1.78E-2</v>
      </c>
      <c r="E286">
        <v>2.5469999999999998E-3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1.78E-2</v>
      </c>
      <c r="E287">
        <v>2.5469999999999998E-3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1.78E-2</v>
      </c>
      <c r="E288">
        <v>2.5469999999999998E-3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1.78E-2</v>
      </c>
      <c r="E289">
        <v>2.5469999999999998E-3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1.78E-2</v>
      </c>
      <c r="E290">
        <v>2.5469999999999998E-3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1.78E-2</v>
      </c>
      <c r="E291">
        <v>2.5469999999999998E-3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1.78E-2</v>
      </c>
      <c r="E292">
        <v>2.5469999999999998E-3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1.78E-2</v>
      </c>
      <c r="E293">
        <v>2.5469999999999998E-3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1.78E-2</v>
      </c>
      <c r="E294">
        <v>2.5469999999999998E-3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1.78E-2</v>
      </c>
      <c r="E295">
        <v>2.5469999999999998E-3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1.78E-2</v>
      </c>
      <c r="E296">
        <v>2.5469999999999998E-3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1.78E-2</v>
      </c>
      <c r="E297">
        <v>2.5469999999999998E-3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1.78E-2</v>
      </c>
      <c r="E298">
        <v>2.5469999999999998E-3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1.78E-2</v>
      </c>
      <c r="E299">
        <v>2.5469999999999998E-3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1.78E-2</v>
      </c>
      <c r="E300">
        <v>2.5469999999999998E-3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1.78E-2</v>
      </c>
      <c r="E301">
        <v>2.5469999999999998E-3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1.78E-2</v>
      </c>
      <c r="E302">
        <v>2.5469999999999998E-3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1.78E-2</v>
      </c>
      <c r="E303">
        <v>2.5469999999999998E-3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57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57" si="28">K194-$I$1</f>
        <v>-0.65273690721887978</v>
      </c>
      <c r="N194">
        <v>2004.2352000000001</v>
      </c>
      <c r="O194">
        <f t="shared" ref="O194:O257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2026-06-15T04:23:05Z</dcterms:modified>
</cp:coreProperties>
</file>