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AB BM\30K\"/>
    </mc:Choice>
  </mc:AlternateContent>
  <xr:revisionPtr revIDLastSave="0" documentId="13_ncr:1_{51670FA7-7D2E-42B9-B57F-49EC85FA2D72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K223" i="3"/>
  <c r="I223" i="3"/>
  <c r="E223" i="3"/>
  <c r="B223" i="3"/>
  <c r="O222" i="3"/>
  <c r="K222" i="3"/>
  <c r="I222" i="3"/>
  <c r="E222" i="3"/>
  <c r="B222" i="3"/>
  <c r="O221" i="3"/>
  <c r="K221" i="3"/>
  <c r="I221" i="3"/>
  <c r="E221" i="3"/>
  <c r="B221" i="3"/>
  <c r="O220" i="3"/>
  <c r="K220" i="3"/>
  <c r="I220" i="3"/>
  <c r="E220" i="3"/>
  <c r="B220" i="3"/>
  <c r="O219" i="3"/>
  <c r="K219" i="3"/>
  <c r="I219" i="3"/>
  <c r="E219" i="3"/>
  <c r="B219" i="3"/>
  <c r="O218" i="3"/>
  <c r="K218" i="3"/>
  <c r="I218" i="3"/>
  <c r="E218" i="3"/>
  <c r="B218" i="3"/>
  <c r="O217" i="3"/>
  <c r="K217" i="3"/>
  <c r="I217" i="3"/>
  <c r="E217" i="3"/>
  <c r="B217" i="3"/>
  <c r="O216" i="3"/>
  <c r="K216" i="3"/>
  <c r="I216" i="3"/>
  <c r="E216" i="3"/>
  <c r="B216" i="3"/>
  <c r="O215" i="3"/>
  <c r="K215" i="3"/>
  <c r="I215" i="3"/>
  <c r="E215" i="3"/>
  <c r="B215" i="3"/>
  <c r="O214" i="3"/>
  <c r="K214" i="3"/>
  <c r="I214" i="3"/>
  <c r="B214" i="3"/>
  <c r="E214" i="3" s="1"/>
  <c r="O213" i="3"/>
  <c r="I213" i="3"/>
  <c r="K213" i="3" s="1"/>
  <c r="E213" i="3"/>
  <c r="B213" i="3"/>
  <c r="O212" i="3"/>
  <c r="K212" i="3"/>
  <c r="I212" i="3"/>
  <c r="B212" i="3"/>
  <c r="E212" i="3" s="1"/>
  <c r="O211" i="3"/>
  <c r="K211" i="3"/>
  <c r="I211" i="3"/>
  <c r="E211" i="3"/>
  <c r="B211" i="3"/>
  <c r="O210" i="3"/>
  <c r="K210" i="3"/>
  <c r="I210" i="3"/>
  <c r="E210" i="3"/>
  <c r="B210" i="3"/>
  <c r="O209" i="3"/>
  <c r="K209" i="3"/>
  <c r="I209" i="3"/>
  <c r="E209" i="3"/>
  <c r="B209" i="3"/>
  <c r="O208" i="3"/>
  <c r="K208" i="3"/>
  <c r="I208" i="3"/>
  <c r="E208" i="3"/>
  <c r="B208" i="3"/>
  <c r="O207" i="3"/>
  <c r="I207" i="3"/>
  <c r="K207" i="3" s="1"/>
  <c r="E207" i="3"/>
  <c r="B207" i="3"/>
  <c r="O206" i="3"/>
  <c r="K206" i="3"/>
  <c r="I206" i="3"/>
  <c r="B206" i="3"/>
  <c r="E206" i="3" s="1"/>
  <c r="O205" i="3"/>
  <c r="I205" i="3"/>
  <c r="K205" i="3" s="1"/>
  <c r="E205" i="3"/>
  <c r="B205" i="3"/>
  <c r="O204" i="3"/>
  <c r="K204" i="3"/>
  <c r="I204" i="3"/>
  <c r="B204" i="3"/>
  <c r="E204" i="3" s="1"/>
  <c r="O203" i="3"/>
  <c r="K203" i="3"/>
  <c r="I203" i="3"/>
  <c r="E203" i="3"/>
  <c r="B203" i="3"/>
  <c r="O202" i="3"/>
  <c r="K202" i="3"/>
  <c r="I202" i="3"/>
  <c r="E202" i="3"/>
  <c r="B202" i="3"/>
  <c r="O201" i="3"/>
  <c r="K201" i="3"/>
  <c r="I201" i="3"/>
  <c r="E201" i="3"/>
  <c r="B201" i="3"/>
  <c r="O200" i="3"/>
  <c r="K200" i="3"/>
  <c r="I200" i="3"/>
  <c r="E200" i="3"/>
  <c r="B200" i="3"/>
  <c r="O199" i="3"/>
  <c r="I199" i="3"/>
  <c r="K199" i="3" s="1"/>
  <c r="E199" i="3"/>
  <c r="B199" i="3"/>
  <c r="O198" i="3"/>
  <c r="K198" i="3"/>
  <c r="I198" i="3"/>
  <c r="B198" i="3"/>
  <c r="E198" i="3" s="1"/>
  <c r="O197" i="3"/>
  <c r="I197" i="3"/>
  <c r="K197" i="3" s="1"/>
  <c r="E197" i="3"/>
  <c r="B197" i="3"/>
  <c r="O196" i="3"/>
  <c r="K196" i="3"/>
  <c r="I196" i="3"/>
  <c r="B196" i="3"/>
  <c r="E196" i="3" s="1"/>
  <c r="O195" i="3"/>
  <c r="K195" i="3"/>
  <c r="I195" i="3"/>
  <c r="F195" i="3"/>
  <c r="B195" i="3"/>
  <c r="E195" i="3" s="1"/>
  <c r="O194" i="3"/>
  <c r="I194" i="3"/>
  <c r="F194" i="3"/>
  <c r="E194" i="3"/>
  <c r="B194" i="3"/>
  <c r="O193" i="3"/>
  <c r="I193" i="3"/>
  <c r="F193" i="3"/>
  <c r="K193" i="3" s="1"/>
  <c r="E193" i="3"/>
  <c r="B193" i="3"/>
  <c r="O192" i="3"/>
  <c r="K192" i="3"/>
  <c r="I192" i="3"/>
  <c r="F192" i="3"/>
  <c r="E192" i="3"/>
  <c r="B192" i="3"/>
  <c r="O191" i="3"/>
  <c r="K191" i="3"/>
  <c r="I191" i="3"/>
  <c r="F191" i="3"/>
  <c r="B191" i="3"/>
  <c r="E191" i="3" s="1"/>
  <c r="O190" i="3"/>
  <c r="I190" i="3"/>
  <c r="K190" i="3" s="1"/>
  <c r="F190" i="3"/>
  <c r="E190" i="3"/>
  <c r="B190" i="3"/>
  <c r="O189" i="3"/>
  <c r="I189" i="3"/>
  <c r="F189" i="3"/>
  <c r="K189" i="3" s="1"/>
  <c r="E189" i="3"/>
  <c r="B189" i="3"/>
  <c r="O188" i="3"/>
  <c r="K188" i="3"/>
  <c r="I188" i="3"/>
  <c r="F188" i="3"/>
  <c r="E188" i="3"/>
  <c r="B188" i="3"/>
  <c r="O187" i="3"/>
  <c r="I187" i="3"/>
  <c r="K187" i="3" s="1"/>
  <c r="F187" i="3"/>
  <c r="B187" i="3"/>
  <c r="E187" i="3" s="1"/>
  <c r="O186" i="3"/>
  <c r="I186" i="3"/>
  <c r="K186" i="3" s="1"/>
  <c r="F186" i="3"/>
  <c r="E186" i="3"/>
  <c r="B186" i="3"/>
  <c r="O185" i="3"/>
  <c r="I185" i="3"/>
  <c r="F185" i="3"/>
  <c r="K185" i="3" s="1"/>
  <c r="E185" i="3"/>
  <c r="B185" i="3"/>
  <c r="O184" i="3"/>
  <c r="K184" i="3"/>
  <c r="I184" i="3"/>
  <c r="F184" i="3"/>
  <c r="B184" i="3"/>
  <c r="E184" i="3" s="1"/>
  <c r="O183" i="3"/>
  <c r="I183" i="3"/>
  <c r="K183" i="3" s="1"/>
  <c r="F183" i="3"/>
  <c r="B183" i="3"/>
  <c r="E183" i="3" s="1"/>
  <c r="O182" i="3"/>
  <c r="I182" i="3"/>
  <c r="F182" i="3"/>
  <c r="E182" i="3"/>
  <c r="B182" i="3"/>
  <c r="O181" i="3"/>
  <c r="I181" i="3"/>
  <c r="F181" i="3"/>
  <c r="K181" i="3" s="1"/>
  <c r="E181" i="3"/>
  <c r="B181" i="3"/>
  <c r="O180" i="3"/>
  <c r="K180" i="3"/>
  <c r="I180" i="3"/>
  <c r="F180" i="3"/>
  <c r="B180" i="3"/>
  <c r="E180" i="3" s="1"/>
  <c r="O179" i="3"/>
  <c r="K179" i="3"/>
  <c r="I179" i="3"/>
  <c r="F179" i="3"/>
  <c r="B179" i="3"/>
  <c r="E179" i="3" s="1"/>
  <c r="O178" i="3"/>
  <c r="I178" i="3"/>
  <c r="F178" i="3"/>
  <c r="E178" i="3"/>
  <c r="B178" i="3"/>
  <c r="O177" i="3"/>
  <c r="I177" i="3"/>
  <c r="F177" i="3"/>
  <c r="K177" i="3" s="1"/>
  <c r="E177" i="3"/>
  <c r="B177" i="3"/>
  <c r="O176" i="3"/>
  <c r="K176" i="3"/>
  <c r="I176" i="3"/>
  <c r="F176" i="3"/>
  <c r="E176" i="3"/>
  <c r="B176" i="3"/>
  <c r="O175" i="3"/>
  <c r="K175" i="3"/>
  <c r="I175" i="3"/>
  <c r="F175" i="3"/>
  <c r="B175" i="3"/>
  <c r="E175" i="3" s="1"/>
  <c r="O174" i="3"/>
  <c r="I174" i="3"/>
  <c r="K174" i="3" s="1"/>
  <c r="F174" i="3"/>
  <c r="E174" i="3"/>
  <c r="B174" i="3"/>
  <c r="O173" i="3"/>
  <c r="I173" i="3"/>
  <c r="F173" i="3"/>
  <c r="K173" i="3" s="1"/>
  <c r="E173" i="3"/>
  <c r="B173" i="3"/>
  <c r="O172" i="3"/>
  <c r="K172" i="3"/>
  <c r="I172" i="3"/>
  <c r="F172" i="3"/>
  <c r="E172" i="3"/>
  <c r="B172" i="3"/>
  <c r="O171" i="3"/>
  <c r="I171" i="3"/>
  <c r="K171" i="3" s="1"/>
  <c r="F171" i="3"/>
  <c r="B171" i="3"/>
  <c r="E171" i="3" s="1"/>
  <c r="O170" i="3"/>
  <c r="I170" i="3"/>
  <c r="K170" i="3" s="1"/>
  <c r="F170" i="3"/>
  <c r="E170" i="3"/>
  <c r="B170" i="3"/>
  <c r="O169" i="3"/>
  <c r="I169" i="3"/>
  <c r="F169" i="3"/>
  <c r="K169" i="3" s="1"/>
  <c r="E169" i="3"/>
  <c r="B169" i="3"/>
  <c r="O168" i="3"/>
  <c r="K168" i="3"/>
  <c r="I168" i="3"/>
  <c r="F168" i="3"/>
  <c r="B168" i="3"/>
  <c r="E168" i="3" s="1"/>
  <c r="O167" i="3"/>
  <c r="I167" i="3"/>
  <c r="K167" i="3" s="1"/>
  <c r="F167" i="3"/>
  <c r="B167" i="3"/>
  <c r="E167" i="3" s="1"/>
  <c r="O166" i="3"/>
  <c r="I166" i="3"/>
  <c r="F166" i="3"/>
  <c r="E166" i="3"/>
  <c r="B166" i="3"/>
  <c r="O165" i="3"/>
  <c r="I165" i="3"/>
  <c r="F165" i="3"/>
  <c r="K165" i="3" s="1"/>
  <c r="E165" i="3"/>
  <c r="B165" i="3"/>
  <c r="O164" i="3"/>
  <c r="K164" i="3"/>
  <c r="I164" i="3"/>
  <c r="F164" i="3"/>
  <c r="B164" i="3"/>
  <c r="E164" i="3" s="1"/>
  <c r="O163" i="3"/>
  <c r="K163" i="3"/>
  <c r="I163" i="3"/>
  <c r="F163" i="3"/>
  <c r="B163" i="3"/>
  <c r="E163" i="3" s="1"/>
  <c r="O162" i="3"/>
  <c r="I162" i="3"/>
  <c r="F162" i="3"/>
  <c r="E162" i="3"/>
  <c r="B162" i="3"/>
  <c r="O161" i="3"/>
  <c r="I161" i="3"/>
  <c r="F161" i="3"/>
  <c r="K161" i="3" s="1"/>
  <c r="E161" i="3"/>
  <c r="B161" i="3"/>
  <c r="O160" i="3"/>
  <c r="K160" i="3"/>
  <c r="I160" i="3"/>
  <c r="F160" i="3"/>
  <c r="E160" i="3"/>
  <c r="B160" i="3"/>
  <c r="O159" i="3"/>
  <c r="K159" i="3"/>
  <c r="I159" i="3"/>
  <c r="F159" i="3"/>
  <c r="B159" i="3"/>
  <c r="E159" i="3" s="1"/>
  <c r="O158" i="3"/>
  <c r="I158" i="3"/>
  <c r="K158" i="3" s="1"/>
  <c r="F158" i="3"/>
  <c r="E158" i="3"/>
  <c r="B158" i="3"/>
  <c r="O157" i="3"/>
  <c r="I157" i="3"/>
  <c r="F157" i="3"/>
  <c r="K157" i="3" s="1"/>
  <c r="E157" i="3"/>
  <c r="B157" i="3"/>
  <c r="O156" i="3"/>
  <c r="K156" i="3"/>
  <c r="I156" i="3"/>
  <c r="F156" i="3"/>
  <c r="E156" i="3"/>
  <c r="B156" i="3"/>
  <c r="O155" i="3"/>
  <c r="I155" i="3"/>
  <c r="K155" i="3" s="1"/>
  <c r="F155" i="3"/>
  <c r="B155" i="3"/>
  <c r="E155" i="3" s="1"/>
  <c r="O154" i="3"/>
  <c r="I154" i="3"/>
  <c r="K154" i="3" s="1"/>
  <c r="F154" i="3"/>
  <c r="E154" i="3"/>
  <c r="B154" i="3"/>
  <c r="O153" i="3"/>
  <c r="I153" i="3"/>
  <c r="F153" i="3"/>
  <c r="K153" i="3" s="1"/>
  <c r="E153" i="3"/>
  <c r="B153" i="3"/>
  <c r="O152" i="3"/>
  <c r="I152" i="3"/>
  <c r="K152" i="3" s="1"/>
  <c r="F152" i="3"/>
  <c r="E152" i="3"/>
  <c r="B152" i="3"/>
  <c r="O151" i="3"/>
  <c r="K151" i="3"/>
  <c r="I151" i="3"/>
  <c r="F151" i="3"/>
  <c r="B151" i="3"/>
  <c r="E151" i="3" s="1"/>
  <c r="O150" i="3"/>
  <c r="I150" i="3"/>
  <c r="F150" i="3"/>
  <c r="E150" i="3"/>
  <c r="B150" i="3"/>
  <c r="O149" i="3"/>
  <c r="K149" i="3"/>
  <c r="I149" i="3"/>
  <c r="F149" i="3"/>
  <c r="B149" i="3"/>
  <c r="E149" i="3" s="1"/>
  <c r="O148" i="3"/>
  <c r="I148" i="3"/>
  <c r="K148" i="3" s="1"/>
  <c r="F148" i="3"/>
  <c r="E148" i="3"/>
  <c r="B148" i="3"/>
  <c r="O147" i="3"/>
  <c r="K147" i="3"/>
  <c r="I147" i="3"/>
  <c r="F147" i="3"/>
  <c r="B147" i="3"/>
  <c r="E147" i="3" s="1"/>
  <c r="O146" i="3"/>
  <c r="I146" i="3"/>
  <c r="F146" i="3"/>
  <c r="E146" i="3"/>
  <c r="B146" i="3"/>
  <c r="O145" i="3"/>
  <c r="K145" i="3"/>
  <c r="I145" i="3"/>
  <c r="F145" i="3"/>
  <c r="E145" i="3"/>
  <c r="B145" i="3"/>
  <c r="O144" i="3"/>
  <c r="K144" i="3"/>
  <c r="I144" i="3"/>
  <c r="F144" i="3"/>
  <c r="B144" i="3"/>
  <c r="E144" i="3" s="1"/>
  <c r="O143" i="3"/>
  <c r="I143" i="3"/>
  <c r="K143" i="3" s="1"/>
  <c r="F143" i="3"/>
  <c r="B143" i="3"/>
  <c r="E143" i="3" s="1"/>
  <c r="O142" i="3"/>
  <c r="I142" i="3"/>
  <c r="K142" i="3" s="1"/>
  <c r="F142" i="3"/>
  <c r="E142" i="3"/>
  <c r="B142" i="3"/>
  <c r="O141" i="3"/>
  <c r="I141" i="3"/>
  <c r="F141" i="3"/>
  <c r="K141" i="3" s="1"/>
  <c r="E141" i="3"/>
  <c r="B141" i="3"/>
  <c r="O140" i="3"/>
  <c r="K140" i="3"/>
  <c r="I140" i="3"/>
  <c r="F140" i="3"/>
  <c r="E140" i="3"/>
  <c r="B140" i="3"/>
  <c r="O139" i="3"/>
  <c r="I139" i="3"/>
  <c r="K139" i="3" s="1"/>
  <c r="F139" i="3"/>
  <c r="B139" i="3"/>
  <c r="E139" i="3" s="1"/>
  <c r="O138" i="3"/>
  <c r="I138" i="3"/>
  <c r="K138" i="3" s="1"/>
  <c r="F138" i="3"/>
  <c r="E138" i="3"/>
  <c r="B138" i="3"/>
  <c r="O137" i="3"/>
  <c r="I137" i="3"/>
  <c r="F137" i="3"/>
  <c r="K137" i="3" s="1"/>
  <c r="E137" i="3"/>
  <c r="B137" i="3"/>
  <c r="O136" i="3"/>
  <c r="K136" i="3"/>
  <c r="I136" i="3"/>
  <c r="F136" i="3"/>
  <c r="E136" i="3"/>
  <c r="B136" i="3"/>
  <c r="O135" i="3"/>
  <c r="K135" i="3"/>
  <c r="I135" i="3"/>
  <c r="F135" i="3"/>
  <c r="B135" i="3"/>
  <c r="E135" i="3" s="1"/>
  <c r="O134" i="3"/>
  <c r="I134" i="3"/>
  <c r="K134" i="3" s="1"/>
  <c r="F134" i="3"/>
  <c r="E134" i="3"/>
  <c r="B134" i="3"/>
  <c r="O133" i="3"/>
  <c r="K133" i="3"/>
  <c r="I133" i="3"/>
  <c r="F133" i="3"/>
  <c r="B133" i="3"/>
  <c r="E133" i="3" s="1"/>
  <c r="O132" i="3"/>
  <c r="I132" i="3"/>
  <c r="K132" i="3" s="1"/>
  <c r="F132" i="3"/>
  <c r="E132" i="3"/>
  <c r="B132" i="3"/>
  <c r="O131" i="3"/>
  <c r="K131" i="3"/>
  <c r="I131" i="3"/>
  <c r="F131" i="3"/>
  <c r="B131" i="3"/>
  <c r="E131" i="3" s="1"/>
  <c r="O130" i="3"/>
  <c r="I130" i="3"/>
  <c r="F130" i="3"/>
  <c r="E130" i="3"/>
  <c r="B130" i="3"/>
  <c r="O129" i="3"/>
  <c r="K129" i="3"/>
  <c r="I129" i="3"/>
  <c r="F129" i="3"/>
  <c r="E129" i="3"/>
  <c r="B129" i="3"/>
  <c r="O128" i="3"/>
  <c r="K128" i="3"/>
  <c r="I128" i="3"/>
  <c r="F128" i="3"/>
  <c r="B128" i="3"/>
  <c r="E128" i="3" s="1"/>
  <c r="O127" i="3"/>
  <c r="I127" i="3"/>
  <c r="K127" i="3" s="1"/>
  <c r="F127" i="3"/>
  <c r="B127" i="3"/>
  <c r="E127" i="3" s="1"/>
  <c r="O126" i="3"/>
  <c r="I126" i="3"/>
  <c r="K126" i="3" s="1"/>
  <c r="F126" i="3"/>
  <c r="E126" i="3"/>
  <c r="B126" i="3"/>
  <c r="O125" i="3"/>
  <c r="I125" i="3"/>
  <c r="F125" i="3"/>
  <c r="K125" i="3" s="1"/>
  <c r="E125" i="3"/>
  <c r="B125" i="3"/>
  <c r="O124" i="3"/>
  <c r="K124" i="3"/>
  <c r="I124" i="3"/>
  <c r="F124" i="3"/>
  <c r="E124" i="3"/>
  <c r="B124" i="3"/>
  <c r="O123" i="3"/>
  <c r="I123" i="3"/>
  <c r="K123" i="3" s="1"/>
  <c r="F123" i="3"/>
  <c r="B123" i="3"/>
  <c r="E123" i="3" s="1"/>
  <c r="O122" i="3"/>
  <c r="I122" i="3"/>
  <c r="K122" i="3" s="1"/>
  <c r="F122" i="3"/>
  <c r="E122" i="3"/>
  <c r="B122" i="3"/>
  <c r="O121" i="3"/>
  <c r="I121" i="3"/>
  <c r="F121" i="3"/>
  <c r="K121" i="3" s="1"/>
  <c r="E121" i="3"/>
  <c r="B121" i="3"/>
  <c r="O120" i="3"/>
  <c r="K120" i="3"/>
  <c r="I120" i="3"/>
  <c r="F120" i="3"/>
  <c r="E120" i="3"/>
  <c r="B120" i="3"/>
  <c r="O119" i="3"/>
  <c r="K119" i="3"/>
  <c r="I119" i="3"/>
  <c r="F119" i="3"/>
  <c r="B119" i="3"/>
  <c r="E119" i="3" s="1"/>
  <c r="O118" i="3"/>
  <c r="I118" i="3"/>
  <c r="K118" i="3" s="1"/>
  <c r="F118" i="3"/>
  <c r="E118" i="3"/>
  <c r="B118" i="3"/>
  <c r="O117" i="3"/>
  <c r="K117" i="3"/>
  <c r="I117" i="3"/>
  <c r="F117" i="3"/>
  <c r="B117" i="3"/>
  <c r="E117" i="3" s="1"/>
  <c r="O116" i="3"/>
  <c r="I116" i="3"/>
  <c r="K116" i="3" s="1"/>
  <c r="F116" i="3"/>
  <c r="E116" i="3"/>
  <c r="B116" i="3"/>
  <c r="O115" i="3"/>
  <c r="K115" i="3"/>
  <c r="I115" i="3"/>
  <c r="F115" i="3"/>
  <c r="B115" i="3"/>
  <c r="E115" i="3" s="1"/>
  <c r="O114" i="3"/>
  <c r="I114" i="3"/>
  <c r="F114" i="3"/>
  <c r="E114" i="3"/>
  <c r="B114" i="3"/>
  <c r="O113" i="3"/>
  <c r="K113" i="3"/>
  <c r="I113" i="3"/>
  <c r="F113" i="3"/>
  <c r="E113" i="3"/>
  <c r="B113" i="3"/>
  <c r="O112" i="3"/>
  <c r="K112" i="3"/>
  <c r="I112" i="3"/>
  <c r="F112" i="3"/>
  <c r="B112" i="3"/>
  <c r="E112" i="3" s="1"/>
  <c r="O111" i="3"/>
  <c r="I111" i="3"/>
  <c r="F111" i="3"/>
  <c r="K111" i="3" s="1"/>
  <c r="B111" i="3"/>
  <c r="E111" i="3" s="1"/>
  <c r="O110" i="3"/>
  <c r="I110" i="3"/>
  <c r="K110" i="3" s="1"/>
  <c r="F110" i="3"/>
  <c r="E110" i="3"/>
  <c r="B110" i="3"/>
  <c r="O109" i="3"/>
  <c r="I109" i="3"/>
  <c r="F109" i="3"/>
  <c r="K109" i="3" s="1"/>
  <c r="E109" i="3"/>
  <c r="B109" i="3"/>
  <c r="O108" i="3"/>
  <c r="K108" i="3"/>
  <c r="I108" i="3"/>
  <c r="F108" i="3"/>
  <c r="E108" i="3"/>
  <c r="B108" i="3"/>
  <c r="O107" i="3"/>
  <c r="I107" i="3"/>
  <c r="K107" i="3" s="1"/>
  <c r="F107" i="3"/>
  <c r="B107" i="3"/>
  <c r="E107" i="3" s="1"/>
  <c r="O106" i="3"/>
  <c r="I106" i="3"/>
  <c r="K106" i="3" s="1"/>
  <c r="F106" i="3"/>
  <c r="E106" i="3"/>
  <c r="B106" i="3"/>
  <c r="O105" i="3"/>
  <c r="I105" i="3"/>
  <c r="F105" i="3"/>
  <c r="K105" i="3" s="1"/>
  <c r="E105" i="3"/>
  <c r="B105" i="3"/>
  <c r="O104" i="3"/>
  <c r="K104" i="3"/>
  <c r="I104" i="3"/>
  <c r="F104" i="3"/>
  <c r="E104" i="3"/>
  <c r="B104" i="3"/>
  <c r="O103" i="3"/>
  <c r="K103" i="3"/>
  <c r="I103" i="3"/>
  <c r="F103" i="3"/>
  <c r="B103" i="3"/>
  <c r="E103" i="3" s="1"/>
  <c r="O102" i="3"/>
  <c r="I102" i="3"/>
  <c r="F102" i="3"/>
  <c r="K102" i="3" s="1"/>
  <c r="E102" i="3"/>
  <c r="B102" i="3"/>
  <c r="O101" i="3"/>
  <c r="K101" i="3"/>
  <c r="I101" i="3"/>
  <c r="F101" i="3"/>
  <c r="E101" i="3"/>
  <c r="B101" i="3"/>
  <c r="O100" i="3"/>
  <c r="K100" i="3"/>
  <c r="I100" i="3"/>
  <c r="F100" i="3"/>
  <c r="B100" i="3"/>
  <c r="E100" i="3" s="1"/>
  <c r="O99" i="3"/>
  <c r="I99" i="3"/>
  <c r="K99" i="3" s="1"/>
  <c r="F99" i="3"/>
  <c r="E99" i="3"/>
  <c r="B99" i="3"/>
  <c r="O98" i="3"/>
  <c r="I98" i="3"/>
  <c r="F98" i="3"/>
  <c r="K98" i="3" s="1"/>
  <c r="E98" i="3"/>
  <c r="B98" i="3"/>
  <c r="O97" i="3"/>
  <c r="K97" i="3"/>
  <c r="I97" i="3"/>
  <c r="F97" i="3"/>
  <c r="E97" i="3"/>
  <c r="B97" i="3"/>
  <c r="O96" i="3"/>
  <c r="K96" i="3"/>
  <c r="I96" i="3"/>
  <c r="F96" i="3"/>
  <c r="B96" i="3"/>
  <c r="E96" i="3" s="1"/>
  <c r="O95" i="3"/>
  <c r="I95" i="3"/>
  <c r="K95" i="3" s="1"/>
  <c r="F95" i="3"/>
  <c r="E95" i="3"/>
  <c r="B95" i="3"/>
  <c r="O94" i="3"/>
  <c r="I94" i="3"/>
  <c r="F94" i="3"/>
  <c r="K94" i="3" s="1"/>
  <c r="E94" i="3"/>
  <c r="B94" i="3"/>
  <c r="O93" i="3"/>
  <c r="K93" i="3"/>
  <c r="I93" i="3"/>
  <c r="F93" i="3"/>
  <c r="E93" i="3"/>
  <c r="B93" i="3"/>
  <c r="O92" i="3"/>
  <c r="K92" i="3"/>
  <c r="I92" i="3"/>
  <c r="F92" i="3"/>
  <c r="B92" i="3"/>
  <c r="E92" i="3" s="1"/>
  <c r="O91" i="3"/>
  <c r="I91" i="3"/>
  <c r="K91" i="3" s="1"/>
  <c r="F91" i="3"/>
  <c r="E91" i="3"/>
  <c r="B91" i="3"/>
  <c r="O90" i="3"/>
  <c r="I90" i="3"/>
  <c r="F90" i="3"/>
  <c r="K90" i="3" s="1"/>
  <c r="E90" i="3"/>
  <c r="B90" i="3"/>
  <c r="O89" i="3"/>
  <c r="K89" i="3"/>
  <c r="I89" i="3"/>
  <c r="F89" i="3"/>
  <c r="E89" i="3"/>
  <c r="B89" i="3"/>
  <c r="O88" i="3"/>
  <c r="K88" i="3"/>
  <c r="I88" i="3"/>
  <c r="F88" i="3"/>
  <c r="B88" i="3"/>
  <c r="E88" i="3" s="1"/>
  <c r="O87" i="3"/>
  <c r="I87" i="3"/>
  <c r="K87" i="3" s="1"/>
  <c r="F87" i="3"/>
  <c r="E87" i="3"/>
  <c r="B87" i="3"/>
  <c r="O86" i="3"/>
  <c r="I86" i="3"/>
  <c r="F86" i="3"/>
  <c r="K86" i="3" s="1"/>
  <c r="E86" i="3"/>
  <c r="B86" i="3"/>
  <c r="O85" i="3"/>
  <c r="K85" i="3"/>
  <c r="I85" i="3"/>
  <c r="F85" i="3"/>
  <c r="E85" i="3"/>
  <c r="B85" i="3"/>
  <c r="O84" i="3"/>
  <c r="K84" i="3"/>
  <c r="I84" i="3"/>
  <c r="F84" i="3"/>
  <c r="B84" i="3"/>
  <c r="E84" i="3" s="1"/>
  <c r="O83" i="3"/>
  <c r="I83" i="3"/>
  <c r="K83" i="3" s="1"/>
  <c r="F83" i="3"/>
  <c r="E83" i="3"/>
  <c r="B83" i="3"/>
  <c r="O82" i="3"/>
  <c r="I82" i="3"/>
  <c r="F82" i="3"/>
  <c r="K82" i="3" s="1"/>
  <c r="E82" i="3"/>
  <c r="B82" i="3"/>
  <c r="O81" i="3"/>
  <c r="K81" i="3"/>
  <c r="I81" i="3"/>
  <c r="F81" i="3"/>
  <c r="E81" i="3"/>
  <c r="B81" i="3"/>
  <c r="O80" i="3"/>
  <c r="K80" i="3"/>
  <c r="I80" i="3"/>
  <c r="F80" i="3"/>
  <c r="B80" i="3"/>
  <c r="E80" i="3" s="1"/>
  <c r="O79" i="3"/>
  <c r="I79" i="3"/>
  <c r="K79" i="3" s="1"/>
  <c r="F79" i="3"/>
  <c r="E79" i="3"/>
  <c r="B79" i="3"/>
  <c r="O78" i="3"/>
  <c r="I78" i="3"/>
  <c r="F78" i="3"/>
  <c r="K78" i="3" s="1"/>
  <c r="E78" i="3"/>
  <c r="B78" i="3"/>
  <c r="O77" i="3"/>
  <c r="K77" i="3"/>
  <c r="I77" i="3"/>
  <c r="F77" i="3"/>
  <c r="E77" i="3"/>
  <c r="B77" i="3"/>
  <c r="O76" i="3"/>
  <c r="K76" i="3"/>
  <c r="I76" i="3"/>
  <c r="F76" i="3"/>
  <c r="B76" i="3"/>
  <c r="E76" i="3" s="1"/>
  <c r="O75" i="3"/>
  <c r="I75" i="3"/>
  <c r="K75" i="3" s="1"/>
  <c r="F75" i="3"/>
  <c r="E75" i="3"/>
  <c r="B75" i="3"/>
  <c r="O74" i="3"/>
  <c r="I74" i="3"/>
  <c r="F74" i="3"/>
  <c r="K74" i="3" s="1"/>
  <c r="E74" i="3"/>
  <c r="B74" i="3"/>
  <c r="O73" i="3"/>
  <c r="K73" i="3"/>
  <c r="I73" i="3"/>
  <c r="F73" i="3"/>
  <c r="E73" i="3"/>
  <c r="B73" i="3"/>
  <c r="O72" i="3"/>
  <c r="K72" i="3"/>
  <c r="I72" i="3"/>
  <c r="F72" i="3"/>
  <c r="B72" i="3"/>
  <c r="E72" i="3" s="1"/>
  <c r="O71" i="3"/>
  <c r="I71" i="3"/>
  <c r="K71" i="3" s="1"/>
  <c r="F71" i="3"/>
  <c r="E71" i="3"/>
  <c r="B71" i="3"/>
  <c r="O70" i="3"/>
  <c r="I70" i="3"/>
  <c r="F70" i="3"/>
  <c r="K70" i="3" s="1"/>
  <c r="E70" i="3"/>
  <c r="B70" i="3"/>
  <c r="O69" i="3"/>
  <c r="K69" i="3"/>
  <c r="I69" i="3"/>
  <c r="F69" i="3"/>
  <c r="E69" i="3"/>
  <c r="B69" i="3"/>
  <c r="O68" i="3"/>
  <c r="K68" i="3"/>
  <c r="I68" i="3"/>
  <c r="F68" i="3"/>
  <c r="B68" i="3"/>
  <c r="E68" i="3" s="1"/>
  <c r="O67" i="3"/>
  <c r="I67" i="3"/>
  <c r="K67" i="3" s="1"/>
  <c r="F67" i="3"/>
  <c r="E67" i="3"/>
  <c r="B67" i="3"/>
  <c r="O66" i="3"/>
  <c r="I66" i="3"/>
  <c r="F66" i="3"/>
  <c r="K66" i="3" s="1"/>
  <c r="E66" i="3"/>
  <c r="B66" i="3"/>
  <c r="O65" i="3"/>
  <c r="K65" i="3"/>
  <c r="I65" i="3"/>
  <c r="F65" i="3"/>
  <c r="E65" i="3"/>
  <c r="B65" i="3"/>
  <c r="O64" i="3"/>
  <c r="K64" i="3"/>
  <c r="I64" i="3"/>
  <c r="F64" i="3"/>
  <c r="B64" i="3"/>
  <c r="E64" i="3" s="1"/>
  <c r="O63" i="3"/>
  <c r="I63" i="3"/>
  <c r="K63" i="3" s="1"/>
  <c r="F63" i="3"/>
  <c r="E63" i="3"/>
  <c r="B63" i="3"/>
  <c r="O62" i="3"/>
  <c r="I62" i="3"/>
  <c r="F62" i="3"/>
  <c r="K62" i="3" s="1"/>
  <c r="E62" i="3"/>
  <c r="B62" i="3"/>
  <c r="O61" i="3"/>
  <c r="K61" i="3"/>
  <c r="I61" i="3"/>
  <c r="F61" i="3"/>
  <c r="E61" i="3"/>
  <c r="B61" i="3"/>
  <c r="O60" i="3"/>
  <c r="K60" i="3"/>
  <c r="I60" i="3"/>
  <c r="F60" i="3"/>
  <c r="B60" i="3"/>
  <c r="E60" i="3" s="1"/>
  <c r="O59" i="3"/>
  <c r="I59" i="3"/>
  <c r="K59" i="3" s="1"/>
  <c r="F59" i="3"/>
  <c r="E59" i="3"/>
  <c r="B59" i="3"/>
  <c r="O58" i="3"/>
  <c r="I58" i="3"/>
  <c r="F58" i="3"/>
  <c r="K58" i="3" s="1"/>
  <c r="E58" i="3"/>
  <c r="B58" i="3"/>
  <c r="O57" i="3"/>
  <c r="K57" i="3"/>
  <c r="I57" i="3"/>
  <c r="F57" i="3"/>
  <c r="E57" i="3"/>
  <c r="B57" i="3"/>
  <c r="O56" i="3"/>
  <c r="K56" i="3"/>
  <c r="I56" i="3"/>
  <c r="F56" i="3"/>
  <c r="B56" i="3"/>
  <c r="E56" i="3" s="1"/>
  <c r="O55" i="3"/>
  <c r="I55" i="3"/>
  <c r="K55" i="3" s="1"/>
  <c r="F55" i="3"/>
  <c r="E55" i="3"/>
  <c r="B55" i="3"/>
  <c r="O54" i="3"/>
  <c r="I54" i="3"/>
  <c r="F54" i="3"/>
  <c r="K54" i="3" s="1"/>
  <c r="E54" i="3"/>
  <c r="B54" i="3"/>
  <c r="O53" i="3"/>
  <c r="K53" i="3"/>
  <c r="I53" i="3"/>
  <c r="F53" i="3"/>
  <c r="E53" i="3"/>
  <c r="B53" i="3"/>
  <c r="O52" i="3"/>
  <c r="K52" i="3"/>
  <c r="I52" i="3"/>
  <c r="F52" i="3"/>
  <c r="B52" i="3"/>
  <c r="E52" i="3" s="1"/>
  <c r="O51" i="3"/>
  <c r="I51" i="3"/>
  <c r="K51" i="3" s="1"/>
  <c r="F51" i="3"/>
  <c r="E51" i="3"/>
  <c r="B51" i="3"/>
  <c r="O50" i="3"/>
  <c r="I50" i="3"/>
  <c r="F50" i="3"/>
  <c r="K50" i="3" s="1"/>
  <c r="E50" i="3"/>
  <c r="B50" i="3"/>
  <c r="O49" i="3"/>
  <c r="K49" i="3"/>
  <c r="I49" i="3"/>
  <c r="F49" i="3"/>
  <c r="E49" i="3"/>
  <c r="B49" i="3"/>
  <c r="O48" i="3"/>
  <c r="K48" i="3"/>
  <c r="I48" i="3"/>
  <c r="F48" i="3"/>
  <c r="B48" i="3"/>
  <c r="E48" i="3" s="1"/>
  <c r="O47" i="3"/>
  <c r="I47" i="3"/>
  <c r="K47" i="3" s="1"/>
  <c r="F47" i="3"/>
  <c r="E47" i="3"/>
  <c r="B47" i="3"/>
  <c r="O46" i="3"/>
  <c r="I46" i="3"/>
  <c r="F46" i="3"/>
  <c r="K46" i="3" s="1"/>
  <c r="E46" i="3"/>
  <c r="B46" i="3"/>
  <c r="O45" i="3"/>
  <c r="K45" i="3"/>
  <c r="I45" i="3"/>
  <c r="F45" i="3"/>
  <c r="E45" i="3"/>
  <c r="B45" i="3"/>
  <c r="O44" i="3"/>
  <c r="K44" i="3"/>
  <c r="I44" i="3"/>
  <c r="F44" i="3"/>
  <c r="B44" i="3"/>
  <c r="E44" i="3" s="1"/>
  <c r="O43" i="3"/>
  <c r="I43" i="3"/>
  <c r="K43" i="3" s="1"/>
  <c r="F43" i="3"/>
  <c r="E43" i="3"/>
  <c r="B43" i="3"/>
  <c r="O42" i="3"/>
  <c r="I42" i="3"/>
  <c r="F42" i="3"/>
  <c r="K42" i="3" s="1"/>
  <c r="E42" i="3"/>
  <c r="B42" i="3"/>
  <c r="O41" i="3"/>
  <c r="K41" i="3"/>
  <c r="I41" i="3"/>
  <c r="F41" i="3"/>
  <c r="E41" i="3"/>
  <c r="B41" i="3"/>
  <c r="O40" i="3"/>
  <c r="K40" i="3"/>
  <c r="I40" i="3"/>
  <c r="F40" i="3"/>
  <c r="B40" i="3"/>
  <c r="E40" i="3" s="1"/>
  <c r="O39" i="3"/>
  <c r="I39" i="3"/>
  <c r="K39" i="3" s="1"/>
  <c r="F39" i="3"/>
  <c r="E39" i="3"/>
  <c r="B39" i="3"/>
  <c r="O38" i="3"/>
  <c r="I38" i="3"/>
  <c r="F38" i="3"/>
  <c r="K38" i="3" s="1"/>
  <c r="E38" i="3"/>
  <c r="B38" i="3"/>
  <c r="O37" i="3"/>
  <c r="K37" i="3"/>
  <c r="I37" i="3"/>
  <c r="F37" i="3"/>
  <c r="E37" i="3"/>
  <c r="B37" i="3"/>
  <c r="O36" i="3"/>
  <c r="K36" i="3"/>
  <c r="I36" i="3"/>
  <c r="F36" i="3"/>
  <c r="B36" i="3"/>
  <c r="E36" i="3" s="1"/>
  <c r="O35" i="3"/>
  <c r="I35" i="3"/>
  <c r="K35" i="3" s="1"/>
  <c r="F35" i="3"/>
  <c r="E35" i="3"/>
  <c r="B35" i="3"/>
  <c r="O34" i="3"/>
  <c r="I34" i="3"/>
  <c r="F34" i="3"/>
  <c r="K34" i="3" s="1"/>
  <c r="E34" i="3"/>
  <c r="B34" i="3"/>
  <c r="O33" i="3"/>
  <c r="K33" i="3"/>
  <c r="I33" i="3"/>
  <c r="F33" i="3"/>
  <c r="E33" i="3"/>
  <c r="B33" i="3"/>
  <c r="O32" i="3"/>
  <c r="K32" i="3"/>
  <c r="I32" i="3"/>
  <c r="F32" i="3"/>
  <c r="B32" i="3"/>
  <c r="E32" i="3" s="1"/>
  <c r="O31" i="3"/>
  <c r="I31" i="3"/>
  <c r="K31" i="3" s="1"/>
  <c r="F31" i="3"/>
  <c r="E31" i="3"/>
  <c r="B31" i="3"/>
  <c r="O30" i="3"/>
  <c r="I30" i="3"/>
  <c r="F30" i="3"/>
  <c r="K30" i="3" s="1"/>
  <c r="E30" i="3"/>
  <c r="B30" i="3"/>
  <c r="O29" i="3"/>
  <c r="K29" i="3"/>
  <c r="I29" i="3"/>
  <c r="F29" i="3"/>
  <c r="E29" i="3"/>
  <c r="B29" i="3"/>
  <c r="O28" i="3"/>
  <c r="K28" i="3"/>
  <c r="I28" i="3"/>
  <c r="F28" i="3"/>
  <c r="B28" i="3"/>
  <c r="E28" i="3" s="1"/>
  <c r="O27" i="3"/>
  <c r="I27" i="3"/>
  <c r="K27" i="3" s="1"/>
  <c r="F27" i="3"/>
  <c r="E27" i="3"/>
  <c r="B27" i="3"/>
  <c r="O26" i="3"/>
  <c r="I26" i="3"/>
  <c r="F26" i="3"/>
  <c r="K26" i="3" s="1"/>
  <c r="E26" i="3"/>
  <c r="B26" i="3"/>
  <c r="O25" i="3"/>
  <c r="K25" i="3"/>
  <c r="I25" i="3"/>
  <c r="F25" i="3"/>
  <c r="E25" i="3"/>
  <c r="B25" i="3"/>
  <c r="O24" i="3"/>
  <c r="K24" i="3"/>
  <c r="I24" i="3"/>
  <c r="F24" i="3"/>
  <c r="B24" i="3"/>
  <c r="E24" i="3" s="1"/>
  <c r="O23" i="3"/>
  <c r="I23" i="3"/>
  <c r="K23" i="3" s="1"/>
  <c r="F23" i="3"/>
  <c r="E23" i="3"/>
  <c r="B23" i="3"/>
  <c r="O22" i="3"/>
  <c r="I22" i="3"/>
  <c r="F22" i="3"/>
  <c r="K22" i="3" s="1"/>
  <c r="E22" i="3"/>
  <c r="B22" i="3"/>
  <c r="O21" i="3"/>
  <c r="K21" i="3"/>
  <c r="I21" i="3"/>
  <c r="F21" i="3"/>
  <c r="E21" i="3"/>
  <c r="B21" i="3"/>
  <c r="O20" i="3"/>
  <c r="I20" i="3"/>
  <c r="K20" i="3" s="1"/>
  <c r="F20" i="3"/>
  <c r="B20" i="3"/>
  <c r="E20" i="3" s="1"/>
  <c r="O19" i="3"/>
  <c r="I19" i="3"/>
  <c r="K19" i="3" s="1"/>
  <c r="F19" i="3"/>
  <c r="E19" i="3"/>
  <c r="B19" i="3"/>
  <c r="O18" i="3"/>
  <c r="I18" i="3"/>
  <c r="F18" i="3"/>
  <c r="K18" i="3" s="1"/>
  <c r="E18" i="3"/>
  <c r="B18" i="3"/>
  <c r="O17" i="3"/>
  <c r="K17" i="3"/>
  <c r="I17" i="3"/>
  <c r="F17" i="3"/>
  <c r="B17" i="3"/>
  <c r="E17" i="3" s="1"/>
  <c r="O16" i="3"/>
  <c r="K16" i="3"/>
  <c r="I16" i="3"/>
  <c r="F16" i="3"/>
  <c r="B16" i="3"/>
  <c r="E16" i="3" s="1"/>
  <c r="O15" i="3"/>
  <c r="I15" i="3"/>
  <c r="F15" i="3"/>
  <c r="E15" i="3"/>
  <c r="B15" i="3"/>
  <c r="O14" i="3"/>
  <c r="I14" i="3"/>
  <c r="F14" i="3"/>
  <c r="K14" i="3" s="1"/>
  <c r="E14" i="3"/>
  <c r="B14" i="3"/>
  <c r="O13" i="3"/>
  <c r="K13" i="3"/>
  <c r="I13" i="3"/>
  <c r="F13" i="3"/>
  <c r="E13" i="3"/>
  <c r="B13" i="3"/>
  <c r="O12" i="3"/>
  <c r="I12" i="3"/>
  <c r="K12" i="3" s="1"/>
  <c r="F12" i="3"/>
  <c r="B12" i="3"/>
  <c r="E12" i="3" s="1"/>
  <c r="O11" i="3"/>
  <c r="I11" i="3"/>
  <c r="K11" i="3" s="1"/>
  <c r="F11" i="3"/>
  <c r="E11" i="3"/>
  <c r="B11" i="3"/>
  <c r="O10" i="3"/>
  <c r="I10" i="3"/>
  <c r="F10" i="3"/>
  <c r="K10" i="3" s="1"/>
  <c r="E10" i="3"/>
  <c r="B10" i="3"/>
  <c r="O9" i="3"/>
  <c r="K9" i="3"/>
  <c r="I9" i="3"/>
  <c r="F9" i="3"/>
  <c r="B9" i="3"/>
  <c r="E9" i="3" s="1"/>
  <c r="O8" i="3"/>
  <c r="I8" i="3"/>
  <c r="F8" i="3"/>
  <c r="K8" i="3" s="1"/>
  <c r="B8" i="3"/>
  <c r="E8" i="3" s="1"/>
  <c r="O7" i="3"/>
  <c r="I7" i="3"/>
  <c r="K7" i="3" s="1"/>
  <c r="F7" i="3"/>
  <c r="E7" i="3"/>
  <c r="B7" i="3"/>
  <c r="O6" i="3"/>
  <c r="K6" i="3"/>
  <c r="I6" i="3"/>
  <c r="F6" i="3"/>
  <c r="B6" i="3"/>
  <c r="E6" i="3" s="1"/>
  <c r="O5" i="3"/>
  <c r="I5" i="3"/>
  <c r="K5" i="3" s="1"/>
  <c r="F5" i="3"/>
  <c r="E5" i="3"/>
  <c r="B5" i="3"/>
  <c r="O4" i="3"/>
  <c r="I4" i="3"/>
  <c r="K4" i="3" s="1"/>
  <c r="F4" i="3"/>
  <c r="B4" i="3"/>
  <c r="E4" i="3" s="1"/>
  <c r="O3" i="3"/>
  <c r="I3" i="3"/>
  <c r="F3" i="3"/>
  <c r="E3" i="3"/>
  <c r="B3" i="3"/>
  <c r="O2" i="3"/>
  <c r="K2" i="3"/>
  <c r="I2" i="3"/>
  <c r="F2" i="3"/>
  <c r="E2" i="3"/>
  <c r="B2" i="3"/>
  <c r="O303" i="1"/>
  <c r="N303" i="1"/>
  <c r="J303" i="1"/>
  <c r="M303" i="1" s="1"/>
  <c r="G303" i="1"/>
  <c r="F303" i="1"/>
  <c r="C303" i="1"/>
  <c r="H303" i="1" s="1"/>
  <c r="O302" i="1"/>
  <c r="N302" i="1"/>
  <c r="M302" i="1"/>
  <c r="J302" i="1"/>
  <c r="G302" i="1"/>
  <c r="F302" i="1"/>
  <c r="C302" i="1"/>
  <c r="H302" i="1" s="1"/>
  <c r="O301" i="1"/>
  <c r="N301" i="1"/>
  <c r="J301" i="1"/>
  <c r="M301" i="1" s="1"/>
  <c r="G301" i="1"/>
  <c r="F301" i="1"/>
  <c r="C301" i="1"/>
  <c r="H301" i="1" s="1"/>
  <c r="O300" i="1"/>
  <c r="N300" i="1"/>
  <c r="J300" i="1"/>
  <c r="M300" i="1" s="1"/>
  <c r="G300" i="1"/>
  <c r="F300" i="1"/>
  <c r="C300" i="1"/>
  <c r="H300" i="1" s="1"/>
  <c r="O299" i="1"/>
  <c r="N299" i="1"/>
  <c r="J299" i="1"/>
  <c r="M299" i="1" s="1"/>
  <c r="G299" i="1"/>
  <c r="F299" i="1"/>
  <c r="C299" i="1"/>
  <c r="H299" i="1" s="1"/>
  <c r="O298" i="1"/>
  <c r="N298" i="1"/>
  <c r="M298" i="1"/>
  <c r="J298" i="1"/>
  <c r="G298" i="1"/>
  <c r="F298" i="1"/>
  <c r="C298" i="1"/>
  <c r="H298" i="1" s="1"/>
  <c r="O297" i="1"/>
  <c r="N297" i="1"/>
  <c r="J297" i="1"/>
  <c r="M297" i="1" s="1"/>
  <c r="G297" i="1"/>
  <c r="F297" i="1"/>
  <c r="C297" i="1"/>
  <c r="H297" i="1" s="1"/>
  <c r="O296" i="1"/>
  <c r="N296" i="1"/>
  <c r="J296" i="1"/>
  <c r="M296" i="1" s="1"/>
  <c r="G296" i="1"/>
  <c r="F296" i="1"/>
  <c r="C296" i="1"/>
  <c r="H296" i="1" s="1"/>
  <c r="O295" i="1"/>
  <c r="N295" i="1"/>
  <c r="J295" i="1"/>
  <c r="M295" i="1" s="1"/>
  <c r="G295" i="1"/>
  <c r="F295" i="1"/>
  <c r="C295" i="1"/>
  <c r="H295" i="1" s="1"/>
  <c r="O294" i="1"/>
  <c r="N294" i="1"/>
  <c r="M294" i="1"/>
  <c r="J294" i="1"/>
  <c r="G294" i="1"/>
  <c r="F294" i="1"/>
  <c r="C294" i="1"/>
  <c r="H294" i="1" s="1"/>
  <c r="O293" i="1"/>
  <c r="N293" i="1"/>
  <c r="J293" i="1"/>
  <c r="M293" i="1" s="1"/>
  <c r="G293" i="1"/>
  <c r="F293" i="1"/>
  <c r="C293" i="1"/>
  <c r="H293" i="1" s="1"/>
  <c r="O292" i="1"/>
  <c r="N292" i="1"/>
  <c r="J292" i="1"/>
  <c r="M292" i="1" s="1"/>
  <c r="G292" i="1"/>
  <c r="F292" i="1"/>
  <c r="C292" i="1"/>
  <c r="H292" i="1" s="1"/>
  <c r="O291" i="1"/>
  <c r="N291" i="1"/>
  <c r="J291" i="1"/>
  <c r="M291" i="1" s="1"/>
  <c r="G291" i="1"/>
  <c r="F291" i="1"/>
  <c r="C291" i="1"/>
  <c r="H291" i="1" s="1"/>
  <c r="O290" i="1"/>
  <c r="N290" i="1"/>
  <c r="M290" i="1"/>
  <c r="J290" i="1"/>
  <c r="G290" i="1"/>
  <c r="F290" i="1"/>
  <c r="C290" i="1"/>
  <c r="H290" i="1" s="1"/>
  <c r="O289" i="1"/>
  <c r="N289" i="1"/>
  <c r="J289" i="1"/>
  <c r="M289" i="1" s="1"/>
  <c r="G289" i="1"/>
  <c r="F289" i="1"/>
  <c r="C289" i="1"/>
  <c r="H289" i="1" s="1"/>
  <c r="O288" i="1"/>
  <c r="N288" i="1"/>
  <c r="J288" i="1"/>
  <c r="M288" i="1" s="1"/>
  <c r="G288" i="1"/>
  <c r="F288" i="1"/>
  <c r="C288" i="1"/>
  <c r="H288" i="1" s="1"/>
  <c r="O287" i="1"/>
  <c r="N287" i="1"/>
  <c r="J287" i="1"/>
  <c r="M287" i="1" s="1"/>
  <c r="G287" i="1"/>
  <c r="F287" i="1"/>
  <c r="C287" i="1"/>
  <c r="H287" i="1" s="1"/>
  <c r="O286" i="1"/>
  <c r="N286" i="1"/>
  <c r="M286" i="1"/>
  <c r="J286" i="1"/>
  <c r="G286" i="1"/>
  <c r="F286" i="1"/>
  <c r="C286" i="1"/>
  <c r="H286" i="1" s="1"/>
  <c r="O285" i="1"/>
  <c r="N285" i="1"/>
  <c r="J285" i="1"/>
  <c r="M285" i="1" s="1"/>
  <c r="G285" i="1"/>
  <c r="F285" i="1"/>
  <c r="C285" i="1"/>
  <c r="H285" i="1" s="1"/>
  <c r="O284" i="1"/>
  <c r="N284" i="1"/>
  <c r="J284" i="1"/>
  <c r="M284" i="1" s="1"/>
  <c r="G284" i="1"/>
  <c r="F284" i="1"/>
  <c r="C284" i="1"/>
  <c r="H284" i="1" s="1"/>
  <c r="O283" i="1"/>
  <c r="N283" i="1"/>
  <c r="J283" i="1"/>
  <c r="M283" i="1" s="1"/>
  <c r="G283" i="1"/>
  <c r="F283" i="1"/>
  <c r="C283" i="1"/>
  <c r="H283" i="1" s="1"/>
  <c r="O282" i="1"/>
  <c r="N282" i="1"/>
  <c r="M282" i="1"/>
  <c r="J282" i="1"/>
  <c r="G282" i="1"/>
  <c r="F282" i="1"/>
  <c r="C282" i="1"/>
  <c r="H282" i="1" s="1"/>
  <c r="O281" i="1"/>
  <c r="N281" i="1"/>
  <c r="J281" i="1"/>
  <c r="M281" i="1" s="1"/>
  <c r="G281" i="1"/>
  <c r="F281" i="1"/>
  <c r="C281" i="1"/>
  <c r="H281" i="1" s="1"/>
  <c r="O280" i="1"/>
  <c r="N280" i="1"/>
  <c r="J280" i="1"/>
  <c r="M280" i="1" s="1"/>
  <c r="G280" i="1"/>
  <c r="F280" i="1"/>
  <c r="C280" i="1"/>
  <c r="H280" i="1" s="1"/>
  <c r="O279" i="1"/>
  <c r="N279" i="1"/>
  <c r="J279" i="1"/>
  <c r="M279" i="1" s="1"/>
  <c r="G279" i="1"/>
  <c r="F279" i="1"/>
  <c r="C279" i="1"/>
  <c r="H279" i="1" s="1"/>
  <c r="O278" i="1"/>
  <c r="N278" i="1"/>
  <c r="M278" i="1"/>
  <c r="J278" i="1"/>
  <c r="G278" i="1"/>
  <c r="F278" i="1"/>
  <c r="C278" i="1"/>
  <c r="H278" i="1" s="1"/>
  <c r="O277" i="1"/>
  <c r="N277" i="1"/>
  <c r="J277" i="1"/>
  <c r="M277" i="1" s="1"/>
  <c r="G277" i="1"/>
  <c r="F277" i="1"/>
  <c r="C277" i="1"/>
  <c r="H277" i="1" s="1"/>
  <c r="O276" i="1"/>
  <c r="N276" i="1"/>
  <c r="J276" i="1"/>
  <c r="M276" i="1" s="1"/>
  <c r="G276" i="1"/>
  <c r="F276" i="1"/>
  <c r="C276" i="1"/>
  <c r="H276" i="1" s="1"/>
  <c r="O275" i="1"/>
  <c r="N275" i="1"/>
  <c r="J275" i="1"/>
  <c r="M275" i="1" s="1"/>
  <c r="G275" i="1"/>
  <c r="F275" i="1"/>
  <c r="C275" i="1"/>
  <c r="H275" i="1" s="1"/>
  <c r="O274" i="1"/>
  <c r="N274" i="1"/>
  <c r="M274" i="1"/>
  <c r="J274" i="1"/>
  <c r="G274" i="1"/>
  <c r="F274" i="1"/>
  <c r="C274" i="1"/>
  <c r="H274" i="1" s="1"/>
  <c r="O273" i="1"/>
  <c r="N273" i="1"/>
  <c r="J273" i="1"/>
  <c r="M273" i="1" s="1"/>
  <c r="G273" i="1"/>
  <c r="F273" i="1"/>
  <c r="C273" i="1"/>
  <c r="H273" i="1" s="1"/>
  <c r="O272" i="1"/>
  <c r="N272" i="1"/>
  <c r="J272" i="1"/>
  <c r="M272" i="1" s="1"/>
  <c r="G272" i="1"/>
  <c r="F272" i="1"/>
  <c r="C272" i="1"/>
  <c r="H272" i="1" s="1"/>
  <c r="O271" i="1"/>
  <c r="N271" i="1"/>
  <c r="J271" i="1"/>
  <c r="M271" i="1" s="1"/>
  <c r="G271" i="1"/>
  <c r="F271" i="1"/>
  <c r="C271" i="1"/>
  <c r="H271" i="1" s="1"/>
  <c r="O270" i="1"/>
  <c r="N270" i="1"/>
  <c r="M270" i="1"/>
  <c r="J270" i="1"/>
  <c r="G270" i="1"/>
  <c r="F270" i="1"/>
  <c r="C270" i="1"/>
  <c r="H270" i="1" s="1"/>
  <c r="O269" i="1"/>
  <c r="N269" i="1"/>
  <c r="G269" i="1"/>
  <c r="F269" i="1"/>
  <c r="J269" i="1" s="1"/>
  <c r="M269" i="1" s="1"/>
  <c r="C269" i="1"/>
  <c r="H269" i="1" s="1"/>
  <c r="O268" i="1"/>
  <c r="N268" i="1"/>
  <c r="J268" i="1"/>
  <c r="M268" i="1" s="1"/>
  <c r="G268" i="1"/>
  <c r="F268" i="1"/>
  <c r="C268" i="1"/>
  <c r="H268" i="1" s="1"/>
  <c r="O267" i="1"/>
  <c r="N267" i="1"/>
  <c r="M267" i="1"/>
  <c r="G267" i="1"/>
  <c r="F267" i="1"/>
  <c r="J267" i="1" s="1"/>
  <c r="C267" i="1"/>
  <c r="H267" i="1" s="1"/>
  <c r="O266" i="1"/>
  <c r="N266" i="1"/>
  <c r="M266" i="1"/>
  <c r="J266" i="1"/>
  <c r="H266" i="1"/>
  <c r="G266" i="1"/>
  <c r="F266" i="1"/>
  <c r="C266" i="1"/>
  <c r="O265" i="1"/>
  <c r="N265" i="1"/>
  <c r="J265" i="1"/>
  <c r="M265" i="1" s="1"/>
  <c r="G265" i="1"/>
  <c r="F265" i="1"/>
  <c r="C265" i="1"/>
  <c r="H265" i="1" s="1"/>
  <c r="O264" i="1"/>
  <c r="N264" i="1"/>
  <c r="J264" i="1"/>
  <c r="M264" i="1" s="1"/>
  <c r="H264" i="1"/>
  <c r="G264" i="1"/>
  <c r="F264" i="1"/>
  <c r="C264" i="1"/>
  <c r="O263" i="1"/>
  <c r="N263" i="1"/>
  <c r="J263" i="1"/>
  <c r="M263" i="1" s="1"/>
  <c r="G263" i="1"/>
  <c r="F263" i="1"/>
  <c r="C263" i="1"/>
  <c r="H263" i="1" s="1"/>
  <c r="O262" i="1"/>
  <c r="N262" i="1"/>
  <c r="M262" i="1"/>
  <c r="J262" i="1"/>
  <c r="H262" i="1"/>
  <c r="G262" i="1"/>
  <c r="F262" i="1"/>
  <c r="C262" i="1"/>
  <c r="O261" i="1"/>
  <c r="N261" i="1"/>
  <c r="J261" i="1"/>
  <c r="M261" i="1" s="1"/>
  <c r="G261" i="1"/>
  <c r="F261" i="1"/>
  <c r="C261" i="1"/>
  <c r="H261" i="1" s="1"/>
  <c r="O260" i="1"/>
  <c r="N260" i="1"/>
  <c r="M260" i="1"/>
  <c r="J260" i="1"/>
  <c r="H260" i="1"/>
  <c r="G260" i="1"/>
  <c r="F260" i="1"/>
  <c r="C260" i="1"/>
  <c r="O259" i="1"/>
  <c r="N259" i="1"/>
  <c r="J259" i="1"/>
  <c r="M259" i="1" s="1"/>
  <c r="G259" i="1"/>
  <c r="F259" i="1"/>
  <c r="C259" i="1"/>
  <c r="H259" i="1" s="1"/>
  <c r="O258" i="1"/>
  <c r="N258" i="1"/>
  <c r="M258" i="1"/>
  <c r="J258" i="1"/>
  <c r="H258" i="1"/>
  <c r="G258" i="1"/>
  <c r="F258" i="1"/>
  <c r="C258" i="1"/>
  <c r="O257" i="1"/>
  <c r="N257" i="1"/>
  <c r="J257" i="1"/>
  <c r="M257" i="1" s="1"/>
  <c r="G257" i="1"/>
  <c r="F257" i="1"/>
  <c r="C257" i="1"/>
  <c r="H257" i="1" s="1"/>
  <c r="O256" i="1"/>
  <c r="N256" i="1"/>
  <c r="M256" i="1"/>
  <c r="J256" i="1"/>
  <c r="H256" i="1"/>
  <c r="G256" i="1"/>
  <c r="F256" i="1"/>
  <c r="C256" i="1"/>
  <c r="O255" i="1"/>
  <c r="N255" i="1"/>
  <c r="J255" i="1"/>
  <c r="M255" i="1" s="1"/>
  <c r="G255" i="1"/>
  <c r="F255" i="1"/>
  <c r="C255" i="1"/>
  <c r="H255" i="1" s="1"/>
  <c r="O254" i="1"/>
  <c r="N254" i="1"/>
  <c r="M254" i="1"/>
  <c r="J254" i="1"/>
  <c r="G254" i="1"/>
  <c r="F254" i="1"/>
  <c r="C254" i="1"/>
  <c r="H254" i="1" s="1"/>
  <c r="O253" i="1"/>
  <c r="N253" i="1"/>
  <c r="J253" i="1"/>
  <c r="M253" i="1" s="1"/>
  <c r="G253" i="1"/>
  <c r="F253" i="1"/>
  <c r="C253" i="1"/>
  <c r="H253" i="1" s="1"/>
  <c r="O252" i="1"/>
  <c r="N252" i="1"/>
  <c r="M252" i="1"/>
  <c r="J252" i="1"/>
  <c r="G252" i="1"/>
  <c r="F252" i="1"/>
  <c r="C252" i="1"/>
  <c r="H252" i="1" s="1"/>
  <c r="O251" i="1"/>
  <c r="N251" i="1"/>
  <c r="J251" i="1"/>
  <c r="M251" i="1" s="1"/>
  <c r="G251" i="1"/>
  <c r="F251" i="1"/>
  <c r="C251" i="1"/>
  <c r="H251" i="1" s="1"/>
  <c r="O250" i="1"/>
  <c r="N250" i="1"/>
  <c r="M250" i="1"/>
  <c r="J250" i="1"/>
  <c r="G250" i="1"/>
  <c r="F250" i="1"/>
  <c r="C250" i="1"/>
  <c r="H250" i="1" s="1"/>
  <c r="O249" i="1"/>
  <c r="N249" i="1"/>
  <c r="J249" i="1"/>
  <c r="M249" i="1" s="1"/>
  <c r="G249" i="1"/>
  <c r="F249" i="1"/>
  <c r="C249" i="1"/>
  <c r="H249" i="1" s="1"/>
  <c r="O248" i="1"/>
  <c r="N248" i="1"/>
  <c r="M248" i="1"/>
  <c r="J248" i="1"/>
  <c r="G248" i="1"/>
  <c r="F248" i="1"/>
  <c r="C248" i="1"/>
  <c r="H248" i="1" s="1"/>
  <c r="O247" i="1"/>
  <c r="N247" i="1"/>
  <c r="J247" i="1"/>
  <c r="M247" i="1" s="1"/>
  <c r="G247" i="1"/>
  <c r="F247" i="1"/>
  <c r="C247" i="1"/>
  <c r="H247" i="1" s="1"/>
  <c r="O246" i="1"/>
  <c r="N246" i="1"/>
  <c r="M246" i="1"/>
  <c r="J246" i="1"/>
  <c r="G246" i="1"/>
  <c r="F246" i="1"/>
  <c r="C246" i="1"/>
  <c r="H246" i="1" s="1"/>
  <c r="O245" i="1"/>
  <c r="N245" i="1"/>
  <c r="J245" i="1"/>
  <c r="M245" i="1" s="1"/>
  <c r="G245" i="1"/>
  <c r="F245" i="1"/>
  <c r="C245" i="1"/>
  <c r="H245" i="1" s="1"/>
  <c r="O244" i="1"/>
  <c r="N244" i="1"/>
  <c r="M244" i="1"/>
  <c r="J244" i="1"/>
  <c r="G244" i="1"/>
  <c r="F244" i="1"/>
  <c r="C244" i="1"/>
  <c r="H244" i="1" s="1"/>
  <c r="O243" i="1"/>
  <c r="N243" i="1"/>
  <c r="J243" i="1"/>
  <c r="M243" i="1" s="1"/>
  <c r="G243" i="1"/>
  <c r="F243" i="1"/>
  <c r="C243" i="1"/>
  <c r="H243" i="1" s="1"/>
  <c r="O242" i="1"/>
  <c r="N242" i="1"/>
  <c r="M242" i="1"/>
  <c r="J242" i="1"/>
  <c r="G242" i="1"/>
  <c r="F242" i="1"/>
  <c r="C242" i="1"/>
  <c r="H242" i="1" s="1"/>
  <c r="O241" i="1"/>
  <c r="N241" i="1"/>
  <c r="J241" i="1"/>
  <c r="M241" i="1" s="1"/>
  <c r="G241" i="1"/>
  <c r="F241" i="1"/>
  <c r="C241" i="1"/>
  <c r="H241" i="1" s="1"/>
  <c r="O240" i="1"/>
  <c r="N240" i="1"/>
  <c r="M240" i="1"/>
  <c r="J240" i="1"/>
  <c r="G240" i="1"/>
  <c r="F240" i="1"/>
  <c r="C240" i="1"/>
  <c r="H240" i="1" s="1"/>
  <c r="O239" i="1"/>
  <c r="N239" i="1"/>
  <c r="J239" i="1"/>
  <c r="M239" i="1" s="1"/>
  <c r="G239" i="1"/>
  <c r="F239" i="1"/>
  <c r="C239" i="1"/>
  <c r="H239" i="1" s="1"/>
  <c r="O238" i="1"/>
  <c r="N238" i="1"/>
  <c r="M238" i="1"/>
  <c r="J238" i="1"/>
  <c r="G238" i="1"/>
  <c r="F238" i="1"/>
  <c r="C238" i="1"/>
  <c r="H238" i="1" s="1"/>
  <c r="O237" i="1"/>
  <c r="N237" i="1"/>
  <c r="J237" i="1"/>
  <c r="M237" i="1" s="1"/>
  <c r="G237" i="1"/>
  <c r="F237" i="1"/>
  <c r="C237" i="1"/>
  <c r="H237" i="1" s="1"/>
  <c r="O236" i="1"/>
  <c r="N236" i="1"/>
  <c r="M236" i="1"/>
  <c r="J236" i="1"/>
  <c r="G236" i="1"/>
  <c r="F236" i="1"/>
  <c r="C236" i="1"/>
  <c r="H236" i="1" s="1"/>
  <c r="O235" i="1"/>
  <c r="N235" i="1"/>
  <c r="J235" i="1"/>
  <c r="M235" i="1" s="1"/>
  <c r="G235" i="1"/>
  <c r="F235" i="1"/>
  <c r="C235" i="1"/>
  <c r="H235" i="1" s="1"/>
  <c r="O234" i="1"/>
  <c r="N234" i="1"/>
  <c r="M234" i="1"/>
  <c r="J234" i="1"/>
  <c r="G234" i="1"/>
  <c r="F234" i="1"/>
  <c r="C234" i="1"/>
  <c r="H234" i="1" s="1"/>
  <c r="O233" i="1"/>
  <c r="N233" i="1"/>
  <c r="J233" i="1"/>
  <c r="M233" i="1" s="1"/>
  <c r="G233" i="1"/>
  <c r="F233" i="1"/>
  <c r="C233" i="1"/>
  <c r="H233" i="1" s="1"/>
  <c r="O232" i="1"/>
  <c r="N232" i="1"/>
  <c r="M232" i="1"/>
  <c r="J232" i="1"/>
  <c r="G232" i="1"/>
  <c r="F232" i="1"/>
  <c r="C232" i="1"/>
  <c r="H232" i="1" s="1"/>
  <c r="O231" i="1"/>
  <c r="N231" i="1"/>
  <c r="J231" i="1"/>
  <c r="M231" i="1" s="1"/>
  <c r="G231" i="1"/>
  <c r="F231" i="1"/>
  <c r="C231" i="1"/>
  <c r="H231" i="1" s="1"/>
  <c r="O230" i="1"/>
  <c r="N230" i="1"/>
  <c r="M230" i="1"/>
  <c r="J230" i="1"/>
  <c r="G230" i="1"/>
  <c r="F230" i="1"/>
  <c r="C230" i="1"/>
  <c r="H230" i="1" s="1"/>
  <c r="O229" i="1"/>
  <c r="N229" i="1"/>
  <c r="J229" i="1"/>
  <c r="M229" i="1" s="1"/>
  <c r="G229" i="1"/>
  <c r="F229" i="1"/>
  <c r="C229" i="1"/>
  <c r="H229" i="1" s="1"/>
  <c r="O228" i="1"/>
  <c r="N228" i="1"/>
  <c r="M228" i="1"/>
  <c r="J228" i="1"/>
  <c r="G228" i="1"/>
  <c r="F228" i="1"/>
  <c r="C228" i="1"/>
  <c r="H228" i="1" s="1"/>
  <c r="O227" i="1"/>
  <c r="N227" i="1"/>
  <c r="J227" i="1"/>
  <c r="M227" i="1" s="1"/>
  <c r="G227" i="1"/>
  <c r="F227" i="1"/>
  <c r="C227" i="1"/>
  <c r="H227" i="1" s="1"/>
  <c r="O226" i="1"/>
  <c r="N226" i="1"/>
  <c r="M226" i="1"/>
  <c r="J226" i="1"/>
  <c r="G226" i="1"/>
  <c r="F226" i="1"/>
  <c r="C226" i="1"/>
  <c r="H226" i="1" s="1"/>
  <c r="O225" i="1"/>
  <c r="N225" i="1"/>
  <c r="H225" i="1"/>
  <c r="G225" i="1"/>
  <c r="F225" i="1"/>
  <c r="J225" i="1" s="1"/>
  <c r="M225" i="1" s="1"/>
  <c r="C225" i="1"/>
  <c r="O224" i="1"/>
  <c r="N224" i="1"/>
  <c r="H224" i="1"/>
  <c r="G224" i="1"/>
  <c r="F224" i="1"/>
  <c r="J224" i="1" s="1"/>
  <c r="M224" i="1" s="1"/>
  <c r="C224" i="1"/>
  <c r="O223" i="1"/>
  <c r="N223" i="1"/>
  <c r="H223" i="1"/>
  <c r="G223" i="1"/>
  <c r="F223" i="1"/>
  <c r="J223" i="1" s="1"/>
  <c r="M223" i="1" s="1"/>
  <c r="C223" i="1"/>
  <c r="O222" i="1"/>
  <c r="N222" i="1"/>
  <c r="H222" i="1"/>
  <c r="G222" i="1"/>
  <c r="F222" i="1"/>
  <c r="J222" i="1" s="1"/>
  <c r="M222" i="1" s="1"/>
  <c r="C222" i="1"/>
  <c r="O221" i="1"/>
  <c r="N221" i="1"/>
  <c r="H221" i="1"/>
  <c r="G221" i="1"/>
  <c r="F221" i="1"/>
  <c r="J221" i="1" s="1"/>
  <c r="M221" i="1" s="1"/>
  <c r="C221" i="1"/>
  <c r="O220" i="1"/>
  <c r="N220" i="1"/>
  <c r="H220" i="1"/>
  <c r="G220" i="1"/>
  <c r="F220" i="1"/>
  <c r="J220" i="1" s="1"/>
  <c r="M220" i="1" s="1"/>
  <c r="C220" i="1"/>
  <c r="O219" i="1"/>
  <c r="N219" i="1"/>
  <c r="H219" i="1"/>
  <c r="G219" i="1"/>
  <c r="F219" i="1"/>
  <c r="J219" i="1" s="1"/>
  <c r="M219" i="1" s="1"/>
  <c r="C219" i="1"/>
  <c r="O218" i="1"/>
  <c r="N218" i="1"/>
  <c r="H218" i="1"/>
  <c r="G218" i="1"/>
  <c r="F218" i="1"/>
  <c r="J218" i="1" s="1"/>
  <c r="M218" i="1" s="1"/>
  <c r="C218" i="1"/>
  <c r="O217" i="1"/>
  <c r="N217" i="1"/>
  <c r="H217" i="1"/>
  <c r="G217" i="1"/>
  <c r="F217" i="1"/>
  <c r="J217" i="1" s="1"/>
  <c r="M217" i="1" s="1"/>
  <c r="C217" i="1"/>
  <c r="O216" i="1"/>
  <c r="N216" i="1"/>
  <c r="H216" i="1"/>
  <c r="G216" i="1"/>
  <c r="F216" i="1"/>
  <c r="J216" i="1" s="1"/>
  <c r="M216" i="1" s="1"/>
  <c r="C216" i="1"/>
  <c r="O215" i="1"/>
  <c r="N215" i="1"/>
  <c r="H215" i="1"/>
  <c r="G215" i="1"/>
  <c r="F215" i="1"/>
  <c r="J215" i="1" s="1"/>
  <c r="M215" i="1" s="1"/>
  <c r="C215" i="1"/>
  <c r="O214" i="1"/>
  <c r="N214" i="1"/>
  <c r="H214" i="1"/>
  <c r="G214" i="1"/>
  <c r="F214" i="1"/>
  <c r="J214" i="1" s="1"/>
  <c r="M214" i="1" s="1"/>
  <c r="C214" i="1"/>
  <c r="O213" i="1"/>
  <c r="N213" i="1"/>
  <c r="H213" i="1"/>
  <c r="G213" i="1"/>
  <c r="F213" i="1"/>
  <c r="J213" i="1" s="1"/>
  <c r="M213" i="1" s="1"/>
  <c r="C213" i="1"/>
  <c r="O212" i="1"/>
  <c r="N212" i="1"/>
  <c r="H212" i="1"/>
  <c r="G212" i="1"/>
  <c r="F212" i="1"/>
  <c r="J212" i="1" s="1"/>
  <c r="M212" i="1" s="1"/>
  <c r="C212" i="1"/>
  <c r="O211" i="1"/>
  <c r="N211" i="1"/>
  <c r="H211" i="1"/>
  <c r="G211" i="1"/>
  <c r="F211" i="1"/>
  <c r="J211" i="1" s="1"/>
  <c r="M211" i="1" s="1"/>
  <c r="C211" i="1"/>
  <c r="O210" i="1"/>
  <c r="N210" i="1"/>
  <c r="H210" i="1"/>
  <c r="G210" i="1"/>
  <c r="F210" i="1"/>
  <c r="J210" i="1" s="1"/>
  <c r="M210" i="1" s="1"/>
  <c r="C210" i="1"/>
  <c r="O209" i="1"/>
  <c r="N209" i="1"/>
  <c r="H209" i="1"/>
  <c r="G209" i="1"/>
  <c r="F209" i="1"/>
  <c r="J209" i="1" s="1"/>
  <c r="M209" i="1" s="1"/>
  <c r="C209" i="1"/>
  <c r="O208" i="1"/>
  <c r="N208" i="1"/>
  <c r="H208" i="1"/>
  <c r="G208" i="1"/>
  <c r="F208" i="1"/>
  <c r="J208" i="1" s="1"/>
  <c r="M208" i="1" s="1"/>
  <c r="C208" i="1"/>
  <c r="O207" i="1"/>
  <c r="N207" i="1"/>
  <c r="H207" i="1"/>
  <c r="G207" i="1"/>
  <c r="F207" i="1"/>
  <c r="J207" i="1" s="1"/>
  <c r="M207" i="1" s="1"/>
  <c r="C207" i="1"/>
  <c r="O206" i="1"/>
  <c r="N206" i="1"/>
  <c r="H206" i="1"/>
  <c r="G206" i="1"/>
  <c r="F206" i="1"/>
  <c r="J206" i="1" s="1"/>
  <c r="M206" i="1" s="1"/>
  <c r="C206" i="1"/>
  <c r="O205" i="1"/>
  <c r="N205" i="1"/>
  <c r="H205" i="1"/>
  <c r="G205" i="1"/>
  <c r="F205" i="1"/>
  <c r="J205" i="1" s="1"/>
  <c r="M205" i="1" s="1"/>
  <c r="C205" i="1"/>
  <c r="O204" i="1"/>
  <c r="N204" i="1"/>
  <c r="H204" i="1"/>
  <c r="G204" i="1"/>
  <c r="F204" i="1"/>
  <c r="J204" i="1" s="1"/>
  <c r="M204" i="1" s="1"/>
  <c r="C204" i="1"/>
  <c r="O203" i="1"/>
  <c r="N203" i="1"/>
  <c r="H203" i="1"/>
  <c r="G203" i="1"/>
  <c r="F203" i="1"/>
  <c r="J203" i="1" s="1"/>
  <c r="M203" i="1" s="1"/>
  <c r="C203" i="1"/>
  <c r="O202" i="1"/>
  <c r="N202" i="1"/>
  <c r="H202" i="1"/>
  <c r="G202" i="1"/>
  <c r="F202" i="1"/>
  <c r="J202" i="1" s="1"/>
  <c r="M202" i="1" s="1"/>
  <c r="C202" i="1"/>
  <c r="O201" i="1"/>
  <c r="N201" i="1"/>
  <c r="H201" i="1"/>
  <c r="G201" i="1"/>
  <c r="F201" i="1"/>
  <c r="J201" i="1" s="1"/>
  <c r="M201" i="1" s="1"/>
  <c r="C201" i="1"/>
  <c r="O200" i="1"/>
  <c r="N200" i="1"/>
  <c r="H200" i="1"/>
  <c r="G200" i="1"/>
  <c r="F200" i="1"/>
  <c r="J200" i="1" s="1"/>
  <c r="M200" i="1" s="1"/>
  <c r="C200" i="1"/>
  <c r="O199" i="1"/>
  <c r="N199" i="1"/>
  <c r="H199" i="1"/>
  <c r="G199" i="1"/>
  <c r="F199" i="1"/>
  <c r="J199" i="1" s="1"/>
  <c r="M199" i="1" s="1"/>
  <c r="C199" i="1"/>
  <c r="O198" i="1"/>
  <c r="N198" i="1"/>
  <c r="H198" i="1"/>
  <c r="G198" i="1"/>
  <c r="F198" i="1"/>
  <c r="J198" i="1" s="1"/>
  <c r="M198" i="1" s="1"/>
  <c r="C198" i="1"/>
  <c r="O197" i="1"/>
  <c r="N197" i="1"/>
  <c r="H197" i="1"/>
  <c r="G197" i="1"/>
  <c r="F197" i="1"/>
  <c r="J197" i="1" s="1"/>
  <c r="M197" i="1" s="1"/>
  <c r="C197" i="1"/>
  <c r="O196" i="1"/>
  <c r="N196" i="1"/>
  <c r="H196" i="1"/>
  <c r="G196" i="1"/>
  <c r="F196" i="1"/>
  <c r="J196" i="1" s="1"/>
  <c r="M196" i="1" s="1"/>
  <c r="C196" i="1"/>
  <c r="O195" i="1"/>
  <c r="N195" i="1"/>
  <c r="H195" i="1"/>
  <c r="G195" i="1"/>
  <c r="F195" i="1"/>
  <c r="J195" i="1" s="1"/>
  <c r="M195" i="1" s="1"/>
  <c r="C195" i="1"/>
  <c r="O194" i="1"/>
  <c r="N194" i="1"/>
  <c r="H194" i="1"/>
  <c r="G194" i="1"/>
  <c r="F194" i="1"/>
  <c r="J194" i="1" s="1"/>
  <c r="M194" i="1" s="1"/>
  <c r="C194" i="1"/>
  <c r="O193" i="1"/>
  <c r="N193" i="1"/>
  <c r="H193" i="1"/>
  <c r="G193" i="1"/>
  <c r="F193" i="1"/>
  <c r="J193" i="1" s="1"/>
  <c r="M193" i="1" s="1"/>
  <c r="C193" i="1"/>
  <c r="O192" i="1"/>
  <c r="N192" i="1"/>
  <c r="H192" i="1"/>
  <c r="G192" i="1"/>
  <c r="F192" i="1"/>
  <c r="J192" i="1" s="1"/>
  <c r="M192" i="1" s="1"/>
  <c r="C192" i="1"/>
  <c r="O191" i="1"/>
  <c r="N191" i="1"/>
  <c r="H191" i="1"/>
  <c r="G191" i="1"/>
  <c r="F191" i="1"/>
  <c r="J191" i="1" s="1"/>
  <c r="M191" i="1" s="1"/>
  <c r="C191" i="1"/>
  <c r="O190" i="1"/>
  <c r="N190" i="1"/>
  <c r="H190" i="1"/>
  <c r="G190" i="1"/>
  <c r="F190" i="1"/>
  <c r="J190" i="1" s="1"/>
  <c r="M190" i="1" s="1"/>
  <c r="C190" i="1"/>
  <c r="O189" i="1"/>
  <c r="N189" i="1"/>
  <c r="H189" i="1"/>
  <c r="G189" i="1"/>
  <c r="F189" i="1"/>
  <c r="J189" i="1" s="1"/>
  <c r="M189" i="1" s="1"/>
  <c r="C189" i="1"/>
  <c r="O188" i="1"/>
  <c r="N188" i="1"/>
  <c r="H188" i="1"/>
  <c r="G188" i="1"/>
  <c r="F188" i="1"/>
  <c r="J188" i="1" s="1"/>
  <c r="M188" i="1" s="1"/>
  <c r="C188" i="1"/>
  <c r="O187" i="1"/>
  <c r="N187" i="1"/>
  <c r="H187" i="1"/>
  <c r="G187" i="1"/>
  <c r="F187" i="1"/>
  <c r="J187" i="1" s="1"/>
  <c r="M187" i="1" s="1"/>
  <c r="C187" i="1"/>
  <c r="O186" i="1"/>
  <c r="N186" i="1"/>
  <c r="H186" i="1"/>
  <c r="G186" i="1"/>
  <c r="F186" i="1"/>
  <c r="J186" i="1" s="1"/>
  <c r="M186" i="1" s="1"/>
  <c r="C186" i="1"/>
  <c r="O185" i="1"/>
  <c r="N185" i="1"/>
  <c r="H185" i="1"/>
  <c r="G185" i="1"/>
  <c r="F185" i="1"/>
  <c r="J185" i="1" s="1"/>
  <c r="M185" i="1" s="1"/>
  <c r="C185" i="1"/>
  <c r="O184" i="1"/>
  <c r="N184" i="1"/>
  <c r="H184" i="1"/>
  <c r="G184" i="1"/>
  <c r="F184" i="1"/>
  <c r="J184" i="1" s="1"/>
  <c r="M184" i="1" s="1"/>
  <c r="C184" i="1"/>
  <c r="O183" i="1"/>
  <c r="N183" i="1"/>
  <c r="H183" i="1"/>
  <c r="G183" i="1"/>
  <c r="F183" i="1"/>
  <c r="J183" i="1" s="1"/>
  <c r="M183" i="1" s="1"/>
  <c r="C183" i="1"/>
  <c r="O182" i="1"/>
  <c r="N182" i="1"/>
  <c r="H182" i="1"/>
  <c r="G182" i="1"/>
  <c r="F182" i="1"/>
  <c r="J182" i="1" s="1"/>
  <c r="M182" i="1" s="1"/>
  <c r="C182" i="1"/>
  <c r="O181" i="1"/>
  <c r="N181" i="1"/>
  <c r="H181" i="1"/>
  <c r="G181" i="1"/>
  <c r="F181" i="1"/>
  <c r="J181" i="1" s="1"/>
  <c r="M181" i="1" s="1"/>
  <c r="C181" i="1"/>
  <c r="O180" i="1"/>
  <c r="N180" i="1"/>
  <c r="H180" i="1"/>
  <c r="G180" i="1"/>
  <c r="F180" i="1"/>
  <c r="J180" i="1" s="1"/>
  <c r="M180" i="1" s="1"/>
  <c r="C180" i="1"/>
  <c r="O179" i="1"/>
  <c r="N179" i="1"/>
  <c r="H179" i="1"/>
  <c r="G179" i="1"/>
  <c r="F179" i="1"/>
  <c r="J179" i="1" s="1"/>
  <c r="M179" i="1" s="1"/>
  <c r="C179" i="1"/>
  <c r="O178" i="1"/>
  <c r="N178" i="1"/>
  <c r="H178" i="1"/>
  <c r="G178" i="1"/>
  <c r="F178" i="1"/>
  <c r="J178" i="1" s="1"/>
  <c r="M178" i="1" s="1"/>
  <c r="C178" i="1"/>
  <c r="O177" i="1"/>
  <c r="N177" i="1"/>
  <c r="H177" i="1"/>
  <c r="G177" i="1"/>
  <c r="F177" i="1"/>
  <c r="J177" i="1" s="1"/>
  <c r="M177" i="1" s="1"/>
  <c r="C177" i="1"/>
  <c r="O176" i="1"/>
  <c r="N176" i="1"/>
  <c r="H176" i="1"/>
  <c r="G176" i="1"/>
  <c r="F176" i="1"/>
  <c r="J176" i="1" s="1"/>
  <c r="M176" i="1" s="1"/>
  <c r="C176" i="1"/>
  <c r="O175" i="1"/>
  <c r="N175" i="1"/>
  <c r="H175" i="1"/>
  <c r="G175" i="1"/>
  <c r="F175" i="1"/>
  <c r="J175" i="1" s="1"/>
  <c r="M175" i="1" s="1"/>
  <c r="C175" i="1"/>
  <c r="O174" i="1"/>
  <c r="N174" i="1"/>
  <c r="H174" i="1"/>
  <c r="G174" i="1"/>
  <c r="F174" i="1"/>
  <c r="J174" i="1" s="1"/>
  <c r="M174" i="1" s="1"/>
  <c r="C174" i="1"/>
  <c r="O173" i="1"/>
  <c r="N173" i="1"/>
  <c r="H173" i="1"/>
  <c r="G173" i="1"/>
  <c r="F173" i="1"/>
  <c r="J173" i="1" s="1"/>
  <c r="M173" i="1" s="1"/>
  <c r="C173" i="1"/>
  <c r="O172" i="1"/>
  <c r="N172" i="1"/>
  <c r="H172" i="1"/>
  <c r="G172" i="1"/>
  <c r="F172" i="1"/>
  <c r="J172" i="1" s="1"/>
  <c r="M172" i="1" s="1"/>
  <c r="C172" i="1"/>
  <c r="O171" i="1"/>
  <c r="N171" i="1"/>
  <c r="H171" i="1"/>
  <c r="G171" i="1"/>
  <c r="F171" i="1"/>
  <c r="J171" i="1" s="1"/>
  <c r="M171" i="1" s="1"/>
  <c r="C171" i="1"/>
  <c r="O170" i="1"/>
  <c r="N170" i="1"/>
  <c r="H170" i="1"/>
  <c r="G170" i="1"/>
  <c r="F170" i="1"/>
  <c r="J170" i="1" s="1"/>
  <c r="M170" i="1" s="1"/>
  <c r="C170" i="1"/>
  <c r="O169" i="1"/>
  <c r="N169" i="1"/>
  <c r="H169" i="1"/>
  <c r="G169" i="1"/>
  <c r="F169" i="1"/>
  <c r="J169" i="1" s="1"/>
  <c r="M169" i="1" s="1"/>
  <c r="C169" i="1"/>
  <c r="O168" i="1"/>
  <c r="N168" i="1"/>
  <c r="H168" i="1"/>
  <c r="G168" i="1"/>
  <c r="F168" i="1"/>
  <c r="J168" i="1" s="1"/>
  <c r="M168" i="1" s="1"/>
  <c r="C168" i="1"/>
  <c r="O167" i="1"/>
  <c r="N167" i="1"/>
  <c r="H167" i="1"/>
  <c r="G167" i="1"/>
  <c r="F167" i="1"/>
  <c r="J167" i="1" s="1"/>
  <c r="M167" i="1" s="1"/>
  <c r="C167" i="1"/>
  <c r="O166" i="1"/>
  <c r="N166" i="1"/>
  <c r="H166" i="1"/>
  <c r="G166" i="1"/>
  <c r="F166" i="1"/>
  <c r="J166" i="1" s="1"/>
  <c r="M166" i="1" s="1"/>
  <c r="C166" i="1"/>
  <c r="O165" i="1"/>
  <c r="N165" i="1"/>
  <c r="H165" i="1"/>
  <c r="G165" i="1"/>
  <c r="F165" i="1"/>
  <c r="J165" i="1" s="1"/>
  <c r="M165" i="1" s="1"/>
  <c r="C165" i="1"/>
  <c r="O164" i="1"/>
  <c r="N164" i="1"/>
  <c r="J164" i="1"/>
  <c r="M164" i="1" s="1"/>
  <c r="G164" i="1"/>
  <c r="F164" i="1"/>
  <c r="C164" i="1"/>
  <c r="H164" i="1" s="1"/>
  <c r="O163" i="1"/>
  <c r="N163" i="1"/>
  <c r="H163" i="1"/>
  <c r="G163" i="1"/>
  <c r="F163" i="1"/>
  <c r="J163" i="1" s="1"/>
  <c r="M163" i="1" s="1"/>
  <c r="C163" i="1"/>
  <c r="O162" i="1"/>
  <c r="N162" i="1"/>
  <c r="J162" i="1"/>
  <c r="M162" i="1" s="1"/>
  <c r="G162" i="1"/>
  <c r="F162" i="1"/>
  <c r="C162" i="1"/>
  <c r="H162" i="1" s="1"/>
  <c r="O161" i="1"/>
  <c r="N161" i="1"/>
  <c r="H161" i="1"/>
  <c r="G161" i="1"/>
  <c r="F161" i="1"/>
  <c r="J161" i="1" s="1"/>
  <c r="M161" i="1" s="1"/>
  <c r="C161" i="1"/>
  <c r="O160" i="1"/>
  <c r="N160" i="1"/>
  <c r="J160" i="1"/>
  <c r="M160" i="1" s="1"/>
  <c r="G160" i="1"/>
  <c r="F160" i="1"/>
  <c r="C160" i="1"/>
  <c r="H160" i="1" s="1"/>
  <c r="O159" i="1"/>
  <c r="N159" i="1"/>
  <c r="H159" i="1"/>
  <c r="G159" i="1"/>
  <c r="F159" i="1"/>
  <c r="J159" i="1" s="1"/>
  <c r="M159" i="1" s="1"/>
  <c r="C159" i="1"/>
  <c r="O158" i="1"/>
  <c r="N158" i="1"/>
  <c r="J158" i="1"/>
  <c r="M158" i="1" s="1"/>
  <c r="G158" i="1"/>
  <c r="F158" i="1"/>
  <c r="C158" i="1"/>
  <c r="H158" i="1" s="1"/>
  <c r="O157" i="1"/>
  <c r="N157" i="1"/>
  <c r="H157" i="1"/>
  <c r="G157" i="1"/>
  <c r="F157" i="1"/>
  <c r="J157" i="1" s="1"/>
  <c r="M157" i="1" s="1"/>
  <c r="C157" i="1"/>
  <c r="O156" i="1"/>
  <c r="N156" i="1"/>
  <c r="J156" i="1"/>
  <c r="M156" i="1" s="1"/>
  <c r="G156" i="1"/>
  <c r="F156" i="1"/>
  <c r="C156" i="1"/>
  <c r="H156" i="1" s="1"/>
  <c r="O155" i="1"/>
  <c r="N155" i="1"/>
  <c r="J155" i="1"/>
  <c r="M155" i="1" s="1"/>
  <c r="G155" i="1"/>
  <c r="F155" i="1"/>
  <c r="C155" i="1"/>
  <c r="H155" i="1" s="1"/>
  <c r="O154" i="1"/>
  <c r="N154" i="1"/>
  <c r="M154" i="1"/>
  <c r="J154" i="1"/>
  <c r="G154" i="1"/>
  <c r="F154" i="1"/>
  <c r="C154" i="1"/>
  <c r="H154" i="1" s="1"/>
  <c r="O153" i="1"/>
  <c r="N153" i="1"/>
  <c r="J153" i="1"/>
  <c r="M153" i="1" s="1"/>
  <c r="G153" i="1"/>
  <c r="F153" i="1"/>
  <c r="C153" i="1"/>
  <c r="H153" i="1" s="1"/>
  <c r="O152" i="1"/>
  <c r="N152" i="1"/>
  <c r="M152" i="1"/>
  <c r="J152" i="1"/>
  <c r="G152" i="1"/>
  <c r="F152" i="1"/>
  <c r="C152" i="1"/>
  <c r="H152" i="1" s="1"/>
  <c r="O151" i="1"/>
  <c r="N151" i="1"/>
  <c r="J151" i="1"/>
  <c r="M151" i="1" s="1"/>
  <c r="G151" i="1"/>
  <c r="F151" i="1"/>
  <c r="C151" i="1"/>
  <c r="H151" i="1" s="1"/>
  <c r="O150" i="1"/>
  <c r="N150" i="1"/>
  <c r="M150" i="1"/>
  <c r="J150" i="1"/>
  <c r="G150" i="1"/>
  <c r="F150" i="1"/>
  <c r="C150" i="1"/>
  <c r="H150" i="1" s="1"/>
  <c r="O149" i="1"/>
  <c r="N149" i="1"/>
  <c r="J149" i="1"/>
  <c r="M149" i="1" s="1"/>
  <c r="G149" i="1"/>
  <c r="F149" i="1"/>
  <c r="C149" i="1"/>
  <c r="H149" i="1" s="1"/>
  <c r="O148" i="1"/>
  <c r="N148" i="1"/>
  <c r="M148" i="1"/>
  <c r="J148" i="1"/>
  <c r="G148" i="1"/>
  <c r="F148" i="1"/>
  <c r="C148" i="1"/>
  <c r="H148" i="1" s="1"/>
  <c r="O147" i="1"/>
  <c r="N147" i="1"/>
  <c r="J147" i="1"/>
  <c r="M147" i="1" s="1"/>
  <c r="G147" i="1"/>
  <c r="F147" i="1"/>
  <c r="C147" i="1"/>
  <c r="H147" i="1" s="1"/>
  <c r="O146" i="1"/>
  <c r="N146" i="1"/>
  <c r="M146" i="1"/>
  <c r="J146" i="1"/>
  <c r="G146" i="1"/>
  <c r="F146" i="1"/>
  <c r="C146" i="1"/>
  <c r="H146" i="1" s="1"/>
  <c r="O145" i="1"/>
  <c r="N145" i="1"/>
  <c r="J145" i="1"/>
  <c r="M145" i="1" s="1"/>
  <c r="G145" i="1"/>
  <c r="F145" i="1"/>
  <c r="C145" i="1"/>
  <c r="H145" i="1" s="1"/>
  <c r="O144" i="1"/>
  <c r="N144" i="1"/>
  <c r="M144" i="1"/>
  <c r="J144" i="1"/>
  <c r="G144" i="1"/>
  <c r="F144" i="1"/>
  <c r="C144" i="1"/>
  <c r="H144" i="1" s="1"/>
  <c r="O143" i="1"/>
  <c r="N143" i="1"/>
  <c r="J143" i="1"/>
  <c r="M143" i="1" s="1"/>
  <c r="G143" i="1"/>
  <c r="F143" i="1"/>
  <c r="C143" i="1"/>
  <c r="H143" i="1" s="1"/>
  <c r="O142" i="1"/>
  <c r="N142" i="1"/>
  <c r="M142" i="1"/>
  <c r="J142" i="1"/>
  <c r="G142" i="1"/>
  <c r="F142" i="1"/>
  <c r="C142" i="1"/>
  <c r="H142" i="1" s="1"/>
  <c r="O141" i="1"/>
  <c r="N141" i="1"/>
  <c r="J141" i="1"/>
  <c r="M141" i="1" s="1"/>
  <c r="G141" i="1"/>
  <c r="F141" i="1"/>
  <c r="C141" i="1"/>
  <c r="H141" i="1" s="1"/>
  <c r="O140" i="1"/>
  <c r="N140" i="1"/>
  <c r="M140" i="1"/>
  <c r="J140" i="1"/>
  <c r="G140" i="1"/>
  <c r="F140" i="1"/>
  <c r="C140" i="1"/>
  <c r="H140" i="1" s="1"/>
  <c r="W139" i="1"/>
  <c r="O139" i="1"/>
  <c r="N139" i="1"/>
  <c r="H139" i="1"/>
  <c r="G139" i="1"/>
  <c r="F139" i="1"/>
  <c r="J139" i="1" s="1"/>
  <c r="M139" i="1" s="1"/>
  <c r="C139" i="1"/>
  <c r="W138" i="1"/>
  <c r="O138" i="1"/>
  <c r="N138" i="1"/>
  <c r="J138" i="1"/>
  <c r="M138" i="1" s="1"/>
  <c r="G138" i="1"/>
  <c r="F138" i="1"/>
  <c r="C138" i="1"/>
  <c r="H138" i="1" s="1"/>
  <c r="W137" i="1"/>
  <c r="O137" i="1"/>
  <c r="N137" i="1"/>
  <c r="H137" i="1"/>
  <c r="G137" i="1"/>
  <c r="F137" i="1"/>
  <c r="J137" i="1" s="1"/>
  <c r="M137" i="1" s="1"/>
  <c r="C137" i="1"/>
  <c r="W136" i="1"/>
  <c r="O136" i="1"/>
  <c r="N136" i="1"/>
  <c r="M136" i="1"/>
  <c r="J136" i="1"/>
  <c r="G136" i="1"/>
  <c r="F136" i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J134" i="1"/>
  <c r="M134" i="1" s="1"/>
  <c r="G134" i="1"/>
  <c r="F134" i="1"/>
  <c r="C134" i="1"/>
  <c r="H134" i="1" s="1"/>
  <c r="W133" i="1"/>
  <c r="O133" i="1"/>
  <c r="N133" i="1"/>
  <c r="H133" i="1"/>
  <c r="G133" i="1"/>
  <c r="F133" i="1"/>
  <c r="J133" i="1" s="1"/>
  <c r="M133" i="1" s="1"/>
  <c r="C133" i="1"/>
  <c r="W132" i="1"/>
  <c r="O132" i="1"/>
  <c r="N132" i="1"/>
  <c r="M132" i="1"/>
  <c r="J132" i="1"/>
  <c r="G132" i="1"/>
  <c r="F132" i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J130" i="1"/>
  <c r="M130" i="1" s="1"/>
  <c r="G130" i="1"/>
  <c r="F130" i="1"/>
  <c r="C130" i="1"/>
  <c r="H130" i="1" s="1"/>
  <c r="W129" i="1"/>
  <c r="O129" i="1"/>
  <c r="N129" i="1"/>
  <c r="H129" i="1"/>
  <c r="G129" i="1"/>
  <c r="F129" i="1"/>
  <c r="J129" i="1" s="1"/>
  <c r="M129" i="1" s="1"/>
  <c r="C129" i="1"/>
  <c r="W128" i="1"/>
  <c r="O128" i="1"/>
  <c r="N128" i="1"/>
  <c r="M128" i="1"/>
  <c r="J128" i="1"/>
  <c r="G128" i="1"/>
  <c r="F128" i="1"/>
  <c r="C128" i="1"/>
  <c r="H128" i="1" s="1"/>
  <c r="W127" i="1"/>
  <c r="O127" i="1"/>
  <c r="N127" i="1"/>
  <c r="H127" i="1"/>
  <c r="G127" i="1"/>
  <c r="F127" i="1"/>
  <c r="J127" i="1" s="1"/>
  <c r="M127" i="1" s="1"/>
  <c r="C127" i="1"/>
  <c r="W126" i="1"/>
  <c r="O126" i="1"/>
  <c r="N126" i="1"/>
  <c r="J126" i="1"/>
  <c r="M126" i="1" s="1"/>
  <c r="G126" i="1"/>
  <c r="F126" i="1"/>
  <c r="C126" i="1"/>
  <c r="H126" i="1" s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M124" i="1"/>
  <c r="J124" i="1"/>
  <c r="G124" i="1"/>
  <c r="F124" i="1"/>
  <c r="C124" i="1"/>
  <c r="H124" i="1" s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J122" i="1"/>
  <c r="M122" i="1" s="1"/>
  <c r="G122" i="1"/>
  <c r="F122" i="1"/>
  <c r="C122" i="1"/>
  <c r="H122" i="1" s="1"/>
  <c r="W121" i="1"/>
  <c r="O121" i="1"/>
  <c r="N121" i="1"/>
  <c r="H121" i="1"/>
  <c r="G121" i="1"/>
  <c r="F121" i="1"/>
  <c r="J121" i="1" s="1"/>
  <c r="M121" i="1" s="1"/>
  <c r="C121" i="1"/>
  <c r="W120" i="1"/>
  <c r="O120" i="1"/>
  <c r="N120" i="1"/>
  <c r="M120" i="1"/>
  <c r="J120" i="1"/>
  <c r="G120" i="1"/>
  <c r="F120" i="1"/>
  <c r="C120" i="1"/>
  <c r="H120" i="1" s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J118" i="1"/>
  <c r="M118" i="1" s="1"/>
  <c r="G118" i="1"/>
  <c r="F118" i="1"/>
  <c r="C118" i="1"/>
  <c r="H118" i="1" s="1"/>
  <c r="W117" i="1"/>
  <c r="O117" i="1"/>
  <c r="N117" i="1"/>
  <c r="H117" i="1"/>
  <c r="G117" i="1"/>
  <c r="F117" i="1"/>
  <c r="J117" i="1" s="1"/>
  <c r="M117" i="1" s="1"/>
  <c r="C117" i="1"/>
  <c r="W116" i="1"/>
  <c r="O116" i="1"/>
  <c r="N116" i="1"/>
  <c r="M116" i="1"/>
  <c r="J116" i="1"/>
  <c r="G116" i="1"/>
  <c r="F116" i="1"/>
  <c r="C116" i="1"/>
  <c r="H116" i="1" s="1"/>
  <c r="W115" i="1"/>
  <c r="O115" i="1"/>
  <c r="N115" i="1"/>
  <c r="H115" i="1"/>
  <c r="G115" i="1"/>
  <c r="F115" i="1"/>
  <c r="J115" i="1" s="1"/>
  <c r="M115" i="1" s="1"/>
  <c r="C115" i="1"/>
  <c r="W114" i="1"/>
  <c r="O114" i="1"/>
  <c r="N114" i="1"/>
  <c r="J114" i="1"/>
  <c r="M114" i="1" s="1"/>
  <c r="G114" i="1"/>
  <c r="F114" i="1"/>
  <c r="C114" i="1"/>
  <c r="H114" i="1" s="1"/>
  <c r="W113" i="1"/>
  <c r="O113" i="1"/>
  <c r="N113" i="1"/>
  <c r="H113" i="1"/>
  <c r="G113" i="1"/>
  <c r="F113" i="1"/>
  <c r="J113" i="1" s="1"/>
  <c r="M113" i="1" s="1"/>
  <c r="C113" i="1"/>
  <c r="W112" i="1"/>
  <c r="O112" i="1"/>
  <c r="N112" i="1"/>
  <c r="M112" i="1"/>
  <c r="J112" i="1"/>
  <c r="G112" i="1"/>
  <c r="F112" i="1"/>
  <c r="C112" i="1"/>
  <c r="H112" i="1" s="1"/>
  <c r="W111" i="1"/>
  <c r="O111" i="1"/>
  <c r="N111" i="1"/>
  <c r="H111" i="1"/>
  <c r="G111" i="1"/>
  <c r="F111" i="1"/>
  <c r="J111" i="1" s="1"/>
  <c r="M111" i="1" s="1"/>
  <c r="C111" i="1"/>
  <c r="W110" i="1"/>
  <c r="O110" i="1"/>
  <c r="N110" i="1"/>
  <c r="J110" i="1"/>
  <c r="M110" i="1" s="1"/>
  <c r="G110" i="1"/>
  <c r="F110" i="1"/>
  <c r="C110" i="1"/>
  <c r="H110" i="1" s="1"/>
  <c r="W109" i="1"/>
  <c r="O109" i="1"/>
  <c r="N109" i="1"/>
  <c r="H109" i="1"/>
  <c r="G109" i="1"/>
  <c r="F109" i="1"/>
  <c r="J109" i="1" s="1"/>
  <c r="M109" i="1" s="1"/>
  <c r="C109" i="1"/>
  <c r="W108" i="1"/>
  <c r="O108" i="1"/>
  <c r="N108" i="1"/>
  <c r="M108" i="1"/>
  <c r="J108" i="1"/>
  <c r="G108" i="1"/>
  <c r="F108" i="1"/>
  <c r="C108" i="1"/>
  <c r="H108" i="1" s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J106" i="1"/>
  <c r="M106" i="1" s="1"/>
  <c r="G106" i="1"/>
  <c r="F106" i="1"/>
  <c r="C106" i="1"/>
  <c r="H106" i="1" s="1"/>
  <c r="W105" i="1"/>
  <c r="O105" i="1"/>
  <c r="N105" i="1"/>
  <c r="H105" i="1"/>
  <c r="G105" i="1"/>
  <c r="F105" i="1"/>
  <c r="J105" i="1" s="1"/>
  <c r="M105" i="1" s="1"/>
  <c r="C105" i="1"/>
  <c r="W104" i="1"/>
  <c r="O104" i="1"/>
  <c r="N104" i="1"/>
  <c r="M104" i="1"/>
  <c r="J104" i="1"/>
  <c r="G104" i="1"/>
  <c r="F104" i="1"/>
  <c r="C104" i="1"/>
  <c r="H104" i="1" s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J102" i="1"/>
  <c r="M102" i="1" s="1"/>
  <c r="G102" i="1"/>
  <c r="F102" i="1"/>
  <c r="C102" i="1"/>
  <c r="H102" i="1" s="1"/>
  <c r="W101" i="1"/>
  <c r="O101" i="1"/>
  <c r="N101" i="1"/>
  <c r="H101" i="1"/>
  <c r="G101" i="1"/>
  <c r="F101" i="1"/>
  <c r="J101" i="1" s="1"/>
  <c r="M101" i="1" s="1"/>
  <c r="C101" i="1"/>
  <c r="W100" i="1"/>
  <c r="O100" i="1"/>
  <c r="N100" i="1"/>
  <c r="J100" i="1"/>
  <c r="M100" i="1" s="1"/>
  <c r="G100" i="1"/>
  <c r="F100" i="1"/>
  <c r="C100" i="1"/>
  <c r="H100" i="1" s="1"/>
  <c r="W99" i="1"/>
  <c r="O99" i="1"/>
  <c r="N99" i="1"/>
  <c r="H99" i="1"/>
  <c r="G99" i="1"/>
  <c r="F99" i="1"/>
  <c r="J99" i="1" s="1"/>
  <c r="M99" i="1" s="1"/>
  <c r="C99" i="1"/>
  <c r="W98" i="1"/>
  <c r="O98" i="1"/>
  <c r="N98" i="1"/>
  <c r="M98" i="1"/>
  <c r="J98" i="1"/>
  <c r="G98" i="1"/>
  <c r="F98" i="1"/>
  <c r="C98" i="1"/>
  <c r="H98" i="1" s="1"/>
  <c r="W97" i="1"/>
  <c r="O97" i="1"/>
  <c r="N97" i="1"/>
  <c r="H97" i="1"/>
  <c r="G97" i="1"/>
  <c r="F97" i="1"/>
  <c r="J97" i="1" s="1"/>
  <c r="M97" i="1" s="1"/>
  <c r="C97" i="1"/>
  <c r="W96" i="1"/>
  <c r="O96" i="1"/>
  <c r="N96" i="1"/>
  <c r="M96" i="1"/>
  <c r="J96" i="1"/>
  <c r="G96" i="1"/>
  <c r="F96" i="1"/>
  <c r="C96" i="1"/>
  <c r="H96" i="1" s="1"/>
  <c r="W95" i="1"/>
  <c r="O95" i="1"/>
  <c r="N95" i="1"/>
  <c r="H95" i="1"/>
  <c r="G95" i="1"/>
  <c r="F95" i="1"/>
  <c r="J95" i="1" s="1"/>
  <c r="M95" i="1" s="1"/>
  <c r="C95" i="1"/>
  <c r="W94" i="1"/>
  <c r="O94" i="1"/>
  <c r="N94" i="1"/>
  <c r="M94" i="1"/>
  <c r="J94" i="1"/>
  <c r="G94" i="1"/>
  <c r="F94" i="1"/>
  <c r="C94" i="1"/>
  <c r="H94" i="1" s="1"/>
  <c r="W93" i="1"/>
  <c r="O93" i="1"/>
  <c r="N93" i="1"/>
  <c r="H93" i="1"/>
  <c r="G93" i="1"/>
  <c r="F93" i="1"/>
  <c r="J93" i="1" s="1"/>
  <c r="M93" i="1" s="1"/>
  <c r="C93" i="1"/>
  <c r="W92" i="1"/>
  <c r="O92" i="1"/>
  <c r="N92" i="1"/>
  <c r="J92" i="1"/>
  <c r="M92" i="1" s="1"/>
  <c r="G92" i="1"/>
  <c r="F92" i="1"/>
  <c r="C92" i="1"/>
  <c r="H92" i="1" s="1"/>
  <c r="W91" i="1"/>
  <c r="O91" i="1"/>
  <c r="N91" i="1"/>
  <c r="H91" i="1"/>
  <c r="G91" i="1"/>
  <c r="F91" i="1"/>
  <c r="J91" i="1" s="1"/>
  <c r="M91" i="1" s="1"/>
  <c r="C91" i="1"/>
  <c r="W90" i="1"/>
  <c r="O90" i="1"/>
  <c r="N90" i="1"/>
  <c r="M90" i="1"/>
  <c r="J90" i="1"/>
  <c r="G90" i="1"/>
  <c r="F90" i="1"/>
  <c r="C90" i="1"/>
  <c r="H90" i="1" s="1"/>
  <c r="W89" i="1"/>
  <c r="O89" i="1"/>
  <c r="N89" i="1"/>
  <c r="H89" i="1"/>
  <c r="G89" i="1"/>
  <c r="F89" i="1"/>
  <c r="J89" i="1" s="1"/>
  <c r="M89" i="1" s="1"/>
  <c r="C89" i="1"/>
  <c r="W88" i="1"/>
  <c r="O88" i="1"/>
  <c r="N88" i="1"/>
  <c r="M88" i="1"/>
  <c r="J88" i="1"/>
  <c r="G88" i="1"/>
  <c r="F88" i="1"/>
  <c r="C88" i="1"/>
  <c r="H88" i="1" s="1"/>
  <c r="W87" i="1"/>
  <c r="O87" i="1"/>
  <c r="N87" i="1"/>
  <c r="H87" i="1"/>
  <c r="G87" i="1"/>
  <c r="F87" i="1"/>
  <c r="J87" i="1" s="1"/>
  <c r="M87" i="1" s="1"/>
  <c r="C87" i="1"/>
  <c r="W86" i="1"/>
  <c r="O86" i="1"/>
  <c r="N86" i="1"/>
  <c r="M86" i="1"/>
  <c r="J86" i="1"/>
  <c r="G86" i="1"/>
  <c r="F86" i="1"/>
  <c r="C86" i="1"/>
  <c r="H86" i="1" s="1"/>
  <c r="W85" i="1"/>
  <c r="O85" i="1"/>
  <c r="N85" i="1"/>
  <c r="H85" i="1"/>
  <c r="G85" i="1"/>
  <c r="F85" i="1"/>
  <c r="J85" i="1" s="1"/>
  <c r="M85" i="1" s="1"/>
  <c r="C85" i="1"/>
  <c r="W84" i="1"/>
  <c r="O84" i="1"/>
  <c r="N84" i="1"/>
  <c r="J84" i="1"/>
  <c r="M84" i="1" s="1"/>
  <c r="G84" i="1"/>
  <c r="F84" i="1"/>
  <c r="C84" i="1"/>
  <c r="H84" i="1" s="1"/>
  <c r="W83" i="1"/>
  <c r="O83" i="1"/>
  <c r="N83" i="1"/>
  <c r="H83" i="1"/>
  <c r="G83" i="1"/>
  <c r="F83" i="1"/>
  <c r="J83" i="1" s="1"/>
  <c r="M83" i="1" s="1"/>
  <c r="C83" i="1"/>
  <c r="W82" i="1"/>
  <c r="O82" i="1"/>
  <c r="N82" i="1"/>
  <c r="M82" i="1"/>
  <c r="J82" i="1"/>
  <c r="G82" i="1"/>
  <c r="F82" i="1"/>
  <c r="C82" i="1"/>
  <c r="H82" i="1" s="1"/>
  <c r="W81" i="1"/>
  <c r="O81" i="1"/>
  <c r="N81" i="1"/>
  <c r="H81" i="1"/>
  <c r="G81" i="1"/>
  <c r="F81" i="1"/>
  <c r="J81" i="1" s="1"/>
  <c r="M81" i="1" s="1"/>
  <c r="C81" i="1"/>
  <c r="W80" i="1"/>
  <c r="O80" i="1"/>
  <c r="N80" i="1"/>
  <c r="M80" i="1"/>
  <c r="J80" i="1"/>
  <c r="G80" i="1"/>
  <c r="F80" i="1"/>
  <c r="C80" i="1"/>
  <c r="H80" i="1" s="1"/>
  <c r="W79" i="1"/>
  <c r="O79" i="1"/>
  <c r="N79" i="1"/>
  <c r="H79" i="1"/>
  <c r="G79" i="1"/>
  <c r="F79" i="1"/>
  <c r="J79" i="1" s="1"/>
  <c r="M79" i="1" s="1"/>
  <c r="C79" i="1"/>
  <c r="W78" i="1"/>
  <c r="O78" i="1"/>
  <c r="N78" i="1"/>
  <c r="M78" i="1"/>
  <c r="J78" i="1"/>
  <c r="G78" i="1"/>
  <c r="F78" i="1"/>
  <c r="C78" i="1"/>
  <c r="H78" i="1" s="1"/>
  <c r="W77" i="1"/>
  <c r="O77" i="1"/>
  <c r="N77" i="1"/>
  <c r="H77" i="1"/>
  <c r="G77" i="1"/>
  <c r="F77" i="1"/>
  <c r="J77" i="1" s="1"/>
  <c r="M77" i="1" s="1"/>
  <c r="C77" i="1"/>
  <c r="W76" i="1"/>
  <c r="O76" i="1"/>
  <c r="N76" i="1"/>
  <c r="J76" i="1"/>
  <c r="M76" i="1" s="1"/>
  <c r="G76" i="1"/>
  <c r="F76" i="1"/>
  <c r="C76" i="1"/>
  <c r="H76" i="1" s="1"/>
  <c r="W75" i="1"/>
  <c r="O75" i="1"/>
  <c r="N75" i="1"/>
  <c r="H75" i="1"/>
  <c r="G75" i="1"/>
  <c r="F75" i="1"/>
  <c r="J75" i="1" s="1"/>
  <c r="M75" i="1" s="1"/>
  <c r="C75" i="1"/>
  <c r="W74" i="1"/>
  <c r="O74" i="1"/>
  <c r="N74" i="1"/>
  <c r="M74" i="1"/>
  <c r="J74" i="1"/>
  <c r="G74" i="1"/>
  <c r="F74" i="1"/>
  <c r="C74" i="1"/>
  <c r="H74" i="1" s="1"/>
  <c r="W73" i="1"/>
  <c r="O73" i="1"/>
  <c r="N73" i="1"/>
  <c r="H73" i="1"/>
  <c r="G73" i="1"/>
  <c r="F73" i="1"/>
  <c r="J73" i="1" s="1"/>
  <c r="M73" i="1" s="1"/>
  <c r="C73" i="1"/>
  <c r="W72" i="1"/>
  <c r="O72" i="1"/>
  <c r="N72" i="1"/>
  <c r="M72" i="1"/>
  <c r="J72" i="1"/>
  <c r="G72" i="1"/>
  <c r="F72" i="1"/>
  <c r="C72" i="1"/>
  <c r="H72" i="1" s="1"/>
  <c r="W71" i="1"/>
  <c r="O71" i="1"/>
  <c r="N71" i="1"/>
  <c r="H71" i="1"/>
  <c r="G71" i="1"/>
  <c r="F71" i="1"/>
  <c r="J71" i="1" s="1"/>
  <c r="M71" i="1" s="1"/>
  <c r="C71" i="1"/>
  <c r="W70" i="1"/>
  <c r="O70" i="1"/>
  <c r="N70" i="1"/>
  <c r="M70" i="1"/>
  <c r="J70" i="1"/>
  <c r="G70" i="1"/>
  <c r="F70" i="1"/>
  <c r="C70" i="1"/>
  <c r="H70" i="1" s="1"/>
  <c r="W69" i="1"/>
  <c r="O69" i="1"/>
  <c r="N69" i="1"/>
  <c r="H69" i="1"/>
  <c r="G69" i="1"/>
  <c r="F69" i="1"/>
  <c r="J69" i="1" s="1"/>
  <c r="M69" i="1" s="1"/>
  <c r="C69" i="1"/>
  <c r="W68" i="1"/>
  <c r="O68" i="1"/>
  <c r="N68" i="1"/>
  <c r="J68" i="1"/>
  <c r="M68" i="1" s="1"/>
  <c r="G68" i="1"/>
  <c r="F68" i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M66" i="1"/>
  <c r="J66" i="1"/>
  <c r="G66" i="1"/>
  <c r="F66" i="1"/>
  <c r="C66" i="1"/>
  <c r="H66" i="1" s="1"/>
  <c r="W65" i="1"/>
  <c r="O65" i="1"/>
  <c r="N65" i="1"/>
  <c r="H65" i="1"/>
  <c r="G65" i="1"/>
  <c r="F65" i="1"/>
  <c r="J65" i="1" s="1"/>
  <c r="M65" i="1" s="1"/>
  <c r="C65" i="1"/>
  <c r="W64" i="1"/>
  <c r="O64" i="1"/>
  <c r="N64" i="1"/>
  <c r="M64" i="1"/>
  <c r="J64" i="1"/>
  <c r="G64" i="1"/>
  <c r="F64" i="1"/>
  <c r="C64" i="1"/>
  <c r="H64" i="1" s="1"/>
  <c r="W63" i="1"/>
  <c r="O63" i="1"/>
  <c r="N63" i="1"/>
  <c r="H63" i="1"/>
  <c r="G63" i="1"/>
  <c r="F63" i="1"/>
  <c r="J63" i="1" s="1"/>
  <c r="M63" i="1" s="1"/>
  <c r="C63" i="1"/>
  <c r="W62" i="1"/>
  <c r="O62" i="1"/>
  <c r="N62" i="1"/>
  <c r="M62" i="1"/>
  <c r="J62" i="1"/>
  <c r="G62" i="1"/>
  <c r="F62" i="1"/>
  <c r="C62" i="1"/>
  <c r="H62" i="1" s="1"/>
  <c r="W61" i="1"/>
  <c r="O61" i="1"/>
  <c r="N61" i="1"/>
  <c r="H61" i="1"/>
  <c r="G61" i="1"/>
  <c r="F61" i="1"/>
  <c r="J61" i="1" s="1"/>
  <c r="M61" i="1" s="1"/>
  <c r="C61" i="1"/>
  <c r="W60" i="1"/>
  <c r="O60" i="1"/>
  <c r="N60" i="1"/>
  <c r="J60" i="1"/>
  <c r="M60" i="1" s="1"/>
  <c r="G60" i="1"/>
  <c r="F60" i="1"/>
  <c r="C60" i="1"/>
  <c r="H60" i="1" s="1"/>
  <c r="W59" i="1"/>
  <c r="O59" i="1"/>
  <c r="N59" i="1"/>
  <c r="H59" i="1"/>
  <c r="G59" i="1"/>
  <c r="F59" i="1"/>
  <c r="J59" i="1" s="1"/>
  <c r="M59" i="1" s="1"/>
  <c r="C59" i="1"/>
  <c r="W58" i="1"/>
  <c r="O58" i="1"/>
  <c r="N58" i="1"/>
  <c r="M58" i="1"/>
  <c r="J58" i="1"/>
  <c r="G58" i="1"/>
  <c r="F58" i="1"/>
  <c r="C58" i="1"/>
  <c r="H58" i="1" s="1"/>
  <c r="W57" i="1"/>
  <c r="O57" i="1"/>
  <c r="N57" i="1"/>
  <c r="H57" i="1"/>
  <c r="G57" i="1"/>
  <c r="F57" i="1"/>
  <c r="J57" i="1" s="1"/>
  <c r="M57" i="1" s="1"/>
  <c r="C57" i="1"/>
  <c r="W56" i="1"/>
  <c r="O56" i="1"/>
  <c r="N56" i="1"/>
  <c r="M56" i="1"/>
  <c r="J56" i="1"/>
  <c r="G56" i="1"/>
  <c r="F56" i="1"/>
  <c r="C56" i="1"/>
  <c r="H56" i="1" s="1"/>
  <c r="W55" i="1"/>
  <c r="O55" i="1"/>
  <c r="N55" i="1"/>
  <c r="H55" i="1"/>
  <c r="G55" i="1"/>
  <c r="F55" i="1"/>
  <c r="J55" i="1" s="1"/>
  <c r="M55" i="1" s="1"/>
  <c r="C55" i="1"/>
  <c r="W54" i="1"/>
  <c r="O54" i="1"/>
  <c r="N54" i="1"/>
  <c r="M54" i="1"/>
  <c r="J54" i="1"/>
  <c r="G54" i="1"/>
  <c r="F54" i="1"/>
  <c r="C54" i="1"/>
  <c r="H54" i="1" s="1"/>
  <c r="W53" i="1"/>
  <c r="O53" i="1"/>
  <c r="N53" i="1"/>
  <c r="H53" i="1"/>
  <c r="G53" i="1"/>
  <c r="F53" i="1"/>
  <c r="J53" i="1" s="1"/>
  <c r="M53" i="1" s="1"/>
  <c r="C53" i="1"/>
  <c r="W52" i="1"/>
  <c r="O52" i="1"/>
  <c r="N52" i="1"/>
  <c r="J52" i="1"/>
  <c r="M52" i="1" s="1"/>
  <c r="G52" i="1"/>
  <c r="F52" i="1"/>
  <c r="C52" i="1"/>
  <c r="H52" i="1" s="1"/>
  <c r="W51" i="1"/>
  <c r="O51" i="1"/>
  <c r="N51" i="1"/>
  <c r="H51" i="1"/>
  <c r="G51" i="1"/>
  <c r="F51" i="1"/>
  <c r="J51" i="1" s="1"/>
  <c r="M51" i="1" s="1"/>
  <c r="C51" i="1"/>
  <c r="W50" i="1"/>
  <c r="O50" i="1"/>
  <c r="N50" i="1"/>
  <c r="M50" i="1"/>
  <c r="J50" i="1"/>
  <c r="G50" i="1"/>
  <c r="F50" i="1"/>
  <c r="C50" i="1"/>
  <c r="H50" i="1" s="1"/>
  <c r="W49" i="1"/>
  <c r="O49" i="1"/>
  <c r="N49" i="1"/>
  <c r="G49" i="1"/>
  <c r="F49" i="1"/>
  <c r="J49" i="1" s="1"/>
  <c r="M49" i="1" s="1"/>
  <c r="C49" i="1"/>
  <c r="H49" i="1" s="1"/>
  <c r="W48" i="1"/>
  <c r="O48" i="1"/>
  <c r="N48" i="1"/>
  <c r="M48" i="1"/>
  <c r="J48" i="1"/>
  <c r="H48" i="1"/>
  <c r="G48" i="1"/>
  <c r="F48" i="1"/>
  <c r="C48" i="1"/>
  <c r="W47" i="1"/>
  <c r="O47" i="1"/>
  <c r="N47" i="1"/>
  <c r="H47" i="1"/>
  <c r="G47" i="1"/>
  <c r="F47" i="1"/>
  <c r="J47" i="1" s="1"/>
  <c r="M47" i="1" s="1"/>
  <c r="C47" i="1"/>
  <c r="W46" i="1"/>
  <c r="O46" i="1"/>
  <c r="N46" i="1"/>
  <c r="J46" i="1"/>
  <c r="M46" i="1" s="1"/>
  <c r="G46" i="1"/>
  <c r="F46" i="1"/>
  <c r="C46" i="1"/>
  <c r="H46" i="1" s="1"/>
  <c r="W45" i="1"/>
  <c r="O45" i="1"/>
  <c r="N45" i="1"/>
  <c r="G45" i="1"/>
  <c r="F45" i="1"/>
  <c r="J45" i="1" s="1"/>
  <c r="M45" i="1" s="1"/>
  <c r="C45" i="1"/>
  <c r="H45" i="1" s="1"/>
  <c r="W44" i="1"/>
  <c r="O44" i="1"/>
  <c r="N44" i="1"/>
  <c r="M44" i="1"/>
  <c r="J44" i="1"/>
  <c r="G44" i="1"/>
  <c r="F44" i="1"/>
  <c r="C44" i="1"/>
  <c r="H44" i="1" s="1"/>
  <c r="W43" i="1"/>
  <c r="O43" i="1"/>
  <c r="N43" i="1"/>
  <c r="H43" i="1"/>
  <c r="G43" i="1"/>
  <c r="F43" i="1"/>
  <c r="J43" i="1" s="1"/>
  <c r="M43" i="1" s="1"/>
  <c r="C43" i="1"/>
  <c r="W42" i="1"/>
  <c r="O42" i="1"/>
  <c r="N42" i="1"/>
  <c r="G42" i="1"/>
  <c r="F42" i="1"/>
  <c r="J42" i="1" s="1"/>
  <c r="M42" i="1" s="1"/>
  <c r="C42" i="1"/>
  <c r="H42" i="1" s="1"/>
  <c r="W41" i="1"/>
  <c r="O41" i="1"/>
  <c r="N41" i="1"/>
  <c r="J41" i="1"/>
  <c r="M41" i="1" s="1"/>
  <c r="G41" i="1"/>
  <c r="F41" i="1"/>
  <c r="C41" i="1"/>
  <c r="H41" i="1" s="1"/>
  <c r="W40" i="1"/>
  <c r="O40" i="1"/>
  <c r="N40" i="1"/>
  <c r="M40" i="1"/>
  <c r="J40" i="1"/>
  <c r="G40" i="1"/>
  <c r="F40" i="1"/>
  <c r="C40" i="1"/>
  <c r="H40" i="1" s="1"/>
  <c r="W39" i="1"/>
  <c r="O39" i="1"/>
  <c r="N39" i="1"/>
  <c r="H39" i="1"/>
  <c r="G39" i="1"/>
  <c r="F39" i="1"/>
  <c r="J39" i="1" s="1"/>
  <c r="M39" i="1" s="1"/>
  <c r="C39" i="1"/>
  <c r="W38" i="1"/>
  <c r="O38" i="1"/>
  <c r="N38" i="1"/>
  <c r="G38" i="1"/>
  <c r="F38" i="1"/>
  <c r="J38" i="1" s="1"/>
  <c r="M38" i="1" s="1"/>
  <c r="C38" i="1"/>
  <c r="H38" i="1" s="1"/>
  <c r="W37" i="1"/>
  <c r="O37" i="1"/>
  <c r="N37" i="1"/>
  <c r="H37" i="1"/>
  <c r="G37" i="1"/>
  <c r="F37" i="1"/>
  <c r="J37" i="1" s="1"/>
  <c r="M37" i="1" s="1"/>
  <c r="C37" i="1"/>
  <c r="W36" i="1"/>
  <c r="O36" i="1"/>
  <c r="N36" i="1"/>
  <c r="J36" i="1"/>
  <c r="M36" i="1" s="1"/>
  <c r="G36" i="1"/>
  <c r="F36" i="1"/>
  <c r="C36" i="1"/>
  <c r="H36" i="1" s="1"/>
  <c r="W35" i="1"/>
  <c r="O35" i="1"/>
  <c r="N35" i="1"/>
  <c r="H35" i="1"/>
  <c r="G35" i="1"/>
  <c r="F35" i="1"/>
  <c r="J35" i="1" s="1"/>
  <c r="M35" i="1" s="1"/>
  <c r="C35" i="1"/>
  <c r="W34" i="1"/>
  <c r="O34" i="1"/>
  <c r="N34" i="1"/>
  <c r="J34" i="1"/>
  <c r="M34" i="1" s="1"/>
  <c r="G34" i="1"/>
  <c r="F34" i="1"/>
  <c r="C34" i="1"/>
  <c r="H34" i="1" s="1"/>
  <c r="W33" i="1"/>
  <c r="O33" i="1"/>
  <c r="N33" i="1"/>
  <c r="G33" i="1"/>
  <c r="F33" i="1"/>
  <c r="J33" i="1" s="1"/>
  <c r="M33" i="1" s="1"/>
  <c r="C33" i="1"/>
  <c r="H33" i="1" s="1"/>
  <c r="W32" i="1"/>
  <c r="O32" i="1"/>
  <c r="N32" i="1"/>
  <c r="M32" i="1"/>
  <c r="J32" i="1"/>
  <c r="H32" i="1"/>
  <c r="G32" i="1"/>
  <c r="F32" i="1"/>
  <c r="C32" i="1"/>
  <c r="Z31" i="1"/>
  <c r="W31" i="1"/>
  <c r="O31" i="1"/>
  <c r="N31" i="1"/>
  <c r="M31" i="1"/>
  <c r="J31" i="1"/>
  <c r="G31" i="1"/>
  <c r="F31" i="1"/>
  <c r="C31" i="1"/>
  <c r="H31" i="1" s="1"/>
  <c r="Z30" i="1"/>
  <c r="W30" i="1"/>
  <c r="O30" i="1"/>
  <c r="N30" i="1"/>
  <c r="M30" i="1"/>
  <c r="J30" i="1"/>
  <c r="H30" i="1"/>
  <c r="G30" i="1"/>
  <c r="F30" i="1"/>
  <c r="C30" i="1"/>
  <c r="Z29" i="1"/>
  <c r="W29" i="1"/>
  <c r="O29" i="1"/>
  <c r="N29" i="1"/>
  <c r="M29" i="1"/>
  <c r="J29" i="1"/>
  <c r="G29" i="1"/>
  <c r="F29" i="1"/>
  <c r="C29" i="1"/>
  <c r="H29" i="1" s="1"/>
  <c r="Z28" i="1"/>
  <c r="W28" i="1"/>
  <c r="O28" i="1"/>
  <c r="N28" i="1"/>
  <c r="M28" i="1"/>
  <c r="J28" i="1"/>
  <c r="H28" i="1"/>
  <c r="G28" i="1"/>
  <c r="F28" i="1"/>
  <c r="C28" i="1"/>
  <c r="Z27" i="1"/>
  <c r="W27" i="1"/>
  <c r="O27" i="1"/>
  <c r="N27" i="1"/>
  <c r="M27" i="1"/>
  <c r="J27" i="1"/>
  <c r="G27" i="1"/>
  <c r="F27" i="1"/>
  <c r="C27" i="1"/>
  <c r="H27" i="1" s="1"/>
  <c r="Z26" i="1"/>
  <c r="W26" i="1"/>
  <c r="O26" i="1"/>
  <c r="N26" i="1"/>
  <c r="M26" i="1"/>
  <c r="J26" i="1"/>
  <c r="H26" i="1"/>
  <c r="G26" i="1"/>
  <c r="F26" i="1"/>
  <c r="C26" i="1"/>
  <c r="Z25" i="1"/>
  <c r="W25" i="1"/>
  <c r="O25" i="1"/>
  <c r="N25" i="1"/>
  <c r="M25" i="1"/>
  <c r="J25" i="1"/>
  <c r="G25" i="1"/>
  <c r="F25" i="1"/>
  <c r="C25" i="1"/>
  <c r="H25" i="1" s="1"/>
  <c r="Z24" i="1"/>
  <c r="W24" i="1"/>
  <c r="O24" i="1"/>
  <c r="N24" i="1"/>
  <c r="M24" i="1"/>
  <c r="J24" i="1"/>
  <c r="H24" i="1"/>
  <c r="G24" i="1"/>
  <c r="F24" i="1"/>
  <c r="C24" i="1"/>
  <c r="Z23" i="1"/>
  <c r="W23" i="1"/>
  <c r="O23" i="1"/>
  <c r="N23" i="1"/>
  <c r="M23" i="1"/>
  <c r="J23" i="1"/>
  <c r="G23" i="1"/>
  <c r="F23" i="1"/>
  <c r="C23" i="1"/>
  <c r="H23" i="1" s="1"/>
  <c r="Z22" i="1"/>
  <c r="W22" i="1"/>
  <c r="O22" i="1"/>
  <c r="N22" i="1"/>
  <c r="M22" i="1"/>
  <c r="J22" i="1"/>
  <c r="H22" i="1"/>
  <c r="G22" i="1"/>
  <c r="F22" i="1"/>
  <c r="C22" i="1"/>
  <c r="Z21" i="1"/>
  <c r="W21" i="1"/>
  <c r="O21" i="1"/>
  <c r="N21" i="1"/>
  <c r="M21" i="1"/>
  <c r="J21" i="1"/>
  <c r="G21" i="1"/>
  <c r="F21" i="1"/>
  <c r="C21" i="1"/>
  <c r="H21" i="1" s="1"/>
  <c r="Z20" i="1"/>
  <c r="W20" i="1"/>
  <c r="O20" i="1"/>
  <c r="N20" i="1"/>
  <c r="M20" i="1"/>
  <c r="J20" i="1"/>
  <c r="H20" i="1"/>
  <c r="G20" i="1"/>
  <c r="F20" i="1"/>
  <c r="C20" i="1"/>
  <c r="Z19" i="1"/>
  <c r="W19" i="1"/>
  <c r="O19" i="1"/>
  <c r="N19" i="1"/>
  <c r="M19" i="1"/>
  <c r="J19" i="1"/>
  <c r="G19" i="1"/>
  <c r="F19" i="1"/>
  <c r="C19" i="1"/>
  <c r="H19" i="1" s="1"/>
  <c r="Z18" i="1"/>
  <c r="W18" i="1"/>
  <c r="O18" i="1"/>
  <c r="N18" i="1"/>
  <c r="M18" i="1"/>
  <c r="J18" i="1"/>
  <c r="H18" i="1"/>
  <c r="G18" i="1"/>
  <c r="F18" i="1"/>
  <c r="C18" i="1"/>
  <c r="Z17" i="1"/>
  <c r="W17" i="1"/>
  <c r="O17" i="1"/>
  <c r="N17" i="1"/>
  <c r="M17" i="1"/>
  <c r="J17" i="1"/>
  <c r="G17" i="1"/>
  <c r="F17" i="1"/>
  <c r="C17" i="1"/>
  <c r="H17" i="1" s="1"/>
  <c r="Z16" i="1"/>
  <c r="W16" i="1"/>
  <c r="O16" i="1"/>
  <c r="N16" i="1"/>
  <c r="M16" i="1"/>
  <c r="J16" i="1"/>
  <c r="H16" i="1"/>
  <c r="G16" i="1"/>
  <c r="F16" i="1"/>
  <c r="C16" i="1"/>
  <c r="Z15" i="1"/>
  <c r="W15" i="1"/>
  <c r="O15" i="1"/>
  <c r="N15" i="1"/>
  <c r="M15" i="1"/>
  <c r="J15" i="1"/>
  <c r="G15" i="1"/>
  <c r="F15" i="1"/>
  <c r="C15" i="1"/>
  <c r="H15" i="1" s="1"/>
  <c r="Z14" i="1"/>
  <c r="W14" i="1"/>
  <c r="O14" i="1"/>
  <c r="N14" i="1"/>
  <c r="M14" i="1"/>
  <c r="J14" i="1"/>
  <c r="H14" i="1"/>
  <c r="G14" i="1"/>
  <c r="F14" i="1"/>
  <c r="C14" i="1"/>
  <c r="Z13" i="1"/>
  <c r="W13" i="1"/>
  <c r="O13" i="1"/>
  <c r="N13" i="1"/>
  <c r="M13" i="1"/>
  <c r="J13" i="1"/>
  <c r="G13" i="1"/>
  <c r="F13" i="1"/>
  <c r="C13" i="1"/>
  <c r="H13" i="1" s="1"/>
  <c r="Z12" i="1"/>
  <c r="W12" i="1"/>
  <c r="O12" i="1"/>
  <c r="N12" i="1"/>
  <c r="G12" i="1"/>
  <c r="F12" i="1"/>
  <c r="J12" i="1" s="1"/>
  <c r="M12" i="1" s="1"/>
  <c r="C12" i="1"/>
  <c r="H12" i="1" s="1"/>
  <c r="AC11" i="1"/>
  <c r="AC12" i="1" s="1"/>
  <c r="Z11" i="1"/>
  <c r="W11" i="1"/>
  <c r="O11" i="1"/>
  <c r="N11" i="1"/>
  <c r="G11" i="1"/>
  <c r="F11" i="1"/>
  <c r="J11" i="1" s="1"/>
  <c r="M11" i="1" s="1"/>
  <c r="C11" i="1"/>
  <c r="H11" i="1" s="1"/>
  <c r="Z10" i="1"/>
  <c r="W10" i="1"/>
  <c r="O10" i="1"/>
  <c r="N10" i="1"/>
  <c r="J10" i="1"/>
  <c r="M10" i="1" s="1"/>
  <c r="G10" i="1"/>
  <c r="F10" i="1"/>
  <c r="C10" i="1"/>
  <c r="H10" i="1" s="1"/>
  <c r="Z9" i="1"/>
  <c r="W9" i="1"/>
  <c r="O9" i="1"/>
  <c r="N9" i="1"/>
  <c r="J9" i="1"/>
  <c r="M9" i="1" s="1"/>
  <c r="G9" i="1"/>
  <c r="F9" i="1"/>
  <c r="C9" i="1"/>
  <c r="H9" i="1" s="1"/>
  <c r="Z8" i="1"/>
  <c r="W8" i="1"/>
  <c r="O8" i="1"/>
  <c r="N8" i="1"/>
  <c r="G8" i="1"/>
  <c r="F8" i="1"/>
  <c r="J8" i="1" s="1"/>
  <c r="M8" i="1" s="1"/>
  <c r="C8" i="1"/>
  <c r="H8" i="1" s="1"/>
  <c r="AC7" i="1"/>
  <c r="Z7" i="1"/>
  <c r="W7" i="1"/>
  <c r="O7" i="1"/>
  <c r="N7" i="1"/>
  <c r="H7" i="1"/>
  <c r="G7" i="1"/>
  <c r="F7" i="1"/>
  <c r="J7" i="1" s="1"/>
  <c r="M7" i="1" s="1"/>
  <c r="C7" i="1"/>
  <c r="Z6" i="1"/>
  <c r="W6" i="1"/>
  <c r="O6" i="1"/>
  <c r="N6" i="1"/>
  <c r="H6" i="1"/>
  <c r="G6" i="1"/>
  <c r="F6" i="1"/>
  <c r="J6" i="1" s="1"/>
  <c r="M6" i="1" s="1"/>
  <c r="C6" i="1"/>
  <c r="Z5" i="1"/>
  <c r="W5" i="1"/>
  <c r="O5" i="1"/>
  <c r="N5" i="1"/>
  <c r="H5" i="1"/>
  <c r="G5" i="1"/>
  <c r="F5" i="1"/>
  <c r="J5" i="1" s="1"/>
  <c r="M5" i="1" s="1"/>
  <c r="C5" i="1"/>
  <c r="Z4" i="1"/>
  <c r="W4" i="1"/>
  <c r="O4" i="1"/>
  <c r="N4" i="1"/>
  <c r="H4" i="1"/>
  <c r="G4" i="1"/>
  <c r="F4" i="1"/>
  <c r="J4" i="1" s="1"/>
  <c r="M4" i="1" s="1"/>
  <c r="C4" i="1"/>
  <c r="S2" i="1"/>
  <c r="N2" i="1" s="1"/>
  <c r="K4" i="1" l="1"/>
  <c r="P4" i="1" s="1"/>
  <c r="K5" i="1"/>
  <c r="P5" i="1" s="1"/>
  <c r="K6" i="1"/>
  <c r="P6" i="1" s="1"/>
  <c r="K7" i="1"/>
  <c r="P7" i="1" s="1"/>
  <c r="K9" i="1"/>
  <c r="P9" i="1" s="1"/>
  <c r="K39" i="1"/>
  <c r="P39" i="1" s="1"/>
  <c r="I1" i="3"/>
  <c r="K303" i="1"/>
  <c r="P303" i="1" s="1"/>
  <c r="K224" i="1"/>
  <c r="P224" i="1" s="1"/>
  <c r="K222" i="1"/>
  <c r="P222" i="1" s="1"/>
  <c r="K220" i="1"/>
  <c r="P220" i="1" s="1"/>
  <c r="K218" i="1"/>
  <c r="P218" i="1" s="1"/>
  <c r="K216" i="1"/>
  <c r="P216" i="1" s="1"/>
  <c r="K214" i="1"/>
  <c r="P214" i="1" s="1"/>
  <c r="K212" i="1"/>
  <c r="P212" i="1" s="1"/>
  <c r="K210" i="1"/>
  <c r="P210" i="1" s="1"/>
  <c r="K208" i="1"/>
  <c r="P208" i="1" s="1"/>
  <c r="K206" i="1"/>
  <c r="P206" i="1" s="1"/>
  <c r="K204" i="1"/>
  <c r="P204" i="1" s="1"/>
  <c r="K202" i="1"/>
  <c r="P202" i="1" s="1"/>
  <c r="K200" i="1"/>
  <c r="P200" i="1" s="1"/>
  <c r="K198" i="1"/>
  <c r="P198" i="1" s="1"/>
  <c r="K196" i="1"/>
  <c r="P196" i="1" s="1"/>
  <c r="K194" i="1"/>
  <c r="P194" i="1" s="1"/>
  <c r="K192" i="1"/>
  <c r="P192" i="1" s="1"/>
  <c r="K190" i="1"/>
  <c r="P190" i="1" s="1"/>
  <c r="K188" i="1"/>
  <c r="P188" i="1" s="1"/>
  <c r="K186" i="1"/>
  <c r="P186" i="1" s="1"/>
  <c r="K184" i="1"/>
  <c r="P184" i="1" s="1"/>
  <c r="K182" i="1"/>
  <c r="P182" i="1" s="1"/>
  <c r="K180" i="1"/>
  <c r="P180" i="1" s="1"/>
  <c r="K178" i="1"/>
  <c r="P178" i="1" s="1"/>
  <c r="K176" i="1"/>
  <c r="P176" i="1" s="1"/>
  <c r="K263" i="1"/>
  <c r="P263" i="1" s="1"/>
  <c r="K261" i="1"/>
  <c r="P261" i="1" s="1"/>
  <c r="K259" i="1"/>
  <c r="P259" i="1" s="1"/>
  <c r="K257" i="1"/>
  <c r="P257" i="1" s="1"/>
  <c r="K255" i="1"/>
  <c r="P255" i="1" s="1"/>
  <c r="K223" i="1"/>
  <c r="P223" i="1" s="1"/>
  <c r="K219" i="1"/>
  <c r="P219" i="1" s="1"/>
  <c r="K215" i="1"/>
  <c r="P215" i="1" s="1"/>
  <c r="K211" i="1"/>
  <c r="P211" i="1" s="1"/>
  <c r="K207" i="1"/>
  <c r="P207" i="1" s="1"/>
  <c r="K203" i="1"/>
  <c r="P203" i="1" s="1"/>
  <c r="K199" i="1"/>
  <c r="P199" i="1" s="1"/>
  <c r="K195" i="1"/>
  <c r="P195" i="1" s="1"/>
  <c r="K191" i="1"/>
  <c r="P191" i="1" s="1"/>
  <c r="K187" i="1"/>
  <c r="P187" i="1" s="1"/>
  <c r="K183" i="1"/>
  <c r="P183" i="1" s="1"/>
  <c r="K179" i="1"/>
  <c r="P179" i="1" s="1"/>
  <c r="K175" i="1"/>
  <c r="P175" i="1" s="1"/>
  <c r="K174" i="1"/>
  <c r="P174" i="1" s="1"/>
  <c r="K173" i="1"/>
  <c r="P173" i="1" s="1"/>
  <c r="K172" i="1"/>
  <c r="P172" i="1" s="1"/>
  <c r="K171" i="1"/>
  <c r="P171" i="1" s="1"/>
  <c r="K170" i="1"/>
  <c r="P170" i="1" s="1"/>
  <c r="K169" i="1"/>
  <c r="P169" i="1" s="1"/>
  <c r="K168" i="1"/>
  <c r="P168" i="1" s="1"/>
  <c r="K167" i="1"/>
  <c r="P167" i="1" s="1"/>
  <c r="K166" i="1"/>
  <c r="P166" i="1" s="1"/>
  <c r="K165" i="1"/>
  <c r="P165" i="1" s="1"/>
  <c r="K164" i="1"/>
  <c r="P164" i="1" s="1"/>
  <c r="K161" i="1"/>
  <c r="P161" i="1" s="1"/>
  <c r="K160" i="1"/>
  <c r="P160" i="1" s="1"/>
  <c r="K157" i="1"/>
  <c r="P157" i="1" s="1"/>
  <c r="K137" i="1"/>
  <c r="P137" i="1" s="1"/>
  <c r="K133" i="1"/>
  <c r="P133" i="1" s="1"/>
  <c r="K129" i="1"/>
  <c r="P129" i="1" s="1"/>
  <c r="K125" i="1"/>
  <c r="P125" i="1" s="1"/>
  <c r="K121" i="1"/>
  <c r="P121" i="1" s="1"/>
  <c r="K117" i="1"/>
  <c r="P117" i="1" s="1"/>
  <c r="K113" i="1"/>
  <c r="P113" i="1" s="1"/>
  <c r="K109" i="1"/>
  <c r="P109" i="1" s="1"/>
  <c r="K105" i="1"/>
  <c r="P105" i="1" s="1"/>
  <c r="K101" i="1"/>
  <c r="P101" i="1" s="1"/>
  <c r="K225" i="1"/>
  <c r="P225" i="1" s="1"/>
  <c r="K221" i="1"/>
  <c r="P221" i="1" s="1"/>
  <c r="K217" i="1"/>
  <c r="P217" i="1" s="1"/>
  <c r="K213" i="1"/>
  <c r="P213" i="1" s="1"/>
  <c r="K209" i="1"/>
  <c r="P209" i="1" s="1"/>
  <c r="K205" i="1"/>
  <c r="P205" i="1" s="1"/>
  <c r="K201" i="1"/>
  <c r="P201" i="1" s="1"/>
  <c r="K197" i="1"/>
  <c r="P197" i="1" s="1"/>
  <c r="K193" i="1"/>
  <c r="P193" i="1" s="1"/>
  <c r="K189" i="1"/>
  <c r="P189" i="1" s="1"/>
  <c r="K185" i="1"/>
  <c r="P185" i="1" s="1"/>
  <c r="K181" i="1"/>
  <c r="P181" i="1" s="1"/>
  <c r="K177" i="1"/>
  <c r="P177" i="1" s="1"/>
  <c r="K162" i="1"/>
  <c r="P162" i="1" s="1"/>
  <c r="K158" i="1"/>
  <c r="P158" i="1" s="1"/>
  <c r="K269" i="1"/>
  <c r="P269" i="1" s="1"/>
  <c r="K135" i="1"/>
  <c r="P135" i="1" s="1"/>
  <c r="K119" i="1"/>
  <c r="P119" i="1" s="1"/>
  <c r="K103" i="1"/>
  <c r="P103" i="1" s="1"/>
  <c r="K97" i="1"/>
  <c r="P97" i="1" s="1"/>
  <c r="K89" i="1"/>
  <c r="P89" i="1" s="1"/>
  <c r="K81" i="1"/>
  <c r="P81" i="1" s="1"/>
  <c r="K73" i="1"/>
  <c r="P73" i="1" s="1"/>
  <c r="K65" i="1"/>
  <c r="P65" i="1" s="1"/>
  <c r="K57" i="1"/>
  <c r="P57" i="1" s="1"/>
  <c r="K49" i="1"/>
  <c r="P49" i="1" s="1"/>
  <c r="K47" i="1"/>
  <c r="P47" i="1" s="1"/>
  <c r="K38" i="1"/>
  <c r="P38" i="1" s="1"/>
  <c r="K33" i="1"/>
  <c r="P33" i="1" s="1"/>
  <c r="K11" i="1"/>
  <c r="P11" i="1" s="1"/>
  <c r="K131" i="1"/>
  <c r="P131" i="1" s="1"/>
  <c r="K115" i="1"/>
  <c r="P115" i="1" s="1"/>
  <c r="K99" i="1"/>
  <c r="P99" i="1" s="1"/>
  <c r="K59" i="1"/>
  <c r="P59" i="1" s="1"/>
  <c r="K51" i="1"/>
  <c r="P51" i="1" s="1"/>
  <c r="K34" i="1"/>
  <c r="P34" i="1" s="1"/>
  <c r="K139" i="1"/>
  <c r="P139" i="1" s="1"/>
  <c r="K123" i="1"/>
  <c r="P123" i="1" s="1"/>
  <c r="K107" i="1"/>
  <c r="P107" i="1" s="1"/>
  <c r="K95" i="1"/>
  <c r="P95" i="1" s="1"/>
  <c r="K87" i="1"/>
  <c r="P87" i="1" s="1"/>
  <c r="K79" i="1"/>
  <c r="P79" i="1" s="1"/>
  <c r="K71" i="1"/>
  <c r="P71" i="1" s="1"/>
  <c r="K63" i="1"/>
  <c r="P63" i="1" s="1"/>
  <c r="K55" i="1"/>
  <c r="P55" i="1" s="1"/>
  <c r="K37" i="1"/>
  <c r="P37" i="1" s="1"/>
  <c r="K67" i="1"/>
  <c r="P67" i="1" s="1"/>
  <c r="K45" i="1"/>
  <c r="P45" i="1" s="1"/>
  <c r="K43" i="1"/>
  <c r="P43" i="1" s="1"/>
  <c r="K127" i="1"/>
  <c r="P127" i="1" s="1"/>
  <c r="K111" i="1"/>
  <c r="P111" i="1" s="1"/>
  <c r="K93" i="1"/>
  <c r="P93" i="1" s="1"/>
  <c r="K85" i="1"/>
  <c r="P85" i="1" s="1"/>
  <c r="K77" i="1"/>
  <c r="P77" i="1" s="1"/>
  <c r="K69" i="1"/>
  <c r="P69" i="1" s="1"/>
  <c r="K61" i="1"/>
  <c r="P61" i="1" s="1"/>
  <c r="K53" i="1"/>
  <c r="P53" i="1" s="1"/>
  <c r="K41" i="1"/>
  <c r="P41" i="1" s="1"/>
  <c r="K91" i="1"/>
  <c r="P91" i="1" s="1"/>
  <c r="K83" i="1"/>
  <c r="P83" i="1" s="1"/>
  <c r="K75" i="1"/>
  <c r="P75" i="1" s="1"/>
  <c r="K12" i="1"/>
  <c r="P12" i="1" s="1"/>
  <c r="K10" i="1"/>
  <c r="P10" i="1" s="1"/>
  <c r="K35" i="1"/>
  <c r="P35" i="1" s="1"/>
  <c r="K46" i="1"/>
  <c r="P46" i="1" s="1"/>
  <c r="K8" i="1"/>
  <c r="P8" i="1" s="1"/>
  <c r="K42" i="1"/>
  <c r="P42" i="1" s="1"/>
  <c r="K62" i="1"/>
  <c r="P62" i="1" s="1"/>
  <c r="K128" i="1"/>
  <c r="P128" i="1" s="1"/>
  <c r="K154" i="1"/>
  <c r="P154" i="1" s="1"/>
  <c r="L177" i="3"/>
  <c r="L180" i="3"/>
  <c r="K13" i="1"/>
  <c r="P13" i="1" s="1"/>
  <c r="K15" i="1"/>
  <c r="P15" i="1" s="1"/>
  <c r="K17" i="1"/>
  <c r="P17" i="1" s="1"/>
  <c r="K19" i="1"/>
  <c r="P19" i="1" s="1"/>
  <c r="K21" i="1"/>
  <c r="P21" i="1" s="1"/>
  <c r="K23" i="1"/>
  <c r="P23" i="1" s="1"/>
  <c r="K25" i="1"/>
  <c r="P25" i="1" s="1"/>
  <c r="K27" i="1"/>
  <c r="P27" i="1" s="1"/>
  <c r="K29" i="1"/>
  <c r="P29" i="1" s="1"/>
  <c r="K31" i="1"/>
  <c r="P31" i="1" s="1"/>
  <c r="K40" i="1"/>
  <c r="P40" i="1" s="1"/>
  <c r="K56" i="1"/>
  <c r="P56" i="1" s="1"/>
  <c r="K64" i="1"/>
  <c r="P64" i="1" s="1"/>
  <c r="K72" i="1"/>
  <c r="P72" i="1" s="1"/>
  <c r="K80" i="1"/>
  <c r="P80" i="1" s="1"/>
  <c r="K88" i="1"/>
  <c r="P88" i="1" s="1"/>
  <c r="K96" i="1"/>
  <c r="P96" i="1" s="1"/>
  <c r="K106" i="1"/>
  <c r="P106" i="1" s="1"/>
  <c r="K108" i="1"/>
  <c r="P108" i="1" s="1"/>
  <c r="K122" i="1"/>
  <c r="P122" i="1" s="1"/>
  <c r="K124" i="1"/>
  <c r="P124" i="1" s="1"/>
  <c r="K138" i="1"/>
  <c r="P138" i="1" s="1"/>
  <c r="K140" i="1"/>
  <c r="P140" i="1" s="1"/>
  <c r="K143" i="1"/>
  <c r="P143" i="1" s="1"/>
  <c r="K148" i="1"/>
  <c r="P148" i="1" s="1"/>
  <c r="K151" i="1"/>
  <c r="P151" i="1" s="1"/>
  <c r="K156" i="1"/>
  <c r="P156" i="1" s="1"/>
  <c r="K159" i="1"/>
  <c r="P159" i="1" s="1"/>
  <c r="K70" i="1"/>
  <c r="P70" i="1" s="1"/>
  <c r="K78" i="1"/>
  <c r="P78" i="1" s="1"/>
  <c r="K86" i="1"/>
  <c r="P86" i="1" s="1"/>
  <c r="K141" i="1"/>
  <c r="P141" i="1" s="1"/>
  <c r="K146" i="1"/>
  <c r="P146" i="1" s="1"/>
  <c r="K149" i="1"/>
  <c r="P149" i="1" s="1"/>
  <c r="K36" i="1"/>
  <c r="P36" i="1" s="1"/>
  <c r="K50" i="1"/>
  <c r="P50" i="1" s="1"/>
  <c r="K58" i="1"/>
  <c r="P58" i="1" s="1"/>
  <c r="K66" i="1"/>
  <c r="P66" i="1" s="1"/>
  <c r="K74" i="1"/>
  <c r="P74" i="1" s="1"/>
  <c r="K82" i="1"/>
  <c r="P82" i="1" s="1"/>
  <c r="K90" i="1"/>
  <c r="P90" i="1" s="1"/>
  <c r="K98" i="1"/>
  <c r="P98" i="1" s="1"/>
  <c r="K102" i="1"/>
  <c r="P102" i="1" s="1"/>
  <c r="K104" i="1"/>
  <c r="P104" i="1" s="1"/>
  <c r="K118" i="1"/>
  <c r="P118" i="1" s="1"/>
  <c r="K120" i="1"/>
  <c r="P120" i="1" s="1"/>
  <c r="K134" i="1"/>
  <c r="P134" i="1" s="1"/>
  <c r="K136" i="1"/>
  <c r="P136" i="1" s="1"/>
  <c r="K142" i="1"/>
  <c r="P142" i="1" s="1"/>
  <c r="K145" i="1"/>
  <c r="P145" i="1" s="1"/>
  <c r="K150" i="1"/>
  <c r="P150" i="1" s="1"/>
  <c r="K153" i="1"/>
  <c r="P153" i="1" s="1"/>
  <c r="L23" i="3"/>
  <c r="L26" i="3"/>
  <c r="K44" i="1"/>
  <c r="P44" i="1" s="1"/>
  <c r="K54" i="1"/>
  <c r="P54" i="1" s="1"/>
  <c r="K94" i="1"/>
  <c r="P94" i="1" s="1"/>
  <c r="K110" i="1"/>
  <c r="P110" i="1" s="1"/>
  <c r="K112" i="1"/>
  <c r="P112" i="1" s="1"/>
  <c r="K126" i="1"/>
  <c r="P126" i="1" s="1"/>
  <c r="K14" i="1"/>
  <c r="P14" i="1" s="1"/>
  <c r="K16" i="1"/>
  <c r="P16" i="1" s="1"/>
  <c r="K18" i="1"/>
  <c r="P18" i="1" s="1"/>
  <c r="K20" i="1"/>
  <c r="P20" i="1" s="1"/>
  <c r="K22" i="1"/>
  <c r="P22" i="1" s="1"/>
  <c r="K24" i="1"/>
  <c r="P24" i="1" s="1"/>
  <c r="K26" i="1"/>
  <c r="P26" i="1" s="1"/>
  <c r="K28" i="1"/>
  <c r="P28" i="1" s="1"/>
  <c r="K30" i="1"/>
  <c r="P30" i="1" s="1"/>
  <c r="K32" i="1"/>
  <c r="P32" i="1" s="1"/>
  <c r="K48" i="1"/>
  <c r="P48" i="1" s="1"/>
  <c r="K52" i="1"/>
  <c r="P52" i="1" s="1"/>
  <c r="K60" i="1"/>
  <c r="P60" i="1" s="1"/>
  <c r="K68" i="1"/>
  <c r="P68" i="1" s="1"/>
  <c r="K76" i="1"/>
  <c r="P76" i="1" s="1"/>
  <c r="K84" i="1"/>
  <c r="P84" i="1" s="1"/>
  <c r="K92" i="1"/>
  <c r="P92" i="1" s="1"/>
  <c r="K100" i="1"/>
  <c r="P100" i="1" s="1"/>
  <c r="K114" i="1"/>
  <c r="P114" i="1" s="1"/>
  <c r="K116" i="1"/>
  <c r="P116" i="1" s="1"/>
  <c r="K130" i="1"/>
  <c r="P130" i="1" s="1"/>
  <c r="K132" i="1"/>
  <c r="P132" i="1" s="1"/>
  <c r="K144" i="1"/>
  <c r="P144" i="1" s="1"/>
  <c r="K147" i="1"/>
  <c r="P147" i="1" s="1"/>
  <c r="K152" i="1"/>
  <c r="P152" i="1" s="1"/>
  <c r="K155" i="1"/>
  <c r="P155" i="1" s="1"/>
  <c r="K163" i="1"/>
  <c r="P163" i="1" s="1"/>
  <c r="K228" i="1"/>
  <c r="P228" i="1" s="1"/>
  <c r="K231" i="1"/>
  <c r="P231" i="1" s="1"/>
  <c r="K236" i="1"/>
  <c r="P236" i="1" s="1"/>
  <c r="K239" i="1"/>
  <c r="P239" i="1" s="1"/>
  <c r="K244" i="1"/>
  <c r="P244" i="1" s="1"/>
  <c r="K247" i="1"/>
  <c r="P247" i="1" s="1"/>
  <c r="K252" i="1"/>
  <c r="P252" i="1" s="1"/>
  <c r="K258" i="1"/>
  <c r="P258" i="1" s="1"/>
  <c r="K262" i="1"/>
  <c r="P262" i="1" s="1"/>
  <c r="K280" i="1"/>
  <c r="P280" i="1" s="1"/>
  <c r="K296" i="1"/>
  <c r="P296" i="1" s="1"/>
  <c r="K230" i="1"/>
  <c r="P230" i="1" s="1"/>
  <c r="K233" i="1"/>
  <c r="P233" i="1" s="1"/>
  <c r="K238" i="1"/>
  <c r="P238" i="1" s="1"/>
  <c r="K241" i="1"/>
  <c r="P241" i="1" s="1"/>
  <c r="K246" i="1"/>
  <c r="P246" i="1" s="1"/>
  <c r="K249" i="1"/>
  <c r="P249" i="1" s="1"/>
  <c r="K254" i="1"/>
  <c r="P254" i="1" s="1"/>
  <c r="K265" i="1"/>
  <c r="P265" i="1" s="1"/>
  <c r="K284" i="1"/>
  <c r="P284" i="1" s="1"/>
  <c r="K300" i="1"/>
  <c r="P300" i="1" s="1"/>
  <c r="L16" i="3"/>
  <c r="R225" i="1"/>
  <c r="K227" i="1"/>
  <c r="P227" i="1" s="1"/>
  <c r="K232" i="1"/>
  <c r="P232" i="1" s="1"/>
  <c r="K235" i="1"/>
  <c r="P235" i="1" s="1"/>
  <c r="K240" i="1"/>
  <c r="P240" i="1" s="1"/>
  <c r="K243" i="1"/>
  <c r="P243" i="1" s="1"/>
  <c r="K248" i="1"/>
  <c r="P248" i="1" s="1"/>
  <c r="K251" i="1"/>
  <c r="P251" i="1" s="1"/>
  <c r="K256" i="1"/>
  <c r="P256" i="1" s="1"/>
  <c r="K260" i="1"/>
  <c r="P260" i="1" s="1"/>
  <c r="K264" i="1"/>
  <c r="P264" i="1" s="1"/>
  <c r="K272" i="1"/>
  <c r="P272" i="1" s="1"/>
  <c r="K288" i="1"/>
  <c r="P288" i="1" s="1"/>
  <c r="L14" i="3"/>
  <c r="L43" i="3"/>
  <c r="L46" i="3"/>
  <c r="K226" i="1"/>
  <c r="P226" i="1" s="1"/>
  <c r="K229" i="1"/>
  <c r="P229" i="1" s="1"/>
  <c r="K234" i="1"/>
  <c r="P234" i="1" s="1"/>
  <c r="K237" i="1"/>
  <c r="P237" i="1" s="1"/>
  <c r="K242" i="1"/>
  <c r="P242" i="1" s="1"/>
  <c r="K245" i="1"/>
  <c r="P245" i="1" s="1"/>
  <c r="K250" i="1"/>
  <c r="P250" i="1" s="1"/>
  <c r="K253" i="1"/>
  <c r="P253" i="1" s="1"/>
  <c r="K267" i="1"/>
  <c r="P267" i="1" s="1"/>
  <c r="K276" i="1"/>
  <c r="P276" i="1" s="1"/>
  <c r="K292" i="1"/>
  <c r="P292" i="1" s="1"/>
  <c r="L6" i="3"/>
  <c r="L8" i="3"/>
  <c r="L75" i="3"/>
  <c r="L78" i="3"/>
  <c r="K266" i="1"/>
  <c r="P266" i="1" s="1"/>
  <c r="K271" i="1"/>
  <c r="P271" i="1" s="1"/>
  <c r="K275" i="1"/>
  <c r="P275" i="1" s="1"/>
  <c r="K279" i="1"/>
  <c r="P279" i="1" s="1"/>
  <c r="K283" i="1"/>
  <c r="P283" i="1" s="1"/>
  <c r="K287" i="1"/>
  <c r="P287" i="1" s="1"/>
  <c r="K291" i="1"/>
  <c r="P291" i="1" s="1"/>
  <c r="K295" i="1"/>
  <c r="P295" i="1" s="1"/>
  <c r="K299" i="1"/>
  <c r="P299" i="1" s="1"/>
  <c r="L4" i="3"/>
  <c r="L7" i="3"/>
  <c r="L11" i="3"/>
  <c r="L12" i="3"/>
  <c r="L17" i="3"/>
  <c r="L35" i="3"/>
  <c r="L38" i="3"/>
  <c r="L67" i="3"/>
  <c r="L70" i="3"/>
  <c r="L99" i="3"/>
  <c r="L102" i="3"/>
  <c r="L105" i="3"/>
  <c r="L126" i="3"/>
  <c r="L127" i="3"/>
  <c r="L133" i="3"/>
  <c r="L137" i="3"/>
  <c r="L159" i="3"/>
  <c r="L170" i="3"/>
  <c r="L171" i="3"/>
  <c r="L201" i="3"/>
  <c r="K268" i="1"/>
  <c r="P268" i="1" s="1"/>
  <c r="K270" i="1"/>
  <c r="P270" i="1" s="1"/>
  <c r="K274" i="1"/>
  <c r="P274" i="1" s="1"/>
  <c r="K278" i="1"/>
  <c r="P278" i="1" s="1"/>
  <c r="K282" i="1"/>
  <c r="P282" i="1" s="1"/>
  <c r="K286" i="1"/>
  <c r="P286" i="1" s="1"/>
  <c r="K290" i="1"/>
  <c r="P290" i="1" s="1"/>
  <c r="K294" i="1"/>
  <c r="P294" i="1" s="1"/>
  <c r="K298" i="1"/>
  <c r="P298" i="1" s="1"/>
  <c r="K302" i="1"/>
  <c r="P302" i="1" s="1"/>
  <c r="L22" i="3"/>
  <c r="L27" i="3"/>
  <c r="L30" i="3"/>
  <c r="L59" i="3"/>
  <c r="L62" i="3"/>
  <c r="L91" i="3"/>
  <c r="L94" i="3"/>
  <c r="L191" i="3"/>
  <c r="K273" i="1"/>
  <c r="P273" i="1" s="1"/>
  <c r="K277" i="1"/>
  <c r="P277" i="1" s="1"/>
  <c r="K281" i="1"/>
  <c r="P281" i="1" s="1"/>
  <c r="K285" i="1"/>
  <c r="P285" i="1" s="1"/>
  <c r="K289" i="1"/>
  <c r="P289" i="1" s="1"/>
  <c r="K293" i="1"/>
  <c r="P293" i="1" s="1"/>
  <c r="K297" i="1"/>
  <c r="P297" i="1" s="1"/>
  <c r="K301" i="1"/>
  <c r="P301" i="1" s="1"/>
  <c r="L9" i="3"/>
  <c r="L10" i="3"/>
  <c r="L19" i="3"/>
  <c r="L20" i="3"/>
  <c r="L51" i="3"/>
  <c r="L54" i="3"/>
  <c r="L83" i="3"/>
  <c r="L86" i="3"/>
  <c r="L110" i="3"/>
  <c r="L117" i="3"/>
  <c r="L121" i="3"/>
  <c r="L142" i="3"/>
  <c r="L143" i="3"/>
  <c r="L149" i="3"/>
  <c r="L184" i="3"/>
  <c r="K3" i="3"/>
  <c r="L3" i="3" s="1"/>
  <c r="K15" i="3"/>
  <c r="L15" i="3" s="1"/>
  <c r="L28" i="3"/>
  <c r="L36" i="3"/>
  <c r="L44" i="3"/>
  <c r="L52" i="3"/>
  <c r="L60" i="3"/>
  <c r="L68" i="3"/>
  <c r="L76" i="3"/>
  <c r="L84" i="3"/>
  <c r="L92" i="3"/>
  <c r="L100" i="3"/>
  <c r="L112" i="3"/>
  <c r="L128" i="3"/>
  <c r="L144" i="3"/>
  <c r="L157" i="3"/>
  <c r="L167" i="3"/>
  <c r="L189" i="3"/>
  <c r="L197" i="3"/>
  <c r="L209" i="3"/>
  <c r="L31" i="3"/>
  <c r="L34" i="3"/>
  <c r="L39" i="3"/>
  <c r="L42" i="3"/>
  <c r="L47" i="3"/>
  <c r="L50" i="3"/>
  <c r="L55" i="3"/>
  <c r="L58" i="3"/>
  <c r="L63" i="3"/>
  <c r="L66" i="3"/>
  <c r="L71" i="3"/>
  <c r="L74" i="3"/>
  <c r="L79" i="3"/>
  <c r="L82" i="3"/>
  <c r="L87" i="3"/>
  <c r="L90" i="3"/>
  <c r="L95" i="3"/>
  <c r="L98" i="3"/>
  <c r="L103" i="3"/>
  <c r="L109" i="3"/>
  <c r="L119" i="3"/>
  <c r="L125" i="3"/>
  <c r="L135" i="3"/>
  <c r="L141" i="3"/>
  <c r="L151" i="3"/>
  <c r="L155" i="3"/>
  <c r="L161" i="3"/>
  <c r="L164" i="3"/>
  <c r="L168" i="3"/>
  <c r="L175" i="3"/>
  <c r="L186" i="3"/>
  <c r="L187" i="3"/>
  <c r="L193" i="3"/>
  <c r="L199" i="3"/>
  <c r="L205" i="3"/>
  <c r="L24" i="3"/>
  <c r="L32" i="3"/>
  <c r="L40" i="3"/>
  <c r="L48" i="3"/>
  <c r="L56" i="3"/>
  <c r="L64" i="3"/>
  <c r="L72" i="3"/>
  <c r="L80" i="3"/>
  <c r="L88" i="3"/>
  <c r="L96" i="3"/>
  <c r="L107" i="3"/>
  <c r="L111" i="3"/>
  <c r="L116" i="3"/>
  <c r="L123" i="3"/>
  <c r="L132" i="3"/>
  <c r="L139" i="3"/>
  <c r="L148" i="3"/>
  <c r="L152" i="3"/>
  <c r="L153" i="3"/>
  <c r="L173" i="3"/>
  <c r="L183" i="3"/>
  <c r="L207" i="3"/>
  <c r="L213" i="3"/>
  <c r="K114" i="3"/>
  <c r="L114" i="3" s="1"/>
  <c r="K130" i="3"/>
  <c r="L130" i="3" s="1"/>
  <c r="K146" i="3"/>
  <c r="L146" i="3" s="1"/>
  <c r="K166" i="3"/>
  <c r="L166" i="3" s="1"/>
  <c r="K182" i="3"/>
  <c r="L182" i="3" s="1"/>
  <c r="L215" i="3"/>
  <c r="L219" i="3"/>
  <c r="L223" i="3"/>
  <c r="K150" i="3"/>
  <c r="L150" i="3" s="1"/>
  <c r="K162" i="3"/>
  <c r="L162" i="3" s="1"/>
  <c r="K178" i="3"/>
  <c r="L178" i="3" s="1"/>
  <c r="K194" i="3"/>
  <c r="L194" i="3" s="1"/>
  <c r="L115" i="3"/>
  <c r="L131" i="3"/>
  <c r="L147" i="3"/>
  <c r="L158" i="3"/>
  <c r="L163" i="3"/>
  <c r="L174" i="3"/>
  <c r="L179" i="3"/>
  <c r="L190" i="3"/>
  <c r="L195" i="3"/>
  <c r="L203" i="3"/>
  <c r="L211" i="3"/>
  <c r="L217" i="3"/>
  <c r="L221" i="3"/>
  <c r="L222" i="3" l="1"/>
  <c r="L220" i="3"/>
  <c r="L218" i="3"/>
  <c r="L216" i="3"/>
  <c r="L208" i="3"/>
  <c r="L200" i="3"/>
  <c r="L192" i="3"/>
  <c r="L185" i="3"/>
  <c r="L176" i="3"/>
  <c r="L169" i="3"/>
  <c r="L160" i="3"/>
  <c r="L136" i="3"/>
  <c r="L134" i="3"/>
  <c r="L120" i="3"/>
  <c r="L118" i="3"/>
  <c r="L104" i="3"/>
  <c r="L210" i="3"/>
  <c r="L202" i="3"/>
  <c r="L212" i="3"/>
  <c r="L204" i="3"/>
  <c r="L196" i="3"/>
  <c r="L206" i="3"/>
  <c r="L172" i="3"/>
  <c r="L138" i="3"/>
  <c r="L122" i="3"/>
  <c r="L106" i="3"/>
  <c r="L18" i="3"/>
  <c r="L198" i="3"/>
  <c r="L181" i="3"/>
  <c r="L154" i="3"/>
  <c r="L140" i="3"/>
  <c r="L124" i="3"/>
  <c r="L108" i="3"/>
  <c r="L97" i="3"/>
  <c r="L89" i="3"/>
  <c r="L81" i="3"/>
  <c r="L73" i="3"/>
  <c r="L65" i="3"/>
  <c r="L57" i="3"/>
  <c r="L49" i="3"/>
  <c r="L41" i="3"/>
  <c r="L33" i="3"/>
  <c r="L188" i="3"/>
  <c r="L156" i="3"/>
  <c r="L145" i="3"/>
  <c r="L113" i="3"/>
  <c r="L85" i="3"/>
  <c r="L53" i="3"/>
  <c r="L5" i="3"/>
  <c r="L2" i="3"/>
  <c r="L93" i="3"/>
  <c r="L61" i="3"/>
  <c r="L29" i="3"/>
  <c r="L21" i="3"/>
  <c r="L165" i="3"/>
  <c r="L129" i="3"/>
  <c r="L101" i="3"/>
  <c r="L69" i="3"/>
  <c r="L37" i="3"/>
  <c r="L77" i="3"/>
  <c r="L45" i="3"/>
  <c r="L13" i="3"/>
  <c r="L25" i="3"/>
  <c r="L214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<sst xmlns="http://schemas.openxmlformats.org/spreadsheetml/2006/main" count="40" uniqueCount="33">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</sst>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I3" zoomScale="85" zoomScaleNormal="85" workbookViewId="0">
      <selection activeCell="S5" sqref="S5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-0.47581000000000001</v>
      </c>
      <c r="AC3" t="s">
        <v>24</v>
      </c>
    </row>
    <row r="4" spans="1:29" x14ac:dyDescent="0.3">
      <c r="A4">
        <v>0.10485895000000001</v>
      </c>
      <c r="B4">
        <v>0.87527999999999995</v>
      </c>
      <c r="C4">
        <f t="shared" ref="C4:C67" si="0">A4*B4</f>
        <v>9.1780941756000003E-2</v>
      </c>
      <c r="D4">
        <v>1.7899999999999999E-2</v>
      </c>
      <c r="E4">
        <v>3.6900000000000001E-3</v>
      </c>
      <c r="F4">
        <f t="shared" ref="F4:F67" si="1">A4*200</f>
        <v>20.971790000000002</v>
      </c>
      <c r="G4">
        <f t="shared" ref="G4:G67" si="2">-B4</f>
        <v>-0.87527999999999995</v>
      </c>
      <c r="H4">
        <f t="shared" ref="H4:H67" si="3">-C4*200</f>
        <v>-18.3561883512</v>
      </c>
      <c r="I4">
        <v>1</v>
      </c>
      <c r="J4">
        <f t="shared" ref="J4:J67" si="4">LN(F4/1000)</f>
        <v>-3.8645770776731196</v>
      </c>
      <c r="K4">
        <f t="shared" ref="K4:K67" si="5">((-G4)-$N$2)</f>
        <v>-0.34644515177521751</v>
      </c>
      <c r="L4">
        <v>1</v>
      </c>
      <c r="M4">
        <f t="shared" ref="M4:M67" si="6">-1*($S$4+($S$5*J4))</f>
        <v>0.34223188547973682</v>
      </c>
      <c r="N4">
        <f t="shared" ref="N4:N67" si="7">D4*A4</f>
        <v>1.876975205E-3</v>
      </c>
      <c r="O4">
        <f t="shared" ref="O4:O67" si="8">E4*A4</f>
        <v>3.8692952550000006E-4</v>
      </c>
      <c r="P4">
        <f t="shared" ref="P4:P67" si="9">-K4-M4-N4-O4</f>
        <v>1.9493615649806887E-3</v>
      </c>
      <c r="R4" s="2" t="s">
        <v>25</v>
      </c>
      <c r="S4">
        <v>-0.54176000000000002</v>
      </c>
      <c r="V4">
        <v>-6</v>
      </c>
      <c r="W4">
        <f t="shared" ref="W4:W35" si="10">V4*$S$5+$S$4</f>
        <v>-0.23198000000000002</v>
      </c>
      <c r="Y4">
        <v>0</v>
      </c>
      <c r="Z4">
        <f t="shared" ref="Z4:Z31" si="11">$AB$4*Y4+$AB$3</f>
        <v>-0.47581000000000001</v>
      </c>
      <c r="AB4">
        <v>13.54368</v>
      </c>
      <c r="AC4" t="s">
        <v>26</v>
      </c>
    </row>
    <row r="5" spans="1:29" x14ac:dyDescent="0.3">
      <c r="A5">
        <v>0.20215454999999999</v>
      </c>
      <c r="B5">
        <v>0.84984999999999999</v>
      </c>
      <c r="C5">
        <f t="shared" si="0"/>
        <v>0.17180104431749998</v>
      </c>
      <c r="D5">
        <v>1.7899999999999999E-2</v>
      </c>
      <c r="E5">
        <v>3.6900000000000001E-3</v>
      </c>
      <c r="F5">
        <f t="shared" si="1"/>
        <v>40.430909999999997</v>
      </c>
      <c r="G5">
        <f t="shared" si="2"/>
        <v>-0.84984999999999999</v>
      </c>
      <c r="H5">
        <f t="shared" si="3"/>
        <v>-34.360208863499999</v>
      </c>
      <c r="I5">
        <v>1</v>
      </c>
      <c r="J5">
        <f t="shared" si="4"/>
        <v>-3.2081606875441744</v>
      </c>
      <c r="K5">
        <f t="shared" si="5"/>
        <v>-0.37187515177521746</v>
      </c>
      <c r="L5">
        <v>1</v>
      </c>
      <c r="M5">
        <f t="shared" si="6"/>
        <v>0.3761226637020943</v>
      </c>
      <c r="N5">
        <f t="shared" si="7"/>
        <v>3.6185664449999997E-3</v>
      </c>
      <c r="O5">
        <f t="shared" si="8"/>
        <v>7.4595028950000003E-4</v>
      </c>
      <c r="P5">
        <f t="shared" si="9"/>
        <v>-8.6120286613768342E-3</v>
      </c>
      <c r="R5" s="2" t="s">
        <v>27</v>
      </c>
      <c r="S5">
        <v>-5.1630000000000002E-2</v>
      </c>
      <c r="V5">
        <v>-5.9</v>
      </c>
      <c r="W5">
        <f t="shared" si="10"/>
        <v>-0.23714299999999999</v>
      </c>
      <c r="Y5">
        <v>0.01</v>
      </c>
      <c r="Z5">
        <f t="shared" si="11"/>
        <v>-0.34037320000000004</v>
      </c>
    </row>
    <row r="6" spans="1:29" x14ac:dyDescent="0.3">
      <c r="A6">
        <v>0.3016123</v>
      </c>
      <c r="B6">
        <v>0.83243</v>
      </c>
      <c r="C6">
        <f t="shared" si="0"/>
        <v>0.25107112688900002</v>
      </c>
      <c r="D6">
        <v>1.7899999999999999E-2</v>
      </c>
      <c r="E6">
        <v>3.6900000000000001E-3</v>
      </c>
      <c r="F6">
        <f t="shared" si="1"/>
        <v>60.32246</v>
      </c>
      <c r="G6">
        <f t="shared" si="2"/>
        <v>-0.83243</v>
      </c>
      <c r="H6">
        <f t="shared" si="3"/>
        <v>-50.214225377800005</v>
      </c>
      <c r="I6">
        <v>1</v>
      </c>
      <c r="J6">
        <f t="shared" si="4"/>
        <v>-2.8080507736206508</v>
      </c>
      <c r="K6">
        <f t="shared" si="5"/>
        <v>-0.38929515177521745</v>
      </c>
      <c r="L6">
        <v>1</v>
      </c>
      <c r="M6">
        <f t="shared" si="6"/>
        <v>0.39678033855796579</v>
      </c>
      <c r="N6">
        <f t="shared" si="7"/>
        <v>5.3988601699999994E-3</v>
      </c>
      <c r="O6">
        <f t="shared" si="8"/>
        <v>1.112949387E-3</v>
      </c>
      <c r="P6">
        <f t="shared" si="9"/>
        <v>-1.3996996339748342E-2</v>
      </c>
      <c r="V6">
        <v>-5.8</v>
      </c>
      <c r="W6">
        <f t="shared" si="10"/>
        <v>-0.24230600000000002</v>
      </c>
      <c r="Y6">
        <v>0.02</v>
      </c>
      <c r="Z6">
        <f t="shared" si="11"/>
        <v>-0.20493640000000002</v>
      </c>
      <c r="AB6" t="s">
        <v>28</v>
      </c>
    </row>
    <row r="7" spans="1:29" x14ac:dyDescent="0.3">
      <c r="A7">
        <v>0.39962864999999997</v>
      </c>
      <c r="B7">
        <v>0.81867000000000001</v>
      </c>
      <c r="C7">
        <f t="shared" si="0"/>
        <v>0.32716398689549997</v>
      </c>
      <c r="D7">
        <v>1.7899999999999999E-2</v>
      </c>
      <c r="E7">
        <v>3.6900000000000001E-3</v>
      </c>
      <c r="F7">
        <f t="shared" si="1"/>
        <v>79.925730000000001</v>
      </c>
      <c r="G7">
        <f t="shared" si="2"/>
        <v>-0.81867000000000001</v>
      </c>
      <c r="H7">
        <f t="shared" si="3"/>
        <v>-65.432797379099995</v>
      </c>
      <c r="I7">
        <v>1</v>
      </c>
      <c r="J7">
        <f t="shared" si="4"/>
        <v>-2.5266574505152275</v>
      </c>
      <c r="K7">
        <f t="shared" si="5"/>
        <v>-0.40305515177521745</v>
      </c>
      <c r="L7">
        <v>1</v>
      </c>
      <c r="M7">
        <f t="shared" si="6"/>
        <v>0.41130867582989883</v>
      </c>
      <c r="N7">
        <f t="shared" si="7"/>
        <v>7.1533528349999988E-3</v>
      </c>
      <c r="O7">
        <f t="shared" si="8"/>
        <v>1.4746297185E-3</v>
      </c>
      <c r="P7">
        <f t="shared" si="9"/>
        <v>-1.6881506608181381E-2</v>
      </c>
      <c r="V7">
        <v>-5.7</v>
      </c>
      <c r="W7">
        <f t="shared" si="10"/>
        <v>-0.24746899999999999</v>
      </c>
      <c r="Y7">
        <v>0.03</v>
      </c>
      <c r="Z7">
        <f t="shared" si="11"/>
        <v>-6.9499599999999995E-2</v>
      </c>
      <c r="AB7" t="s">
        <v>29</v>
      </c>
      <c r="AC7">
        <f>-AB3/AB4</f>
        <v>3.5131515215953125E-2</v>
      </c>
    </row>
    <row r="8" spans="1:29" x14ac:dyDescent="0.3">
      <c r="A8">
        <v>0.49908639999999999</v>
      </c>
      <c r="B8">
        <v>0.80684</v>
      </c>
      <c r="C8">
        <f t="shared" si="0"/>
        <v>0.40268287097599997</v>
      </c>
      <c r="D8">
        <v>1.7899999999999999E-2</v>
      </c>
      <c r="E8">
        <v>3.6900000000000001E-3</v>
      </c>
      <c r="F8">
        <f t="shared" si="1"/>
        <v>99.817279999999997</v>
      </c>
      <c r="G8">
        <f t="shared" si="2"/>
        <v>-0.80684</v>
      </c>
      <c r="H8">
        <f t="shared" si="3"/>
        <v>-80.536574195199989</v>
      </c>
      <c r="I8">
        <v>1</v>
      </c>
      <c r="J8">
        <f t="shared" si="4"/>
        <v>-2.3044139643602231</v>
      </c>
      <c r="K8">
        <f t="shared" si="5"/>
        <v>-0.41488515177521745</v>
      </c>
      <c r="L8">
        <v>1</v>
      </c>
      <c r="M8">
        <f t="shared" si="6"/>
        <v>0.42278310702008171</v>
      </c>
      <c r="N8">
        <f t="shared" si="7"/>
        <v>8.9336465599999994E-3</v>
      </c>
      <c r="O8">
        <f t="shared" si="8"/>
        <v>1.8416288160000001E-3</v>
      </c>
      <c r="P8">
        <f t="shared" si="9"/>
        <v>-1.8673230620864255E-2</v>
      </c>
      <c r="V8">
        <v>-5.6</v>
      </c>
      <c r="W8">
        <f t="shared" si="10"/>
        <v>-0.25263200000000002</v>
      </c>
      <c r="Y8">
        <v>0.04</v>
      </c>
      <c r="Z8">
        <f t="shared" si="11"/>
        <v>6.5937199999999974E-2</v>
      </c>
    </row>
    <row r="9" spans="1:29" x14ac:dyDescent="0.3">
      <c r="A9">
        <v>0.59926484999999996</v>
      </c>
      <c r="B9">
        <v>0.79634000000000005</v>
      </c>
      <c r="C9">
        <f t="shared" si="0"/>
        <v>0.47721857064899997</v>
      </c>
      <c r="D9">
        <v>1.7899999999999999E-2</v>
      </c>
      <c r="E9">
        <v>3.6900000000000001E-3</v>
      </c>
      <c r="F9">
        <f t="shared" si="1"/>
        <v>119.85297</v>
      </c>
      <c r="G9">
        <f t="shared" si="2"/>
        <v>-0.79634000000000005</v>
      </c>
      <c r="H9">
        <f t="shared" si="3"/>
        <v>-95.4437141298</v>
      </c>
      <c r="I9">
        <v>1</v>
      </c>
      <c r="J9">
        <f t="shared" si="4"/>
        <v>-2.1214895374325669</v>
      </c>
      <c r="K9">
        <f t="shared" si="5"/>
        <v>-0.42538515177521741</v>
      </c>
      <c r="L9">
        <v>1</v>
      </c>
      <c r="M9">
        <f t="shared" si="6"/>
        <v>0.43222749518235659</v>
      </c>
      <c r="N9">
        <f t="shared" si="7"/>
        <v>1.0726840814999999E-2</v>
      </c>
      <c r="O9">
        <f t="shared" si="8"/>
        <v>2.2112872965E-3</v>
      </c>
      <c r="P9">
        <f t="shared" si="9"/>
        <v>-1.9780471518639185E-2</v>
      </c>
      <c r="V9">
        <v>-5.5</v>
      </c>
      <c r="W9">
        <f t="shared" si="10"/>
        <v>-0.257795</v>
      </c>
      <c r="Y9">
        <v>0.05</v>
      </c>
      <c r="Z9">
        <f t="shared" si="11"/>
        <v>0.201374</v>
      </c>
      <c r="AB9" t="s">
        <v>30</v>
      </c>
      <c r="AC9">
        <v>3.3904999999999998E-2</v>
      </c>
    </row>
    <row r="10" spans="1:29" x14ac:dyDescent="0.3">
      <c r="A10">
        <v>0.69223625</v>
      </c>
      <c r="B10">
        <v>0.78673999999999999</v>
      </c>
      <c r="C10">
        <f t="shared" si="0"/>
        <v>0.54460994732500001</v>
      </c>
      <c r="D10">
        <v>1.7899999999999999E-2</v>
      </c>
      <c r="E10">
        <v>3.6900000000000001E-3</v>
      </c>
      <c r="F10">
        <f t="shared" si="1"/>
        <v>138.44725</v>
      </c>
      <c r="G10">
        <f t="shared" si="2"/>
        <v>-0.78673999999999999</v>
      </c>
      <c r="H10">
        <f t="shared" si="3"/>
        <v>-108.921989465</v>
      </c>
      <c r="I10">
        <v>1</v>
      </c>
      <c r="J10">
        <f t="shared" si="4"/>
        <v>-1.9772658923287751</v>
      </c>
      <c r="K10">
        <f t="shared" si="5"/>
        <v>-0.43498515177521746</v>
      </c>
      <c r="L10">
        <v>1</v>
      </c>
      <c r="M10">
        <f t="shared" si="6"/>
        <v>0.43967376197906538</v>
      </c>
      <c r="N10">
        <f t="shared" si="7"/>
        <v>1.2391028875E-2</v>
      </c>
      <c r="O10">
        <f t="shared" si="8"/>
        <v>2.5543517625E-3</v>
      </c>
      <c r="P10">
        <f t="shared" si="9"/>
        <v>-1.9633990841347922E-2</v>
      </c>
      <c r="V10">
        <v>-5.4</v>
      </c>
      <c r="W10">
        <f t="shared" si="10"/>
        <v>-0.26295799999999997</v>
      </c>
      <c r="Y10">
        <v>0.06</v>
      </c>
      <c r="Z10">
        <f t="shared" si="11"/>
        <v>0.33681080000000002</v>
      </c>
    </row>
    <row r="11" spans="1:29" x14ac:dyDescent="0.3">
      <c r="A11">
        <v>0.79818034999999998</v>
      </c>
      <c r="B11">
        <v>0.77781</v>
      </c>
      <c r="C11">
        <f t="shared" si="0"/>
        <v>0.62083265803349996</v>
      </c>
      <c r="D11">
        <v>1.7899999999999999E-2</v>
      </c>
      <c r="E11">
        <v>3.6900000000000001E-3</v>
      </c>
      <c r="F11">
        <f t="shared" si="1"/>
        <v>159.63606999999999</v>
      </c>
      <c r="G11">
        <f t="shared" si="2"/>
        <v>-0.77781</v>
      </c>
      <c r="H11">
        <f t="shared" si="3"/>
        <v>-124.16653160669999</v>
      </c>
      <c r="I11">
        <v>1</v>
      </c>
      <c r="J11">
        <f t="shared" si="4"/>
        <v>-1.8348586169948822</v>
      </c>
      <c r="K11">
        <f t="shared" si="5"/>
        <v>-0.44391515177521745</v>
      </c>
      <c r="L11">
        <v>1</v>
      </c>
      <c r="M11">
        <f t="shared" si="6"/>
        <v>0.44702624960455428</v>
      </c>
      <c r="N11">
        <f t="shared" si="7"/>
        <v>1.4287428264999999E-2</v>
      </c>
      <c r="O11">
        <f t="shared" si="8"/>
        <v>2.9452854915000002E-3</v>
      </c>
      <c r="P11">
        <f t="shared" si="9"/>
        <v>-2.0343811585836827E-2</v>
      </c>
      <c r="V11">
        <v>-5.3</v>
      </c>
      <c r="W11">
        <f t="shared" si="10"/>
        <v>-0.268121</v>
      </c>
      <c r="Y11">
        <v>7.0000000000000007E-2</v>
      </c>
      <c r="Z11">
        <f t="shared" si="11"/>
        <v>0.47224760000000005</v>
      </c>
      <c r="AB11" t="s">
        <v>31</v>
      </c>
      <c r="AC11">
        <f>AC7-AC9</f>
        <v>1.2265152159531278E-3</v>
      </c>
    </row>
    <row r="12" spans="1:29" x14ac:dyDescent="0.3">
      <c r="A12">
        <v>0.89763815000000002</v>
      </c>
      <c r="B12">
        <v>0.76934999999999998</v>
      </c>
      <c r="C12">
        <f t="shared" si="0"/>
        <v>0.69059791070249998</v>
      </c>
      <c r="D12">
        <v>1.7899999999999999E-2</v>
      </c>
      <c r="E12">
        <v>3.6900000000000001E-3</v>
      </c>
      <c r="F12">
        <f t="shared" si="1"/>
        <v>179.52763000000002</v>
      </c>
      <c r="G12">
        <f t="shared" si="2"/>
        <v>-0.76934999999999998</v>
      </c>
      <c r="H12">
        <f t="shared" si="3"/>
        <v>-138.1195821405</v>
      </c>
      <c r="I12">
        <v>1</v>
      </c>
      <c r="J12">
        <f t="shared" si="4"/>
        <v>-1.7174261553228356</v>
      </c>
      <c r="K12">
        <f t="shared" si="5"/>
        <v>-0.45237515177521748</v>
      </c>
      <c r="L12">
        <v>1</v>
      </c>
      <c r="M12">
        <f t="shared" si="6"/>
        <v>0.45308928760068201</v>
      </c>
      <c r="N12">
        <f t="shared" si="7"/>
        <v>1.6067722885E-2</v>
      </c>
      <c r="O12">
        <f t="shared" si="8"/>
        <v>3.3122847735000001E-3</v>
      </c>
      <c r="P12">
        <f t="shared" si="9"/>
        <v>-2.0094143483964533E-2</v>
      </c>
      <c r="V12">
        <v>-5.2</v>
      </c>
      <c r="W12">
        <f t="shared" si="10"/>
        <v>-0.27328399999999997</v>
      </c>
      <c r="Y12">
        <v>0.08</v>
      </c>
      <c r="Z12">
        <f t="shared" si="11"/>
        <v>0.6076843999999999</v>
      </c>
      <c r="AC12">
        <f>AC11*3</f>
        <v>3.6795456478593835E-3</v>
      </c>
    </row>
    <row r="13" spans="1:29" x14ac:dyDescent="0.3">
      <c r="A13">
        <v>0.99637514999999999</v>
      </c>
      <c r="B13">
        <v>0.76136999999999999</v>
      </c>
      <c r="C13">
        <f t="shared" si="0"/>
        <v>0.75861014795549997</v>
      </c>
      <c r="D13">
        <v>1.7899999999999999E-2</v>
      </c>
      <c r="E13">
        <v>3.6900000000000001E-3</v>
      </c>
      <c r="F13">
        <f t="shared" si="1"/>
        <v>199.27502999999999</v>
      </c>
      <c r="G13">
        <f t="shared" si="2"/>
        <v>-0.76136999999999999</v>
      </c>
      <c r="H13">
        <f t="shared" si="3"/>
        <v>-151.72202959109998</v>
      </c>
      <c r="I13">
        <v>1</v>
      </c>
      <c r="J13">
        <f t="shared" si="4"/>
        <v>-1.6130693481224332</v>
      </c>
      <c r="K13">
        <f t="shared" si="5"/>
        <v>-0.46035515177521746</v>
      </c>
      <c r="L13">
        <v>1</v>
      </c>
      <c r="M13">
        <f t="shared" si="6"/>
        <v>0.45847722955643877</v>
      </c>
      <c r="N13">
        <f t="shared" si="7"/>
        <v>1.7835115185E-2</v>
      </c>
      <c r="O13">
        <f t="shared" si="8"/>
        <v>3.6766243035000002E-3</v>
      </c>
      <c r="P13">
        <f t="shared" si="9"/>
        <v>-1.9633817269721306E-2</v>
      </c>
      <c r="V13">
        <v>-5.0999999999999996</v>
      </c>
      <c r="W13">
        <f t="shared" si="10"/>
        <v>-0.278447</v>
      </c>
      <c r="Y13">
        <v>0.09</v>
      </c>
      <c r="Z13">
        <f t="shared" si="11"/>
        <v>0.74312119999999982</v>
      </c>
    </row>
    <row r="14" spans="1:29" x14ac:dyDescent="0.3">
      <c r="A14">
        <v>1.0951122</v>
      </c>
      <c r="B14">
        <v>0.75361</v>
      </c>
      <c r="C14">
        <f t="shared" si="0"/>
        <v>0.82528750504199999</v>
      </c>
      <c r="D14">
        <v>1.7899999999999999E-2</v>
      </c>
      <c r="E14">
        <v>3.6900000000000001E-3</v>
      </c>
      <c r="F14">
        <f t="shared" si="1"/>
        <v>219.02243999999999</v>
      </c>
      <c r="G14">
        <f t="shared" si="2"/>
        <v>-0.75361</v>
      </c>
      <c r="H14">
        <f t="shared" si="3"/>
        <v>-165.05750100840001</v>
      </c>
      <c r="I14">
        <v>1</v>
      </c>
      <c r="J14">
        <f t="shared" si="4"/>
        <v>-1.5185810886614683</v>
      </c>
      <c r="K14">
        <f t="shared" si="5"/>
        <v>-0.46811515177521745</v>
      </c>
      <c r="L14">
        <v>1</v>
      </c>
      <c r="M14">
        <f t="shared" si="6"/>
        <v>0.46335565839240839</v>
      </c>
      <c r="N14">
        <f t="shared" si="7"/>
        <v>1.9602508379999998E-2</v>
      </c>
      <c r="O14">
        <f t="shared" si="8"/>
        <v>4.0409640180000001E-3</v>
      </c>
      <c r="P14">
        <f t="shared" si="9"/>
        <v>-1.8883979015190934E-2</v>
      </c>
      <c r="V14">
        <v>-5</v>
      </c>
      <c r="W14">
        <f t="shared" si="10"/>
        <v>-0.28361000000000003</v>
      </c>
      <c r="Y14">
        <v>0.1</v>
      </c>
      <c r="Z14">
        <f t="shared" si="11"/>
        <v>0.87855799999999995</v>
      </c>
    </row>
    <row r="15" spans="1:29" x14ac:dyDescent="0.3">
      <c r="A15">
        <v>1.19456995</v>
      </c>
      <c r="B15">
        <v>0.74614000000000003</v>
      </c>
      <c r="C15">
        <f t="shared" si="0"/>
        <v>0.89131642249300003</v>
      </c>
      <c r="D15">
        <v>1.7899999999999999E-2</v>
      </c>
      <c r="E15">
        <v>3.6900000000000001E-3</v>
      </c>
      <c r="F15">
        <f t="shared" si="1"/>
        <v>238.91399000000001</v>
      </c>
      <c r="G15">
        <f t="shared" si="2"/>
        <v>-0.74614000000000003</v>
      </c>
      <c r="H15">
        <f t="shared" si="3"/>
        <v>-178.2632844986</v>
      </c>
      <c r="I15">
        <v>1</v>
      </c>
      <c r="J15">
        <f t="shared" si="4"/>
        <v>-1.4316516662979732</v>
      </c>
      <c r="K15">
        <f t="shared" si="5"/>
        <v>-0.47558515177521743</v>
      </c>
      <c r="L15">
        <v>1</v>
      </c>
      <c r="M15">
        <f t="shared" si="6"/>
        <v>0.46784382446903566</v>
      </c>
      <c r="N15">
        <f t="shared" si="7"/>
        <v>2.1382802104999998E-2</v>
      </c>
      <c r="O15">
        <f t="shared" si="8"/>
        <v>4.4079631155000002E-3</v>
      </c>
      <c r="P15">
        <f t="shared" si="9"/>
        <v>-1.804943791431823E-2</v>
      </c>
      <c r="V15">
        <v>-4.9000000000000004</v>
      </c>
      <c r="W15">
        <f t="shared" si="10"/>
        <v>-0.288773</v>
      </c>
      <c r="Y15">
        <v>0.11</v>
      </c>
      <c r="Z15">
        <f t="shared" si="11"/>
        <v>1.0139947999999999</v>
      </c>
    </row>
    <row r="16" spans="1:29" x14ac:dyDescent="0.3">
      <c r="A16">
        <v>1.2947484499999999</v>
      </c>
      <c r="B16">
        <v>0.73877999999999999</v>
      </c>
      <c r="C16">
        <f t="shared" si="0"/>
        <v>0.95653425989099994</v>
      </c>
      <c r="D16">
        <v>1.7899999999999999E-2</v>
      </c>
      <c r="E16">
        <v>3.6900000000000001E-3</v>
      </c>
      <c r="F16">
        <f t="shared" si="1"/>
        <v>258.94968999999998</v>
      </c>
      <c r="G16">
        <f t="shared" si="2"/>
        <v>-0.73877999999999999</v>
      </c>
      <c r="H16">
        <f t="shared" si="3"/>
        <v>-191.3068519782</v>
      </c>
      <c r="I16">
        <v>1</v>
      </c>
      <c r="J16">
        <f t="shared" si="4"/>
        <v>-1.3511214832552587</v>
      </c>
      <c r="K16">
        <f t="shared" si="5"/>
        <v>-0.48294515177521746</v>
      </c>
      <c r="L16">
        <v>1</v>
      </c>
      <c r="M16">
        <f t="shared" si="6"/>
        <v>0.47200159781953099</v>
      </c>
      <c r="N16">
        <f t="shared" si="7"/>
        <v>2.3175997254999997E-2</v>
      </c>
      <c r="O16">
        <f t="shared" si="8"/>
        <v>4.7776217804999998E-3</v>
      </c>
      <c r="P16">
        <f t="shared" si="9"/>
        <v>-1.7010065079813529E-2</v>
      </c>
      <c r="V16">
        <v>-4.8</v>
      </c>
      <c r="W16">
        <f t="shared" si="10"/>
        <v>-0.29393600000000003</v>
      </c>
      <c r="Y16">
        <v>0.12</v>
      </c>
      <c r="Z16">
        <f t="shared" si="11"/>
        <v>1.1494316</v>
      </c>
    </row>
    <row r="17" spans="1:26" x14ac:dyDescent="0.3">
      <c r="A17">
        <v>1.39204405</v>
      </c>
      <c r="B17">
        <v>0.73151999999999995</v>
      </c>
      <c r="C17">
        <f t="shared" si="0"/>
        <v>1.018308063456</v>
      </c>
      <c r="D17">
        <v>1.7899999999999999E-2</v>
      </c>
      <c r="E17">
        <v>3.6900000000000001E-3</v>
      </c>
      <c r="F17">
        <f t="shared" si="1"/>
        <v>278.40881000000002</v>
      </c>
      <c r="G17">
        <f t="shared" si="2"/>
        <v>-0.73151999999999995</v>
      </c>
      <c r="H17">
        <f t="shared" si="3"/>
        <v>-203.66161269119999</v>
      </c>
      <c r="I17">
        <v>1</v>
      </c>
      <c r="J17">
        <f t="shared" si="4"/>
        <v>-1.2786647059076259</v>
      </c>
      <c r="K17">
        <f t="shared" si="5"/>
        <v>-0.49020515177521751</v>
      </c>
      <c r="L17">
        <v>1</v>
      </c>
      <c r="M17">
        <f t="shared" si="6"/>
        <v>0.47574254123398929</v>
      </c>
      <c r="N17">
        <f t="shared" si="7"/>
        <v>2.4917588495E-2</v>
      </c>
      <c r="O17">
        <f t="shared" si="8"/>
        <v>5.1366425445000001E-3</v>
      </c>
      <c r="P17">
        <f t="shared" si="9"/>
        <v>-1.5591620498271785E-2</v>
      </c>
      <c r="V17">
        <v>-4.7</v>
      </c>
      <c r="W17">
        <f t="shared" si="10"/>
        <v>-0.299099</v>
      </c>
      <c r="Y17">
        <v>0.13</v>
      </c>
      <c r="Z17">
        <f t="shared" si="11"/>
        <v>1.2848683999999999</v>
      </c>
    </row>
    <row r="18" spans="1:26" x14ac:dyDescent="0.3">
      <c r="A18">
        <v>1.4936639</v>
      </c>
      <c r="B18">
        <v>0.72441</v>
      </c>
      <c r="C18">
        <f t="shared" si="0"/>
        <v>1.082025065799</v>
      </c>
      <c r="D18">
        <v>1.7899999999999999E-2</v>
      </c>
      <c r="E18">
        <v>3.6900000000000001E-3</v>
      </c>
      <c r="F18">
        <f t="shared" si="1"/>
        <v>298.73277999999999</v>
      </c>
      <c r="G18">
        <f t="shared" si="2"/>
        <v>-0.72441</v>
      </c>
      <c r="H18">
        <f t="shared" si="3"/>
        <v>-216.40501315980001</v>
      </c>
      <c r="I18">
        <v>1</v>
      </c>
      <c r="J18">
        <f t="shared" si="4"/>
        <v>-1.208205817565039</v>
      </c>
      <c r="K18">
        <f t="shared" si="5"/>
        <v>-0.49731515177521746</v>
      </c>
      <c r="L18">
        <v>1</v>
      </c>
      <c r="M18">
        <f t="shared" si="6"/>
        <v>0.47938033363911703</v>
      </c>
      <c r="N18">
        <f t="shared" si="7"/>
        <v>2.6736583809999999E-2</v>
      </c>
      <c r="O18">
        <f t="shared" si="8"/>
        <v>5.5116197910000005E-3</v>
      </c>
      <c r="P18">
        <f t="shared" si="9"/>
        <v>-1.4313385464899572E-2</v>
      </c>
      <c r="V18">
        <v>-4.5999999999999996</v>
      </c>
      <c r="W18">
        <f t="shared" si="10"/>
        <v>-0.30426200000000003</v>
      </c>
      <c r="Y18">
        <v>0.14000000000000001</v>
      </c>
      <c r="Z18">
        <f t="shared" si="11"/>
        <v>1.4203052</v>
      </c>
    </row>
    <row r="19" spans="1:26" x14ac:dyDescent="0.3">
      <c r="A19">
        <v>1.5938424</v>
      </c>
      <c r="B19">
        <v>0.71733000000000002</v>
      </c>
      <c r="C19">
        <f t="shared" si="0"/>
        <v>1.143310968792</v>
      </c>
      <c r="D19">
        <v>1.7899999999999999E-2</v>
      </c>
      <c r="E19">
        <v>3.6900000000000001E-3</v>
      </c>
      <c r="F19">
        <f t="shared" si="1"/>
        <v>318.76848000000001</v>
      </c>
      <c r="G19">
        <f t="shared" si="2"/>
        <v>-0.71733000000000002</v>
      </c>
      <c r="H19">
        <f t="shared" si="3"/>
        <v>-228.66219375840001</v>
      </c>
      <c r="I19">
        <v>1</v>
      </c>
      <c r="J19">
        <f t="shared" si="4"/>
        <v>-1.1432902077194835</v>
      </c>
      <c r="K19">
        <f t="shared" si="5"/>
        <v>-0.50439515177521743</v>
      </c>
      <c r="L19">
        <v>1</v>
      </c>
      <c r="M19">
        <f t="shared" si="6"/>
        <v>0.48273192657544306</v>
      </c>
      <c r="N19">
        <f t="shared" si="7"/>
        <v>2.8529778959999998E-2</v>
      </c>
      <c r="O19">
        <f t="shared" si="8"/>
        <v>5.8812784560000001E-3</v>
      </c>
      <c r="P19">
        <f t="shared" si="9"/>
        <v>-1.2747832216225627E-2</v>
      </c>
      <c r="V19">
        <v>-4.5000000000000098</v>
      </c>
      <c r="W19">
        <f t="shared" si="10"/>
        <v>-0.30942499999999951</v>
      </c>
      <c r="Y19">
        <v>0.15</v>
      </c>
      <c r="Z19">
        <f t="shared" si="11"/>
        <v>1.555742</v>
      </c>
    </row>
    <row r="20" spans="1:26" x14ac:dyDescent="0.3">
      <c r="A20">
        <v>1.6925794000000001</v>
      </c>
      <c r="B20">
        <v>0.71040000000000003</v>
      </c>
      <c r="C20">
        <f t="shared" si="0"/>
        <v>1.2024084057600002</v>
      </c>
      <c r="D20">
        <v>1.7899999999999999E-2</v>
      </c>
      <c r="E20">
        <v>3.6900000000000001E-3</v>
      </c>
      <c r="F20">
        <f t="shared" si="1"/>
        <v>338.51588000000004</v>
      </c>
      <c r="G20">
        <f t="shared" si="2"/>
        <v>-0.71040000000000003</v>
      </c>
      <c r="H20">
        <f t="shared" si="3"/>
        <v>-240.48168115200005</v>
      </c>
      <c r="I20">
        <v>1</v>
      </c>
      <c r="J20">
        <f t="shared" si="4"/>
        <v>-1.0831842748793683</v>
      </c>
      <c r="K20">
        <f t="shared" si="5"/>
        <v>-0.51132515177521742</v>
      </c>
      <c r="L20">
        <v>1</v>
      </c>
      <c r="M20">
        <f t="shared" si="6"/>
        <v>0.48583519588797824</v>
      </c>
      <c r="N20">
        <f t="shared" si="7"/>
        <v>3.0297171259999998E-2</v>
      </c>
      <c r="O20">
        <f t="shared" si="8"/>
        <v>6.2456179860000006E-3</v>
      </c>
      <c r="P20">
        <f t="shared" si="9"/>
        <v>-1.1052833358760819E-2</v>
      </c>
      <c r="V20">
        <v>-4.4000000000000101</v>
      </c>
      <c r="W20">
        <f t="shared" si="10"/>
        <v>-0.31458799999999948</v>
      </c>
      <c r="Y20">
        <v>0.16</v>
      </c>
      <c r="Z20">
        <f t="shared" si="11"/>
        <v>1.6911787999999999</v>
      </c>
    </row>
    <row r="21" spans="1:26" x14ac:dyDescent="0.3">
      <c r="A21">
        <v>1.7913165</v>
      </c>
      <c r="B21">
        <v>0.70350000000000001</v>
      </c>
      <c r="C21">
        <f t="shared" si="0"/>
        <v>1.26019115775</v>
      </c>
      <c r="D21">
        <v>1.7899999999999999E-2</v>
      </c>
      <c r="E21">
        <v>3.6900000000000001E-3</v>
      </c>
      <c r="F21">
        <f t="shared" si="1"/>
        <v>358.26330000000002</v>
      </c>
      <c r="G21">
        <f t="shared" si="2"/>
        <v>-0.70350000000000001</v>
      </c>
      <c r="H21">
        <f t="shared" si="3"/>
        <v>-252.03823155000001</v>
      </c>
      <c r="I21">
        <v>1</v>
      </c>
      <c r="J21">
        <f t="shared" si="4"/>
        <v>-1.0264870880501979</v>
      </c>
      <c r="K21">
        <f t="shared" si="5"/>
        <v>-0.51822515177521744</v>
      </c>
      <c r="L21">
        <v>1</v>
      </c>
      <c r="M21">
        <f t="shared" si="6"/>
        <v>0.4887624716439683</v>
      </c>
      <c r="N21">
        <f t="shared" si="7"/>
        <v>3.2064565349999997E-2</v>
      </c>
      <c r="O21">
        <f t="shared" si="8"/>
        <v>6.609957885E-3</v>
      </c>
      <c r="P21">
        <f t="shared" si="9"/>
        <v>-9.2118431037508559E-3</v>
      </c>
      <c r="V21">
        <v>-4.3000000000000096</v>
      </c>
      <c r="W21">
        <f t="shared" si="10"/>
        <v>-0.31975099999999951</v>
      </c>
      <c r="Y21">
        <v>0.17</v>
      </c>
      <c r="Z21">
        <f t="shared" si="11"/>
        <v>1.8266156000000002</v>
      </c>
    </row>
    <row r="22" spans="1:26" x14ac:dyDescent="0.3">
      <c r="A22">
        <v>1.8936571</v>
      </c>
      <c r="B22">
        <v>0.69674000000000003</v>
      </c>
      <c r="C22">
        <f t="shared" si="0"/>
        <v>1.3193866478539999</v>
      </c>
      <c r="D22">
        <v>1.7899999999999999E-2</v>
      </c>
      <c r="E22">
        <v>3.6900000000000001E-3</v>
      </c>
      <c r="F22">
        <f t="shared" si="1"/>
        <v>378.73142000000001</v>
      </c>
      <c r="G22">
        <f t="shared" si="2"/>
        <v>-0.69674000000000003</v>
      </c>
      <c r="H22">
        <f t="shared" si="3"/>
        <v>-263.87732957079999</v>
      </c>
      <c r="I22">
        <v>1</v>
      </c>
      <c r="J22">
        <f t="shared" si="4"/>
        <v>-0.97092797946745868</v>
      </c>
      <c r="K22">
        <f t="shared" si="5"/>
        <v>-0.52498515177521743</v>
      </c>
      <c r="L22">
        <v>1</v>
      </c>
      <c r="M22">
        <f t="shared" si="6"/>
        <v>0.49163098842009512</v>
      </c>
      <c r="N22">
        <f t="shared" si="7"/>
        <v>3.3896462089999996E-2</v>
      </c>
      <c r="O22">
        <f t="shared" si="8"/>
        <v>6.987594699E-3</v>
      </c>
      <c r="P22">
        <f t="shared" si="9"/>
        <v>-7.5298934338776831E-3</v>
      </c>
      <c r="V22">
        <v>-4.2000000000000099</v>
      </c>
      <c r="W22">
        <f t="shared" si="10"/>
        <v>-0.32491399999999948</v>
      </c>
      <c r="Y22">
        <v>0.18</v>
      </c>
      <c r="Z22">
        <f t="shared" si="11"/>
        <v>1.9620523999999997</v>
      </c>
    </row>
    <row r="23" spans="1:26" x14ac:dyDescent="0.3">
      <c r="A23">
        <v>1.990232</v>
      </c>
      <c r="B23">
        <v>0.69015000000000004</v>
      </c>
      <c r="C23">
        <f t="shared" si="0"/>
        <v>1.3735586148000001</v>
      </c>
      <c r="D23">
        <v>1.7899999999999999E-2</v>
      </c>
      <c r="E23">
        <v>3.6900000000000001E-3</v>
      </c>
      <c r="F23">
        <f t="shared" si="1"/>
        <v>398.04640000000001</v>
      </c>
      <c r="G23">
        <f t="shared" si="2"/>
        <v>-0.69015000000000004</v>
      </c>
      <c r="H23">
        <f t="shared" si="3"/>
        <v>-274.71172296000003</v>
      </c>
      <c r="I23">
        <v>1</v>
      </c>
      <c r="J23">
        <f t="shared" si="4"/>
        <v>-0.92118669757838623</v>
      </c>
      <c r="K23">
        <f t="shared" si="5"/>
        <v>-0.53157515177521741</v>
      </c>
      <c r="L23">
        <v>1</v>
      </c>
      <c r="M23">
        <f t="shared" si="6"/>
        <v>0.49419913080402794</v>
      </c>
      <c r="N23">
        <f t="shared" si="7"/>
        <v>3.5625152799999997E-2</v>
      </c>
      <c r="O23">
        <f t="shared" si="8"/>
        <v>7.3439560800000001E-3</v>
      </c>
      <c r="P23">
        <f t="shared" si="9"/>
        <v>-5.5930879088105252E-3</v>
      </c>
      <c r="V23">
        <v>-4.1000000000000103</v>
      </c>
      <c r="W23">
        <f t="shared" si="10"/>
        <v>-0.33007699999999951</v>
      </c>
      <c r="Y23">
        <v>0.19</v>
      </c>
      <c r="Z23">
        <f t="shared" si="11"/>
        <v>2.0974892000000001</v>
      </c>
    </row>
    <row r="24" spans="1:26" x14ac:dyDescent="0.3">
      <c r="A24">
        <v>2.0932932000000002</v>
      </c>
      <c r="B24">
        <v>0.68367</v>
      </c>
      <c r="C24">
        <f t="shared" si="0"/>
        <v>1.4311217620440002</v>
      </c>
      <c r="D24">
        <v>1.7899999999999999E-2</v>
      </c>
      <c r="E24">
        <v>3.6900000000000001E-3</v>
      </c>
      <c r="F24">
        <f t="shared" si="1"/>
        <v>418.65864000000005</v>
      </c>
      <c r="G24">
        <f t="shared" si="2"/>
        <v>-0.68367</v>
      </c>
      <c r="H24">
        <f t="shared" si="3"/>
        <v>-286.22435240880003</v>
      </c>
      <c r="I24">
        <v>1</v>
      </c>
      <c r="J24">
        <f t="shared" si="4"/>
        <v>-0.87069939278040964</v>
      </c>
      <c r="K24">
        <f t="shared" si="5"/>
        <v>-0.53805515177521746</v>
      </c>
      <c r="L24">
        <v>1</v>
      </c>
      <c r="M24">
        <f t="shared" si="6"/>
        <v>0.49680579035074746</v>
      </c>
      <c r="N24">
        <f t="shared" si="7"/>
        <v>3.7469948279999998E-2</v>
      </c>
      <c r="O24">
        <f t="shared" si="8"/>
        <v>7.7242519080000013E-3</v>
      </c>
      <c r="P24">
        <f t="shared" si="9"/>
        <v>-3.9448387635300005E-3</v>
      </c>
      <c r="V24">
        <v>-4.0000000000000098</v>
      </c>
      <c r="W24">
        <f t="shared" si="10"/>
        <v>-0.33523999999999954</v>
      </c>
      <c r="Y24">
        <v>0.2</v>
      </c>
      <c r="Z24">
        <f t="shared" si="11"/>
        <v>2.232926</v>
      </c>
    </row>
    <row r="25" spans="1:26" x14ac:dyDescent="0.3">
      <c r="A25">
        <v>2.19707535</v>
      </c>
      <c r="B25">
        <v>0.67737000000000003</v>
      </c>
      <c r="C25">
        <f t="shared" si="0"/>
        <v>1.4882329298295001</v>
      </c>
      <c r="D25">
        <v>1.7899999999999999E-2</v>
      </c>
      <c r="E25">
        <v>3.6900000000000001E-3</v>
      </c>
      <c r="F25">
        <f t="shared" si="1"/>
        <v>439.41507000000001</v>
      </c>
      <c r="G25">
        <f t="shared" si="2"/>
        <v>-0.67737000000000003</v>
      </c>
      <c r="H25">
        <f t="shared" si="3"/>
        <v>-297.64658596589999</v>
      </c>
      <c r="I25">
        <v>1</v>
      </c>
      <c r="J25">
        <f t="shared" si="4"/>
        <v>-0.82231082285142743</v>
      </c>
      <c r="K25">
        <f t="shared" si="5"/>
        <v>-0.54435515177521743</v>
      </c>
      <c r="L25">
        <v>1</v>
      </c>
      <c r="M25">
        <f t="shared" si="6"/>
        <v>0.49930409221618083</v>
      </c>
      <c r="N25">
        <f t="shared" si="7"/>
        <v>3.9327648765000001E-2</v>
      </c>
      <c r="O25">
        <f t="shared" si="8"/>
        <v>8.1072080415000008E-3</v>
      </c>
      <c r="P25">
        <f t="shared" si="9"/>
        <v>-2.3837972474634022E-3</v>
      </c>
      <c r="V25">
        <v>-3.9000000000000101</v>
      </c>
      <c r="W25">
        <f t="shared" si="10"/>
        <v>-0.34040299999999946</v>
      </c>
      <c r="Y25">
        <v>0.21</v>
      </c>
      <c r="Z25">
        <f t="shared" si="11"/>
        <v>2.3683627999999999</v>
      </c>
    </row>
    <row r="26" spans="1:26" x14ac:dyDescent="0.3">
      <c r="A26">
        <v>2.2929293999999998</v>
      </c>
      <c r="B26">
        <v>0.67125999999999997</v>
      </c>
      <c r="C26">
        <f t="shared" si="0"/>
        <v>1.5391517890439999</v>
      </c>
      <c r="D26">
        <v>1.7899999999999999E-2</v>
      </c>
      <c r="E26">
        <v>3.6900000000000001E-3</v>
      </c>
      <c r="F26">
        <f t="shared" si="1"/>
        <v>458.58587999999997</v>
      </c>
      <c r="G26">
        <f t="shared" si="2"/>
        <v>-0.67125999999999997</v>
      </c>
      <c r="H26">
        <f t="shared" si="3"/>
        <v>-307.83035780879999</v>
      </c>
      <c r="I26">
        <v>1</v>
      </c>
      <c r="J26">
        <f t="shared" si="4"/>
        <v>-0.77960769839125343</v>
      </c>
      <c r="K26">
        <f t="shared" si="5"/>
        <v>-0.55046515177521749</v>
      </c>
      <c r="L26">
        <v>1</v>
      </c>
      <c r="M26">
        <f t="shared" si="6"/>
        <v>0.50150885453205962</v>
      </c>
      <c r="N26">
        <f t="shared" si="7"/>
        <v>4.1043436259999996E-2</v>
      </c>
      <c r="O26">
        <f t="shared" si="8"/>
        <v>8.4609094859999998E-3</v>
      </c>
      <c r="P26">
        <f t="shared" si="9"/>
        <v>-5.4804850284213141E-4</v>
      </c>
      <c r="V26">
        <v>-3.80000000000001</v>
      </c>
      <c r="W26">
        <f t="shared" si="10"/>
        <v>-0.34556599999999948</v>
      </c>
      <c r="Y26">
        <v>0.22</v>
      </c>
      <c r="Z26">
        <f t="shared" si="11"/>
        <v>2.5037995999999998</v>
      </c>
    </row>
    <row r="27" spans="1:26" x14ac:dyDescent="0.3">
      <c r="A27">
        <v>2.3923871499999998</v>
      </c>
      <c r="B27">
        <v>0.66527000000000003</v>
      </c>
      <c r="C27">
        <f t="shared" si="0"/>
        <v>1.5915833992805</v>
      </c>
      <c r="D27">
        <v>1.7899999999999999E-2</v>
      </c>
      <c r="E27">
        <v>3.6900000000000001E-3</v>
      </c>
      <c r="F27">
        <f t="shared" si="1"/>
        <v>478.47742999999997</v>
      </c>
      <c r="G27">
        <f t="shared" si="2"/>
        <v>-0.66527000000000003</v>
      </c>
      <c r="H27">
        <f t="shared" si="3"/>
        <v>-318.3166798561</v>
      </c>
      <c r="I27">
        <v>1</v>
      </c>
      <c r="J27">
        <f t="shared" si="4"/>
        <v>-0.73714623743564911</v>
      </c>
      <c r="K27">
        <f t="shared" si="5"/>
        <v>-0.55645515177521743</v>
      </c>
      <c r="L27">
        <v>1</v>
      </c>
      <c r="M27">
        <f t="shared" si="6"/>
        <v>0.50370113976119746</v>
      </c>
      <c r="N27">
        <f t="shared" si="7"/>
        <v>4.2823729984999996E-2</v>
      </c>
      <c r="O27">
        <f t="shared" si="8"/>
        <v>8.8279085834999989E-3</v>
      </c>
      <c r="P27">
        <f t="shared" si="9"/>
        <v>1.1023734455199736E-3</v>
      </c>
      <c r="V27">
        <v>-3.7000000000000099</v>
      </c>
      <c r="W27">
        <f t="shared" si="10"/>
        <v>-0.35072899999999951</v>
      </c>
      <c r="Y27">
        <v>0.23</v>
      </c>
      <c r="Z27">
        <f t="shared" si="11"/>
        <v>2.6392364000000001</v>
      </c>
    </row>
    <row r="28" spans="1:26" x14ac:dyDescent="0.3">
      <c r="A28">
        <v>2.4940071000000001</v>
      </c>
      <c r="B28">
        <v>0.65947</v>
      </c>
      <c r="C28">
        <f t="shared" si="0"/>
        <v>1.644722862237</v>
      </c>
      <c r="D28">
        <v>1.7899999999999999E-2</v>
      </c>
      <c r="E28">
        <v>3.6900000000000001E-3</v>
      </c>
      <c r="F28">
        <f t="shared" si="1"/>
        <v>498.80142000000001</v>
      </c>
      <c r="G28">
        <f t="shared" si="2"/>
        <v>-0.65947</v>
      </c>
      <c r="H28">
        <f t="shared" si="3"/>
        <v>-328.94457244739999</v>
      </c>
      <c r="I28">
        <v>1</v>
      </c>
      <c r="J28">
        <f t="shared" si="4"/>
        <v>-0.69554721834791011</v>
      </c>
      <c r="K28">
        <f t="shared" si="5"/>
        <v>-0.56225515177521745</v>
      </c>
      <c r="L28">
        <v>1</v>
      </c>
      <c r="M28">
        <f t="shared" si="6"/>
        <v>0.50584889711669745</v>
      </c>
      <c r="N28">
        <f t="shared" si="7"/>
        <v>4.4642727090000001E-2</v>
      </c>
      <c r="O28">
        <f t="shared" si="8"/>
        <v>9.2028861990000009E-3</v>
      </c>
      <c r="P28">
        <f t="shared" si="9"/>
        <v>2.5606413695200038E-3</v>
      </c>
      <c r="V28">
        <v>-3.6000000000000099</v>
      </c>
      <c r="W28">
        <f t="shared" si="10"/>
        <v>-0.35589199999999954</v>
      </c>
      <c r="Y28">
        <v>0.24</v>
      </c>
      <c r="Z28">
        <f t="shared" si="11"/>
        <v>2.7746732000000001</v>
      </c>
    </row>
    <row r="29" spans="1:26" x14ac:dyDescent="0.3">
      <c r="A29">
        <v>2.5920233499999998</v>
      </c>
      <c r="B29">
        <v>0.65373000000000003</v>
      </c>
      <c r="C29">
        <f t="shared" si="0"/>
        <v>1.6944834245955001</v>
      </c>
      <c r="D29">
        <v>1.7899999999999999E-2</v>
      </c>
      <c r="E29">
        <v>3.6900000000000001E-3</v>
      </c>
      <c r="F29">
        <f t="shared" si="1"/>
        <v>518.40467000000001</v>
      </c>
      <c r="G29">
        <f t="shared" si="2"/>
        <v>-0.65373000000000003</v>
      </c>
      <c r="H29">
        <f t="shared" si="3"/>
        <v>-338.89668491910004</v>
      </c>
      <c r="I29">
        <v>1</v>
      </c>
      <c r="J29">
        <f t="shared" si="4"/>
        <v>-0.65699912549699391</v>
      </c>
      <c r="K29">
        <f t="shared" si="5"/>
        <v>-0.56799515177521742</v>
      </c>
      <c r="L29">
        <v>1</v>
      </c>
      <c r="M29">
        <f t="shared" si="6"/>
        <v>0.5078391351505902</v>
      </c>
      <c r="N29">
        <f t="shared" si="7"/>
        <v>4.6397217964999994E-2</v>
      </c>
      <c r="O29">
        <f t="shared" si="8"/>
        <v>9.5645661614999992E-3</v>
      </c>
      <c r="P29">
        <f t="shared" si="9"/>
        <v>4.1942324981272244E-3</v>
      </c>
      <c r="V29">
        <v>-3.5000000000000102</v>
      </c>
      <c r="W29">
        <f t="shared" si="10"/>
        <v>-0.36105499999999946</v>
      </c>
      <c r="Y29">
        <v>0.25</v>
      </c>
      <c r="Z29">
        <f t="shared" si="11"/>
        <v>2.91011</v>
      </c>
    </row>
    <row r="30" spans="1:26" x14ac:dyDescent="0.3">
      <c r="A30">
        <v>2.6914810999999998</v>
      </c>
      <c r="B30">
        <v>0.64819000000000004</v>
      </c>
      <c r="C30">
        <f t="shared" si="0"/>
        <v>1.7445911342089999</v>
      </c>
      <c r="D30">
        <v>1.7899999999999999E-2</v>
      </c>
      <c r="E30">
        <v>3.6900000000000001E-3</v>
      </c>
      <c r="F30">
        <f t="shared" si="1"/>
        <v>538.29621999999995</v>
      </c>
      <c r="G30">
        <f t="shared" si="2"/>
        <v>-0.64819000000000004</v>
      </c>
      <c r="H30">
        <f t="shared" si="3"/>
        <v>-348.91822684179999</v>
      </c>
      <c r="I30">
        <v>1</v>
      </c>
      <c r="J30">
        <f t="shared" si="4"/>
        <v>-0.61934627554651256</v>
      </c>
      <c r="K30">
        <f t="shared" si="5"/>
        <v>-0.57353515177521741</v>
      </c>
      <c r="L30">
        <v>1</v>
      </c>
      <c r="M30">
        <f t="shared" si="6"/>
        <v>0.50978315179353362</v>
      </c>
      <c r="N30">
        <f t="shared" si="7"/>
        <v>4.8177511689999994E-2</v>
      </c>
      <c r="O30">
        <f t="shared" si="8"/>
        <v>9.9315652590000001E-3</v>
      </c>
      <c r="P30">
        <f t="shared" si="9"/>
        <v>5.6429230326837995E-3</v>
      </c>
      <c r="V30">
        <v>-3.4000000000000101</v>
      </c>
      <c r="W30">
        <f t="shared" si="10"/>
        <v>-0.36621799999999949</v>
      </c>
      <c r="Y30">
        <v>0.26</v>
      </c>
      <c r="Z30">
        <f t="shared" si="11"/>
        <v>3.0455467999999999</v>
      </c>
    </row>
    <row r="31" spans="1:26" x14ac:dyDescent="0.3">
      <c r="A31">
        <v>2.7916596</v>
      </c>
      <c r="B31">
        <v>0.64276</v>
      </c>
      <c r="C31">
        <f t="shared" si="0"/>
        <v>1.794367124496</v>
      </c>
      <c r="D31">
        <v>1.7899999999999999E-2</v>
      </c>
      <c r="E31">
        <v>3.6900000000000001E-3</v>
      </c>
      <c r="F31">
        <f t="shared" si="1"/>
        <v>558.33191999999997</v>
      </c>
      <c r="G31">
        <f t="shared" si="2"/>
        <v>-0.64276</v>
      </c>
      <c r="H31">
        <f t="shared" si="3"/>
        <v>-358.87342489920002</v>
      </c>
      <c r="I31">
        <v>1</v>
      </c>
      <c r="J31">
        <f t="shared" si="4"/>
        <v>-0.5828016547375674</v>
      </c>
      <c r="K31">
        <f t="shared" si="5"/>
        <v>-0.57896515177521746</v>
      </c>
      <c r="L31">
        <v>1</v>
      </c>
      <c r="M31">
        <f t="shared" si="6"/>
        <v>0.51166995056589937</v>
      </c>
      <c r="N31">
        <f t="shared" si="7"/>
        <v>4.9970706839999997E-2</v>
      </c>
      <c r="O31">
        <f t="shared" si="8"/>
        <v>1.0301223924E-2</v>
      </c>
      <c r="P31">
        <f t="shared" si="9"/>
        <v>7.023270445318093E-3</v>
      </c>
      <c r="V31">
        <v>-3.30000000000001</v>
      </c>
      <c r="W31">
        <f t="shared" si="10"/>
        <v>-0.37138099999999952</v>
      </c>
      <c r="Y31">
        <v>0.27</v>
      </c>
      <c r="Z31">
        <f t="shared" si="11"/>
        <v>3.1809836000000002</v>
      </c>
    </row>
    <row r="32" spans="1:26" x14ac:dyDescent="0.3">
      <c r="A32">
        <v>2.8903968500000001</v>
      </c>
      <c r="B32">
        <v>0.63736999999999999</v>
      </c>
      <c r="C32">
        <f t="shared" si="0"/>
        <v>1.8422522402845001</v>
      </c>
      <c r="D32">
        <v>1.7899999999999999E-2</v>
      </c>
      <c r="E32">
        <v>3.6900000000000001E-3</v>
      </c>
      <c r="F32">
        <f t="shared" si="1"/>
        <v>578.07937000000004</v>
      </c>
      <c r="G32">
        <f t="shared" si="2"/>
        <v>-0.63736999999999999</v>
      </c>
      <c r="H32">
        <f t="shared" si="3"/>
        <v>-368.45044805690003</v>
      </c>
      <c r="I32">
        <v>1</v>
      </c>
      <c r="J32">
        <f t="shared" si="4"/>
        <v>-0.54804410139795923</v>
      </c>
      <c r="K32">
        <f t="shared" si="5"/>
        <v>-0.58435515177521746</v>
      </c>
      <c r="L32">
        <v>1</v>
      </c>
      <c r="M32">
        <f t="shared" si="6"/>
        <v>0.51346448304482339</v>
      </c>
      <c r="N32">
        <f t="shared" si="7"/>
        <v>5.1738103615000003E-2</v>
      </c>
      <c r="O32">
        <f t="shared" si="8"/>
        <v>1.06655643765E-2</v>
      </c>
      <c r="P32">
        <f t="shared" si="9"/>
        <v>8.4870007388940655E-3</v>
      </c>
      <c r="V32">
        <v>-3.2000000000000099</v>
      </c>
      <c r="W32">
        <f t="shared" si="10"/>
        <v>-0.37654399999999949</v>
      </c>
    </row>
    <row r="33" spans="1:23" x14ac:dyDescent="0.3">
      <c r="A33">
        <v>2.98985455</v>
      </c>
      <c r="B33">
        <v>0.63212999999999997</v>
      </c>
      <c r="C33">
        <f t="shared" si="0"/>
        <v>1.8899767566915</v>
      </c>
      <c r="D33">
        <v>1.7899999999999999E-2</v>
      </c>
      <c r="E33">
        <v>3.6900000000000001E-3</v>
      </c>
      <c r="F33">
        <f t="shared" si="1"/>
        <v>597.97091</v>
      </c>
      <c r="G33">
        <f t="shared" si="2"/>
        <v>-0.63212999999999997</v>
      </c>
      <c r="H33">
        <f t="shared" si="3"/>
        <v>-377.9953513383</v>
      </c>
      <c r="I33">
        <v>1</v>
      </c>
      <c r="J33">
        <f t="shared" si="4"/>
        <v>-0.51421317169968506</v>
      </c>
      <c r="K33">
        <f t="shared" si="5"/>
        <v>-0.58959515177521749</v>
      </c>
      <c r="L33">
        <v>1</v>
      </c>
      <c r="M33">
        <f t="shared" si="6"/>
        <v>0.51521117394514526</v>
      </c>
      <c r="N33">
        <f t="shared" si="7"/>
        <v>5.3518396444999998E-2</v>
      </c>
      <c r="O33">
        <f t="shared" si="8"/>
        <v>1.1032563289500001E-2</v>
      </c>
      <c r="P33">
        <f t="shared" si="9"/>
        <v>9.8330180955722244E-3</v>
      </c>
      <c r="V33">
        <v>-3.1000000000000099</v>
      </c>
      <c r="W33">
        <f t="shared" si="10"/>
        <v>-0.38170699999999946</v>
      </c>
    </row>
    <row r="34" spans="1:23" x14ac:dyDescent="0.3">
      <c r="A34">
        <v>3.0900330500000002</v>
      </c>
      <c r="B34">
        <v>0.62692000000000003</v>
      </c>
      <c r="C34">
        <f t="shared" si="0"/>
        <v>1.9372035197060002</v>
      </c>
      <c r="D34">
        <v>1.7899999999999999E-2</v>
      </c>
      <c r="E34">
        <v>3.6900000000000001E-3</v>
      </c>
      <c r="F34">
        <f t="shared" si="1"/>
        <v>618.00661000000002</v>
      </c>
      <c r="G34">
        <f t="shared" si="2"/>
        <v>-0.62692000000000003</v>
      </c>
      <c r="H34">
        <f t="shared" si="3"/>
        <v>-387.44070394120007</v>
      </c>
      <c r="I34">
        <v>1</v>
      </c>
      <c r="J34">
        <f t="shared" si="4"/>
        <v>-0.48125612578876559</v>
      </c>
      <c r="K34">
        <f t="shared" si="5"/>
        <v>-0.59480515177521742</v>
      </c>
      <c r="L34">
        <v>1</v>
      </c>
      <c r="M34">
        <f t="shared" si="6"/>
        <v>0.51691274622552608</v>
      </c>
      <c r="N34">
        <f t="shared" si="7"/>
        <v>5.5311591595000001E-2</v>
      </c>
      <c r="O34">
        <f t="shared" si="8"/>
        <v>1.14022219545E-2</v>
      </c>
      <c r="P34">
        <f t="shared" si="9"/>
        <v>1.1178592000191345E-2</v>
      </c>
      <c r="V34">
        <v>-3.0000000000000102</v>
      </c>
      <c r="W34">
        <f t="shared" si="10"/>
        <v>-0.38686999999999949</v>
      </c>
    </row>
    <row r="35" spans="1:23" x14ac:dyDescent="0.3">
      <c r="A35">
        <v>3.1902115499999999</v>
      </c>
      <c r="B35">
        <v>0.62182000000000004</v>
      </c>
      <c r="C35">
        <f t="shared" si="0"/>
        <v>1.9837373460210002</v>
      </c>
      <c r="D35">
        <v>1.7899999999999999E-2</v>
      </c>
      <c r="E35">
        <v>3.6900000000000001E-3</v>
      </c>
      <c r="F35">
        <f t="shared" si="1"/>
        <v>638.04230999999993</v>
      </c>
      <c r="G35">
        <f t="shared" si="2"/>
        <v>-0.62182000000000004</v>
      </c>
      <c r="H35">
        <f t="shared" si="3"/>
        <v>-396.74746920420006</v>
      </c>
      <c r="I35">
        <v>1</v>
      </c>
      <c r="J35">
        <f t="shared" si="4"/>
        <v>-0.44935068122177674</v>
      </c>
      <c r="K35">
        <f t="shared" si="5"/>
        <v>-0.59990515177521742</v>
      </c>
      <c r="L35">
        <v>1</v>
      </c>
      <c r="M35">
        <f t="shared" si="6"/>
        <v>0.51856002432851966</v>
      </c>
      <c r="N35">
        <f t="shared" si="7"/>
        <v>5.7104786744999997E-2</v>
      </c>
      <c r="O35">
        <f t="shared" si="8"/>
        <v>1.17718806195E-2</v>
      </c>
      <c r="P35">
        <f t="shared" si="9"/>
        <v>1.2468460082197754E-2</v>
      </c>
      <c r="V35">
        <v>-2.9000000000000101</v>
      </c>
      <c r="W35">
        <f t="shared" si="10"/>
        <v>-0.39203299999999952</v>
      </c>
    </row>
    <row r="36" spans="1:23" x14ac:dyDescent="0.3">
      <c r="A36">
        <v>3.2889485500000002</v>
      </c>
      <c r="B36">
        <v>0.61677999999999999</v>
      </c>
      <c r="C36">
        <f t="shared" si="0"/>
        <v>2.028557686669</v>
      </c>
      <c r="D36">
        <v>1.7899999999999999E-2</v>
      </c>
      <c r="E36">
        <v>3.6900000000000001E-3</v>
      </c>
      <c r="F36">
        <f t="shared" si="1"/>
        <v>657.78971000000001</v>
      </c>
      <c r="G36">
        <f t="shared" si="2"/>
        <v>-0.61677999999999999</v>
      </c>
      <c r="H36">
        <f t="shared" si="3"/>
        <v>-405.71153733380004</v>
      </c>
      <c r="I36">
        <v>1</v>
      </c>
      <c r="J36">
        <f t="shared" si="4"/>
        <v>-0.41886998840213391</v>
      </c>
      <c r="K36">
        <f t="shared" si="5"/>
        <v>-0.60494515177521746</v>
      </c>
      <c r="L36">
        <v>1</v>
      </c>
      <c r="M36">
        <f t="shared" si="6"/>
        <v>0.52013374249879785</v>
      </c>
      <c r="N36">
        <f t="shared" si="7"/>
        <v>5.8872179045E-2</v>
      </c>
      <c r="O36">
        <f t="shared" si="8"/>
        <v>1.2136220149500001E-2</v>
      </c>
      <c r="P36">
        <f t="shared" si="9"/>
        <v>1.3803010081919613E-2</v>
      </c>
      <c r="V36">
        <v>-2.80000000000001</v>
      </c>
      <c r="W36">
        <f t="shared" ref="W36:W67" si="12">V36*$S$5+$S$4</f>
        <v>-0.39719599999999949</v>
      </c>
    </row>
    <row r="37" spans="1:23" x14ac:dyDescent="0.3">
      <c r="A37">
        <v>3.3898475000000001</v>
      </c>
      <c r="B37">
        <v>0.61182000000000003</v>
      </c>
      <c r="C37">
        <f t="shared" si="0"/>
        <v>2.0739764974500003</v>
      </c>
      <c r="D37">
        <v>1.7899999999999999E-2</v>
      </c>
      <c r="E37">
        <v>3.6900000000000001E-3</v>
      </c>
      <c r="F37">
        <f t="shared" si="1"/>
        <v>677.96950000000004</v>
      </c>
      <c r="G37">
        <f t="shared" si="2"/>
        <v>-0.61182000000000003</v>
      </c>
      <c r="H37">
        <f t="shared" si="3"/>
        <v>-414.79529949000005</v>
      </c>
      <c r="I37">
        <v>1</v>
      </c>
      <c r="J37">
        <f t="shared" si="4"/>
        <v>-0.38865297730434567</v>
      </c>
      <c r="K37">
        <f t="shared" si="5"/>
        <v>-0.60990515177521742</v>
      </c>
      <c r="L37">
        <v>1</v>
      </c>
      <c r="M37">
        <f t="shared" si="6"/>
        <v>0.52169384678177666</v>
      </c>
      <c r="N37">
        <f t="shared" si="7"/>
        <v>6.0678270249999999E-2</v>
      </c>
      <c r="O37">
        <f t="shared" si="8"/>
        <v>1.2508537275E-2</v>
      </c>
      <c r="P37">
        <f t="shared" si="9"/>
        <v>1.5024497468440765E-2</v>
      </c>
      <c r="V37">
        <v>-2.7000000000000099</v>
      </c>
      <c r="W37">
        <f t="shared" si="12"/>
        <v>-0.40235899999999947</v>
      </c>
    </row>
    <row r="38" spans="1:23" x14ac:dyDescent="0.3">
      <c r="A38">
        <v>3.4893054999999999</v>
      </c>
      <c r="B38">
        <v>0.60692999999999997</v>
      </c>
      <c r="C38">
        <f t="shared" si="0"/>
        <v>2.1177641871149997</v>
      </c>
      <c r="D38">
        <v>1.7899999999999999E-2</v>
      </c>
      <c r="E38">
        <v>3.6900000000000001E-3</v>
      </c>
      <c r="F38">
        <f t="shared" si="1"/>
        <v>697.86109999999996</v>
      </c>
      <c r="G38">
        <f t="shared" si="2"/>
        <v>-0.60692999999999997</v>
      </c>
      <c r="H38">
        <f t="shared" si="3"/>
        <v>-423.55283742299991</v>
      </c>
      <c r="I38">
        <v>1</v>
      </c>
      <c r="J38">
        <f t="shared" si="4"/>
        <v>-0.35973519315699198</v>
      </c>
      <c r="K38">
        <f t="shared" si="5"/>
        <v>-0.61479515177521749</v>
      </c>
      <c r="L38">
        <v>1</v>
      </c>
      <c r="M38">
        <f t="shared" si="6"/>
        <v>0.52318687197730451</v>
      </c>
      <c r="N38">
        <f t="shared" si="7"/>
        <v>6.2458568449999995E-2</v>
      </c>
      <c r="O38">
        <f t="shared" si="8"/>
        <v>1.2875537295E-2</v>
      </c>
      <c r="P38">
        <f t="shared" si="9"/>
        <v>1.6274174052912978E-2</v>
      </c>
      <c r="V38">
        <v>-2.6000000000000099</v>
      </c>
      <c r="W38">
        <f t="shared" si="12"/>
        <v>-0.4075219999999995</v>
      </c>
    </row>
    <row r="39" spans="1:23" x14ac:dyDescent="0.3">
      <c r="A39">
        <v>3.5930874500000001</v>
      </c>
      <c r="B39">
        <v>0.60207999999999995</v>
      </c>
      <c r="C39">
        <f t="shared" si="0"/>
        <v>2.1633260918959998</v>
      </c>
      <c r="D39">
        <v>1.7899999999999999E-2</v>
      </c>
      <c r="E39">
        <v>3.6900000000000001E-3</v>
      </c>
      <c r="F39">
        <f t="shared" si="1"/>
        <v>718.61748999999998</v>
      </c>
      <c r="G39">
        <f t="shared" si="2"/>
        <v>-0.60207999999999995</v>
      </c>
      <c r="H39">
        <f t="shared" si="3"/>
        <v>-432.66521837919993</v>
      </c>
      <c r="I39">
        <v>1</v>
      </c>
      <c r="J39">
        <f t="shared" si="4"/>
        <v>-0.33042606560642185</v>
      </c>
      <c r="K39">
        <f t="shared" si="5"/>
        <v>-0.61964515177521751</v>
      </c>
      <c r="L39">
        <v>1</v>
      </c>
      <c r="M39">
        <f t="shared" si="6"/>
        <v>0.52470010223274044</v>
      </c>
      <c r="N39">
        <f t="shared" si="7"/>
        <v>6.4316265354999999E-2</v>
      </c>
      <c r="O39">
        <f t="shared" si="8"/>
        <v>1.3258492690500001E-2</v>
      </c>
      <c r="P39">
        <f t="shared" si="9"/>
        <v>1.7370291496977067E-2</v>
      </c>
      <c r="V39">
        <v>-2.5000000000000102</v>
      </c>
      <c r="W39">
        <f t="shared" si="12"/>
        <v>-0.41268499999999952</v>
      </c>
    </row>
    <row r="40" spans="1:23" x14ac:dyDescent="0.3">
      <c r="A40">
        <v>3.688221</v>
      </c>
      <c r="B40">
        <v>0.59728999999999999</v>
      </c>
      <c r="C40">
        <f t="shared" si="0"/>
        <v>2.20293752109</v>
      </c>
      <c r="D40">
        <v>1.7899999999999999E-2</v>
      </c>
      <c r="E40">
        <v>3.6900000000000001E-3</v>
      </c>
      <c r="F40">
        <f t="shared" si="1"/>
        <v>737.64419999999996</v>
      </c>
      <c r="G40">
        <f t="shared" si="2"/>
        <v>-0.59728999999999999</v>
      </c>
      <c r="H40">
        <f t="shared" si="3"/>
        <v>-440.58750421799999</v>
      </c>
      <c r="I40">
        <v>1</v>
      </c>
      <c r="J40">
        <f t="shared" si="4"/>
        <v>-0.30429368445703775</v>
      </c>
      <c r="K40">
        <f t="shared" si="5"/>
        <v>-0.62443515177521747</v>
      </c>
      <c r="L40">
        <v>1</v>
      </c>
      <c r="M40">
        <f t="shared" si="6"/>
        <v>0.52604931707148317</v>
      </c>
      <c r="N40">
        <f t="shared" si="7"/>
        <v>6.6019155900000001E-2</v>
      </c>
      <c r="O40">
        <f t="shared" si="8"/>
        <v>1.360953549E-2</v>
      </c>
      <c r="P40">
        <f t="shared" si="9"/>
        <v>1.8757143313734299E-2</v>
      </c>
      <c r="V40">
        <v>-2.4000000000000101</v>
      </c>
      <c r="W40">
        <f t="shared" si="12"/>
        <v>-0.4178479999999995</v>
      </c>
    </row>
    <row r="41" spans="1:23" x14ac:dyDescent="0.3">
      <c r="A41">
        <v>3.7862372500000001</v>
      </c>
      <c r="B41">
        <v>0.59260000000000002</v>
      </c>
      <c r="C41">
        <f t="shared" si="0"/>
        <v>2.2437241943499999</v>
      </c>
      <c r="D41">
        <v>1.7899999999999999E-2</v>
      </c>
      <c r="E41">
        <v>3.6900000000000001E-3</v>
      </c>
      <c r="F41">
        <f t="shared" si="1"/>
        <v>757.24745000000007</v>
      </c>
      <c r="G41">
        <f t="shared" si="2"/>
        <v>-0.59260000000000002</v>
      </c>
      <c r="H41">
        <f t="shared" si="3"/>
        <v>-448.74483886999997</v>
      </c>
      <c r="I41">
        <v>1</v>
      </c>
      <c r="J41">
        <f t="shared" si="4"/>
        <v>-0.27806519652846284</v>
      </c>
      <c r="K41">
        <f t="shared" si="5"/>
        <v>-0.62912515177521744</v>
      </c>
      <c r="L41">
        <v>1</v>
      </c>
      <c r="M41">
        <f t="shared" si="6"/>
        <v>0.52740349390323549</v>
      </c>
      <c r="N41">
        <f t="shared" si="7"/>
        <v>6.7773646775000002E-2</v>
      </c>
      <c r="O41">
        <f t="shared" si="8"/>
        <v>1.3971215452500001E-2</v>
      </c>
      <c r="P41">
        <f t="shared" si="9"/>
        <v>1.9976795644481949E-2</v>
      </c>
      <c r="V41">
        <v>-2.30000000000001</v>
      </c>
      <c r="W41">
        <f t="shared" si="12"/>
        <v>-0.42301099999999947</v>
      </c>
    </row>
    <row r="42" spans="1:23" x14ac:dyDescent="0.3">
      <c r="A42">
        <v>3.8871364499999999</v>
      </c>
      <c r="B42">
        <v>0.58792999999999995</v>
      </c>
      <c r="C42">
        <f t="shared" si="0"/>
        <v>2.2853641330484997</v>
      </c>
      <c r="D42">
        <v>1.7899999999999999E-2</v>
      </c>
      <c r="E42">
        <v>3.6900000000000001E-3</v>
      </c>
      <c r="F42">
        <f t="shared" si="1"/>
        <v>777.42728999999997</v>
      </c>
      <c r="G42">
        <f t="shared" si="2"/>
        <v>-0.58792999999999995</v>
      </c>
      <c r="H42">
        <f t="shared" si="3"/>
        <v>-457.07282660969997</v>
      </c>
      <c r="I42">
        <v>1</v>
      </c>
      <c r="J42">
        <f t="shared" si="4"/>
        <v>-0.25176515698668667</v>
      </c>
      <c r="K42">
        <f t="shared" si="5"/>
        <v>-0.6337951517752175</v>
      </c>
      <c r="L42">
        <v>1</v>
      </c>
      <c r="M42">
        <f t="shared" si="6"/>
        <v>0.52876136494477743</v>
      </c>
      <c r="N42">
        <f t="shared" si="7"/>
        <v>6.9579742454999996E-2</v>
      </c>
      <c r="O42">
        <f t="shared" si="8"/>
        <v>1.4343533500499999E-2</v>
      </c>
      <c r="P42">
        <f t="shared" si="9"/>
        <v>2.1110510874940071E-2</v>
      </c>
      <c r="V42">
        <v>-2.2000000000000099</v>
      </c>
      <c r="W42">
        <f t="shared" si="12"/>
        <v>-0.4281739999999995</v>
      </c>
    </row>
    <row r="43" spans="1:23" x14ac:dyDescent="0.3">
      <c r="A43">
        <v>3.98731495</v>
      </c>
      <c r="B43">
        <v>0.58331999999999995</v>
      </c>
      <c r="C43">
        <f t="shared" si="0"/>
        <v>2.325880556634</v>
      </c>
      <c r="D43">
        <v>1.7899999999999999E-2</v>
      </c>
      <c r="E43">
        <v>3.6900000000000001E-3</v>
      </c>
      <c r="F43">
        <f t="shared" si="1"/>
        <v>797.46298999999999</v>
      </c>
      <c r="G43">
        <f t="shared" si="2"/>
        <v>-0.58331999999999995</v>
      </c>
      <c r="H43">
        <f t="shared" si="3"/>
        <v>-465.17611132679997</v>
      </c>
      <c r="I43">
        <v>1</v>
      </c>
      <c r="J43">
        <f t="shared" si="4"/>
        <v>-0.22631985292351084</v>
      </c>
      <c r="K43">
        <f t="shared" si="5"/>
        <v>-0.63840515177521751</v>
      </c>
      <c r="L43">
        <v>1</v>
      </c>
      <c r="M43">
        <f t="shared" si="6"/>
        <v>0.53007510599355911</v>
      </c>
      <c r="N43">
        <f t="shared" si="7"/>
        <v>7.1372937604999992E-2</v>
      </c>
      <c r="O43">
        <f t="shared" si="8"/>
        <v>1.4713192165500001E-2</v>
      </c>
      <c r="P43">
        <f t="shared" si="9"/>
        <v>2.2243916011158396E-2</v>
      </c>
      <c r="V43">
        <v>-2.1000000000000099</v>
      </c>
      <c r="W43">
        <f t="shared" si="12"/>
        <v>-0.43333699999999953</v>
      </c>
    </row>
    <row r="44" spans="1:23" x14ac:dyDescent="0.3">
      <c r="A44">
        <v>4.0853309500000003</v>
      </c>
      <c r="B44">
        <v>0.57882999999999996</v>
      </c>
      <c r="C44">
        <f t="shared" si="0"/>
        <v>2.3647121137884999</v>
      </c>
      <c r="D44">
        <v>1.7899999999999999E-2</v>
      </c>
      <c r="E44">
        <v>3.6900000000000001E-3</v>
      </c>
      <c r="F44">
        <f t="shared" si="1"/>
        <v>817.06619000000012</v>
      </c>
      <c r="G44">
        <f t="shared" si="2"/>
        <v>-0.57882999999999996</v>
      </c>
      <c r="H44">
        <f t="shared" si="3"/>
        <v>-472.9424227577</v>
      </c>
      <c r="I44">
        <v>1</v>
      </c>
      <c r="J44">
        <f t="shared" si="4"/>
        <v>-0.20203517149187306</v>
      </c>
      <c r="K44">
        <f t="shared" si="5"/>
        <v>-0.6428951517752175</v>
      </c>
      <c r="L44">
        <v>1</v>
      </c>
      <c r="M44">
        <f t="shared" si="6"/>
        <v>0.53132892409587462</v>
      </c>
      <c r="N44">
        <f t="shared" si="7"/>
        <v>7.3127424004999997E-2</v>
      </c>
      <c r="O44">
        <f t="shared" si="8"/>
        <v>1.5074871205500003E-2</v>
      </c>
      <c r="P44">
        <f t="shared" si="9"/>
        <v>2.3363932468842878E-2</v>
      </c>
      <c r="V44">
        <v>-2.0000000000000102</v>
      </c>
      <c r="W44">
        <f t="shared" si="12"/>
        <v>-0.4384999999999995</v>
      </c>
    </row>
    <row r="45" spans="1:23" x14ac:dyDescent="0.3">
      <c r="A45">
        <v>4.1855096999999999</v>
      </c>
      <c r="B45">
        <v>0.57428000000000001</v>
      </c>
      <c r="C45">
        <f t="shared" si="0"/>
        <v>2.4036545105160001</v>
      </c>
      <c r="D45">
        <v>1.7899999999999999E-2</v>
      </c>
      <c r="E45">
        <v>3.6900000000000001E-3</v>
      </c>
      <c r="F45">
        <f t="shared" si="1"/>
        <v>837.10194000000001</v>
      </c>
      <c r="G45">
        <f t="shared" si="2"/>
        <v>-0.57428000000000001</v>
      </c>
      <c r="H45">
        <f t="shared" si="3"/>
        <v>-480.73090210320004</v>
      </c>
      <c r="I45">
        <v>1</v>
      </c>
      <c r="J45">
        <f t="shared" si="4"/>
        <v>-0.17780942379402381</v>
      </c>
      <c r="K45">
        <f t="shared" si="5"/>
        <v>-0.64744515177521744</v>
      </c>
      <c r="L45">
        <v>1</v>
      </c>
      <c r="M45">
        <f t="shared" si="6"/>
        <v>0.53257969944951455</v>
      </c>
      <c r="N45">
        <f t="shared" si="7"/>
        <v>7.4920623629999988E-2</v>
      </c>
      <c r="O45">
        <f t="shared" si="8"/>
        <v>1.5444530793E-2</v>
      </c>
      <c r="P45">
        <f t="shared" si="9"/>
        <v>2.4500297902702899E-2</v>
      </c>
      <c r="V45">
        <v>-1.9000000000000099</v>
      </c>
      <c r="W45">
        <f t="shared" si="12"/>
        <v>-0.44366299999999947</v>
      </c>
    </row>
    <row r="46" spans="1:23" x14ac:dyDescent="0.3">
      <c r="A46">
        <v>4.2864088999999996</v>
      </c>
      <c r="B46">
        <v>0.56972</v>
      </c>
      <c r="C46">
        <f t="shared" si="0"/>
        <v>2.442052878508</v>
      </c>
      <c r="D46">
        <v>1.7899999999999999E-2</v>
      </c>
      <c r="E46">
        <v>3.6900000000000001E-3</v>
      </c>
      <c r="F46">
        <f t="shared" si="1"/>
        <v>857.28177999999991</v>
      </c>
      <c r="G46">
        <f t="shared" si="2"/>
        <v>-0.56972</v>
      </c>
      <c r="H46">
        <f t="shared" si="3"/>
        <v>-488.41057570160001</v>
      </c>
      <c r="I46">
        <v>1</v>
      </c>
      <c r="J46">
        <f t="shared" si="4"/>
        <v>-0.1539886162935957</v>
      </c>
      <c r="K46">
        <f t="shared" si="5"/>
        <v>-0.65200515177521745</v>
      </c>
      <c r="L46">
        <v>1</v>
      </c>
      <c r="M46">
        <f t="shared" si="6"/>
        <v>0.53380956774076171</v>
      </c>
      <c r="N46">
        <f t="shared" si="7"/>
        <v>7.6726719309999997E-2</v>
      </c>
      <c r="O46">
        <f t="shared" si="8"/>
        <v>1.5816848841E-2</v>
      </c>
      <c r="P46">
        <f t="shared" si="9"/>
        <v>2.5652015883455739E-2</v>
      </c>
      <c r="V46">
        <v>-1.80000000000001</v>
      </c>
      <c r="W46">
        <f t="shared" si="12"/>
        <v>-0.4488259999999995</v>
      </c>
    </row>
    <row r="47" spans="1:23" x14ac:dyDescent="0.3">
      <c r="A47">
        <v>4.3851456500000001</v>
      </c>
      <c r="B47">
        <v>0.56537000000000004</v>
      </c>
      <c r="C47">
        <f t="shared" si="0"/>
        <v>2.4792297961405003</v>
      </c>
      <c r="D47">
        <v>1.7899999999999999E-2</v>
      </c>
      <c r="E47">
        <v>3.6900000000000001E-3</v>
      </c>
      <c r="F47">
        <f t="shared" si="1"/>
        <v>877.02913000000001</v>
      </c>
      <c r="G47">
        <f t="shared" si="2"/>
        <v>-0.56537000000000004</v>
      </c>
      <c r="H47">
        <f t="shared" si="3"/>
        <v>-495.84595922810007</v>
      </c>
      <c r="I47">
        <v>1</v>
      </c>
      <c r="J47">
        <f t="shared" si="4"/>
        <v>-0.13121507165416507</v>
      </c>
      <c r="K47">
        <f t="shared" si="5"/>
        <v>-0.65635515177521742</v>
      </c>
      <c r="L47">
        <v>1</v>
      </c>
      <c r="M47">
        <f t="shared" si="6"/>
        <v>0.5349853658504955</v>
      </c>
      <c r="N47">
        <f t="shared" si="7"/>
        <v>7.8494107135000005E-2</v>
      </c>
      <c r="O47">
        <f t="shared" si="8"/>
        <v>1.6181187448500001E-2</v>
      </c>
      <c r="P47">
        <f t="shared" si="9"/>
        <v>2.6694491341221913E-2</v>
      </c>
      <c r="V47">
        <v>-1.7000000000000199</v>
      </c>
      <c r="W47">
        <f t="shared" si="12"/>
        <v>-0.45398899999999898</v>
      </c>
    </row>
    <row r="48" spans="1:23" x14ac:dyDescent="0.3">
      <c r="A48">
        <v>4.4838829000000002</v>
      </c>
      <c r="B48">
        <v>0.56096999999999997</v>
      </c>
      <c r="C48">
        <f t="shared" si="0"/>
        <v>2.5153237904129999</v>
      </c>
      <c r="D48">
        <v>1.7899999999999999E-2</v>
      </c>
      <c r="E48">
        <v>3.6900000000000001E-3</v>
      </c>
      <c r="F48">
        <f t="shared" si="1"/>
        <v>896.77658000000008</v>
      </c>
      <c r="G48">
        <f t="shared" si="2"/>
        <v>-0.56096999999999997</v>
      </c>
      <c r="H48">
        <f t="shared" si="3"/>
        <v>-503.06475808260001</v>
      </c>
      <c r="I48">
        <v>1</v>
      </c>
      <c r="J48">
        <f t="shared" si="4"/>
        <v>-0.10894852264101654</v>
      </c>
      <c r="K48">
        <f t="shared" si="5"/>
        <v>-0.66075515177521749</v>
      </c>
      <c r="L48">
        <v>1</v>
      </c>
      <c r="M48">
        <f t="shared" si="6"/>
        <v>0.53613498777604429</v>
      </c>
      <c r="N48">
        <f t="shared" si="7"/>
        <v>8.0261503910000004E-2</v>
      </c>
      <c r="O48">
        <f t="shared" si="8"/>
        <v>1.6545527901000001E-2</v>
      </c>
      <c r="P48">
        <f t="shared" si="9"/>
        <v>2.781313218817319E-2</v>
      </c>
      <c r="V48">
        <v>-1.6000000000000201</v>
      </c>
      <c r="W48">
        <f t="shared" si="12"/>
        <v>-0.45915199999999901</v>
      </c>
    </row>
    <row r="49" spans="1:23" x14ac:dyDescent="0.3">
      <c r="A49">
        <v>4.5862236000000003</v>
      </c>
      <c r="B49">
        <v>0.55654000000000003</v>
      </c>
      <c r="C49">
        <f t="shared" si="0"/>
        <v>2.5524168823440001</v>
      </c>
      <c r="D49">
        <v>1.7899999999999999E-2</v>
      </c>
      <c r="E49">
        <v>3.6900000000000001E-3</v>
      </c>
      <c r="F49">
        <f t="shared" si="1"/>
        <v>917.24472000000003</v>
      </c>
      <c r="G49">
        <f t="shared" si="2"/>
        <v>-0.55654000000000003</v>
      </c>
      <c r="H49">
        <f t="shared" si="3"/>
        <v>-510.48337646880003</v>
      </c>
      <c r="I49">
        <v>1</v>
      </c>
      <c r="J49">
        <f t="shared" si="4"/>
        <v>-8.6380972100189912E-2</v>
      </c>
      <c r="K49">
        <f t="shared" si="5"/>
        <v>-0.66518515177521742</v>
      </c>
      <c r="L49">
        <v>1</v>
      </c>
      <c r="M49">
        <f t="shared" si="6"/>
        <v>0.53730015041046719</v>
      </c>
      <c r="N49">
        <f t="shared" si="7"/>
        <v>8.2093402440000005E-2</v>
      </c>
      <c r="O49">
        <f t="shared" si="8"/>
        <v>1.6923165084000002E-2</v>
      </c>
      <c r="P49">
        <f t="shared" si="9"/>
        <v>2.8868433840750222E-2</v>
      </c>
      <c r="V49">
        <v>-1.50000000000002</v>
      </c>
      <c r="W49">
        <f t="shared" si="12"/>
        <v>-0.46431499999999898</v>
      </c>
    </row>
    <row r="50" spans="1:23" x14ac:dyDescent="0.3">
      <c r="A50">
        <v>4.6827984000000002</v>
      </c>
      <c r="B50">
        <v>0.55225000000000002</v>
      </c>
      <c r="C50">
        <f t="shared" si="0"/>
        <v>2.5860754164000004</v>
      </c>
      <c r="D50">
        <v>1.7899999999999999E-2</v>
      </c>
      <c r="E50">
        <v>3.6900000000000001E-3</v>
      </c>
      <c r="F50">
        <f t="shared" si="1"/>
        <v>936.55968000000007</v>
      </c>
      <c r="G50">
        <f t="shared" si="2"/>
        <v>-0.55225000000000002</v>
      </c>
      <c r="H50">
        <f t="shared" si="3"/>
        <v>-517.21508328000004</v>
      </c>
      <c r="I50">
        <v>1</v>
      </c>
      <c r="J50">
        <f t="shared" si="4"/>
        <v>-6.5542032486698695E-2</v>
      </c>
      <c r="K50">
        <f t="shared" si="5"/>
        <v>-0.66947515177521744</v>
      </c>
      <c r="L50">
        <v>1</v>
      </c>
      <c r="M50">
        <f t="shared" si="6"/>
        <v>0.53837606486271172</v>
      </c>
      <c r="N50">
        <f t="shared" si="7"/>
        <v>8.3822091360000003E-2</v>
      </c>
      <c r="O50">
        <f t="shared" si="8"/>
        <v>1.7279526096000003E-2</v>
      </c>
      <c r="P50">
        <f t="shared" si="9"/>
        <v>2.9997469456505707E-2</v>
      </c>
      <c r="V50">
        <v>-1.4000000000000199</v>
      </c>
      <c r="W50">
        <f t="shared" si="12"/>
        <v>-0.46947799999999901</v>
      </c>
    </row>
    <row r="51" spans="1:23" x14ac:dyDescent="0.3">
      <c r="A51">
        <v>4.7873010499999999</v>
      </c>
      <c r="B51">
        <v>0.54791000000000001</v>
      </c>
      <c r="C51">
        <f t="shared" si="0"/>
        <v>2.6230101183054999</v>
      </c>
      <c r="D51">
        <v>1.7899999999999999E-2</v>
      </c>
      <c r="E51">
        <v>3.6900000000000001E-3</v>
      </c>
      <c r="F51">
        <f t="shared" si="1"/>
        <v>957.46020999999996</v>
      </c>
      <c r="G51">
        <f t="shared" si="2"/>
        <v>-0.54791000000000001</v>
      </c>
      <c r="H51">
        <f t="shared" si="3"/>
        <v>-524.60202366110002</v>
      </c>
      <c r="I51">
        <v>1</v>
      </c>
      <c r="J51">
        <f t="shared" si="4"/>
        <v>-4.3471114926586445E-2</v>
      </c>
      <c r="K51">
        <f t="shared" si="5"/>
        <v>-0.67381515177521745</v>
      </c>
      <c r="L51">
        <v>1</v>
      </c>
      <c r="M51">
        <f t="shared" si="6"/>
        <v>0.53951558633634034</v>
      </c>
      <c r="N51">
        <f t="shared" si="7"/>
        <v>8.5692688794999999E-2</v>
      </c>
      <c r="O51">
        <f t="shared" si="8"/>
        <v>1.76651408745E-2</v>
      </c>
      <c r="P51">
        <f t="shared" si="9"/>
        <v>3.0941735769377112E-2</v>
      </c>
      <c r="V51">
        <v>-1.30000000000002</v>
      </c>
      <c r="W51">
        <f t="shared" si="12"/>
        <v>-0.47464099999999898</v>
      </c>
    </row>
    <row r="52" spans="1:23" x14ac:dyDescent="0.3">
      <c r="A52">
        <v>4.8809933499999998</v>
      </c>
      <c r="B52">
        <v>0.54359999999999997</v>
      </c>
      <c r="C52">
        <f t="shared" si="0"/>
        <v>2.6533079850599997</v>
      </c>
      <c r="D52">
        <v>1.7899999999999999E-2</v>
      </c>
      <c r="E52">
        <v>3.6900000000000001E-3</v>
      </c>
      <c r="F52">
        <f t="shared" si="1"/>
        <v>976.19866999999999</v>
      </c>
      <c r="G52">
        <f t="shared" si="2"/>
        <v>-0.54359999999999997</v>
      </c>
      <c r="H52">
        <f t="shared" si="3"/>
        <v>-530.6615970119999</v>
      </c>
      <c r="I52">
        <v>1</v>
      </c>
      <c r="J52">
        <f t="shared" si="4"/>
        <v>-2.4089157955750423E-2</v>
      </c>
      <c r="K52">
        <f t="shared" si="5"/>
        <v>-0.67812515177521748</v>
      </c>
      <c r="L52">
        <v>1</v>
      </c>
      <c r="M52">
        <f t="shared" si="6"/>
        <v>0.54051627677474468</v>
      </c>
      <c r="N52">
        <f t="shared" si="7"/>
        <v>8.7369780964999991E-2</v>
      </c>
      <c r="O52">
        <f t="shared" si="8"/>
        <v>1.8010865461499999E-2</v>
      </c>
      <c r="P52">
        <f t="shared" si="9"/>
        <v>3.2228228573972818E-2</v>
      </c>
      <c r="V52">
        <v>-1.2000000000000199</v>
      </c>
      <c r="W52">
        <f t="shared" si="12"/>
        <v>-0.47980399999999901</v>
      </c>
    </row>
    <row r="53" spans="1:23" x14ac:dyDescent="0.3">
      <c r="A53">
        <v>4.9854960500000001</v>
      </c>
      <c r="B53">
        <v>0.53937999999999997</v>
      </c>
      <c r="C53">
        <f t="shared" si="0"/>
        <v>2.689076859449</v>
      </c>
      <c r="D53">
        <v>1.7899999999999999E-2</v>
      </c>
      <c r="E53">
        <v>3.6900000000000001E-3</v>
      </c>
      <c r="F53">
        <f t="shared" si="1"/>
        <v>997.09920999999997</v>
      </c>
      <c r="G53">
        <f t="shared" si="2"/>
        <v>-0.53937999999999997</v>
      </c>
      <c r="H53">
        <f t="shared" si="3"/>
        <v>-537.81537188979996</v>
      </c>
      <c r="I53">
        <v>1</v>
      </c>
      <c r="J53">
        <f t="shared" si="4"/>
        <v>-2.9050054453668909E-3</v>
      </c>
      <c r="K53">
        <f t="shared" si="5"/>
        <v>-0.68234515177521748</v>
      </c>
      <c r="L53">
        <v>1</v>
      </c>
      <c r="M53">
        <f t="shared" si="6"/>
        <v>0.54161001456885571</v>
      </c>
      <c r="N53">
        <f t="shared" si="7"/>
        <v>8.9240379294999991E-2</v>
      </c>
      <c r="O53">
        <f t="shared" si="8"/>
        <v>1.8396480424500001E-2</v>
      </c>
      <c r="P53">
        <f t="shared" si="9"/>
        <v>3.3098277486861782E-2</v>
      </c>
      <c r="V53">
        <v>-1.1000000000000201</v>
      </c>
      <c r="W53">
        <f t="shared" si="12"/>
        <v>-0.48496699999999898</v>
      </c>
    </row>
    <row r="54" spans="1:23" x14ac:dyDescent="0.3">
      <c r="A54">
        <v>5.0835122999999998</v>
      </c>
      <c r="B54">
        <v>0.53515000000000001</v>
      </c>
      <c r="C54">
        <f t="shared" si="0"/>
        <v>2.7204416073449997</v>
      </c>
      <c r="D54">
        <v>1.7899999999999999E-2</v>
      </c>
      <c r="E54">
        <v>3.6900000000000001E-3</v>
      </c>
      <c r="F54">
        <f t="shared" si="1"/>
        <v>1016.70246</v>
      </c>
      <c r="G54">
        <f t="shared" si="2"/>
        <v>-0.53515000000000001</v>
      </c>
      <c r="H54">
        <f t="shared" si="3"/>
        <v>-544.08832146899999</v>
      </c>
      <c r="I54">
        <v>1</v>
      </c>
      <c r="J54">
        <f t="shared" si="4"/>
        <v>1.6564507888851183E-2</v>
      </c>
      <c r="K54">
        <f t="shared" si="5"/>
        <v>-0.68657515177521744</v>
      </c>
      <c r="L54">
        <v>1</v>
      </c>
      <c r="M54">
        <f t="shared" si="6"/>
        <v>0.54261522554230146</v>
      </c>
      <c r="N54">
        <f t="shared" si="7"/>
        <v>9.0994870169999992E-2</v>
      </c>
      <c r="O54">
        <f t="shared" si="8"/>
        <v>1.8758160387000001E-2</v>
      </c>
      <c r="P54">
        <f t="shared" si="9"/>
        <v>3.4206895675915991E-2</v>
      </c>
      <c r="V54">
        <v>-1.00000000000002</v>
      </c>
      <c r="W54">
        <f t="shared" si="12"/>
        <v>-0.49012999999999896</v>
      </c>
    </row>
    <row r="55" spans="1:23" x14ac:dyDescent="0.3">
      <c r="A55">
        <v>5.1836905499999997</v>
      </c>
      <c r="B55">
        <v>0.53097000000000005</v>
      </c>
      <c r="C55">
        <f t="shared" si="0"/>
        <v>2.7523841713335</v>
      </c>
      <c r="D55">
        <v>1.7899999999999999E-2</v>
      </c>
      <c r="E55">
        <v>3.6900000000000001E-3</v>
      </c>
      <c r="F55">
        <f t="shared" si="1"/>
        <v>1036.73811</v>
      </c>
      <c r="G55">
        <f t="shared" si="2"/>
        <v>-0.53097000000000005</v>
      </c>
      <c r="H55">
        <f t="shared" si="3"/>
        <v>-550.47683426670005</v>
      </c>
      <c r="I55">
        <v>1</v>
      </c>
      <c r="J55">
        <f t="shared" si="4"/>
        <v>3.6079351547120934E-2</v>
      </c>
      <c r="K55">
        <f t="shared" si="5"/>
        <v>-0.6907551517752174</v>
      </c>
      <c r="L55">
        <v>1</v>
      </c>
      <c r="M55">
        <f t="shared" si="6"/>
        <v>0.54362277692037786</v>
      </c>
      <c r="N55">
        <f t="shared" si="7"/>
        <v>9.2788060844999992E-2</v>
      </c>
      <c r="O55">
        <f t="shared" si="8"/>
        <v>1.9127818129499999E-2</v>
      </c>
      <c r="P55">
        <f t="shared" si="9"/>
        <v>3.5216495880339552E-2</v>
      </c>
      <c r="V55">
        <v>-0.90000000000002001</v>
      </c>
      <c r="W55">
        <f t="shared" si="12"/>
        <v>-0.49529299999999898</v>
      </c>
    </row>
    <row r="56" spans="1:23" x14ac:dyDescent="0.3">
      <c r="A56">
        <v>5.2831482999999997</v>
      </c>
      <c r="B56">
        <v>0.52681</v>
      </c>
      <c r="C56">
        <f t="shared" si="0"/>
        <v>2.7832153559229997</v>
      </c>
      <c r="D56">
        <v>1.7899999999999999E-2</v>
      </c>
      <c r="E56">
        <v>3.6900000000000001E-3</v>
      </c>
      <c r="F56">
        <f t="shared" si="1"/>
        <v>1056.6296599999998</v>
      </c>
      <c r="G56">
        <f t="shared" si="2"/>
        <v>-0.52681</v>
      </c>
      <c r="H56">
        <f t="shared" si="3"/>
        <v>-556.64307118459999</v>
      </c>
      <c r="I56">
        <v>1</v>
      </c>
      <c r="J56">
        <f t="shared" si="4"/>
        <v>5.508427652577301E-2</v>
      </c>
      <c r="K56">
        <f t="shared" si="5"/>
        <v>-0.69491515177521745</v>
      </c>
      <c r="L56">
        <v>1</v>
      </c>
      <c r="M56">
        <f t="shared" si="6"/>
        <v>0.54460400119702568</v>
      </c>
      <c r="N56">
        <f t="shared" si="7"/>
        <v>9.4568354569999985E-2</v>
      </c>
      <c r="O56">
        <f t="shared" si="8"/>
        <v>1.9494817227E-2</v>
      </c>
      <c r="P56">
        <f t="shared" si="9"/>
        <v>3.6247978781191792E-2</v>
      </c>
      <c r="V56">
        <v>-0.80000000000002003</v>
      </c>
      <c r="W56">
        <f t="shared" si="12"/>
        <v>-0.50045599999999901</v>
      </c>
    </row>
    <row r="57" spans="1:23" x14ac:dyDescent="0.3">
      <c r="A57">
        <v>5.3818855499999998</v>
      </c>
      <c r="B57">
        <v>0.52266000000000001</v>
      </c>
      <c r="C57">
        <f t="shared" si="0"/>
        <v>2.8128963015629997</v>
      </c>
      <c r="D57">
        <v>1.7899999999999999E-2</v>
      </c>
      <c r="E57">
        <v>3.6900000000000001E-3</v>
      </c>
      <c r="F57">
        <f t="shared" si="1"/>
        <v>1076.3771099999999</v>
      </c>
      <c r="G57">
        <f t="shared" si="2"/>
        <v>-0.52266000000000001</v>
      </c>
      <c r="H57">
        <f t="shared" si="3"/>
        <v>-562.5792603125999</v>
      </c>
      <c r="I57">
        <v>1</v>
      </c>
      <c r="J57">
        <f t="shared" si="4"/>
        <v>7.3600874315629283E-2</v>
      </c>
      <c r="K57">
        <f t="shared" si="5"/>
        <v>-0.69906515177521744</v>
      </c>
      <c r="L57">
        <v>1</v>
      </c>
      <c r="M57">
        <f t="shared" si="6"/>
        <v>0.54556001314091596</v>
      </c>
      <c r="N57">
        <f t="shared" si="7"/>
        <v>9.6335751344999998E-2</v>
      </c>
      <c r="O57">
        <f t="shared" si="8"/>
        <v>1.98591576795E-2</v>
      </c>
      <c r="P57">
        <f t="shared" si="9"/>
        <v>3.7310229609801487E-2</v>
      </c>
      <c r="V57">
        <v>-0.70000000000002005</v>
      </c>
      <c r="W57">
        <f t="shared" si="12"/>
        <v>-0.50561899999999893</v>
      </c>
    </row>
    <row r="58" spans="1:23" x14ac:dyDescent="0.3">
      <c r="A58">
        <v>5.48206375</v>
      </c>
      <c r="B58">
        <v>0.51851999999999998</v>
      </c>
      <c r="C58">
        <f t="shared" si="0"/>
        <v>2.8425596956499999</v>
      </c>
      <c r="D58">
        <v>1.7899999999999999E-2</v>
      </c>
      <c r="E58">
        <v>3.6900000000000001E-3</v>
      </c>
      <c r="F58">
        <f t="shared" si="1"/>
        <v>1096.41275</v>
      </c>
      <c r="G58">
        <f t="shared" si="2"/>
        <v>-0.51851999999999998</v>
      </c>
      <c r="H58">
        <f t="shared" si="3"/>
        <v>-568.51193912999997</v>
      </c>
      <c r="I58">
        <v>1</v>
      </c>
      <c r="J58">
        <f t="shared" si="4"/>
        <v>9.2043714346407901E-2</v>
      </c>
      <c r="K58">
        <f t="shared" si="5"/>
        <v>-0.70320515177521747</v>
      </c>
      <c r="L58">
        <v>1</v>
      </c>
      <c r="M58">
        <f t="shared" si="6"/>
        <v>0.54651221697170504</v>
      </c>
      <c r="N58">
        <f t="shared" si="7"/>
        <v>9.8128941124999994E-2</v>
      </c>
      <c r="O58">
        <f t="shared" si="8"/>
        <v>2.02288152375E-2</v>
      </c>
      <c r="P58">
        <f t="shared" si="9"/>
        <v>3.8335178441012432E-2</v>
      </c>
      <c r="V58">
        <v>-0.60000000000001996</v>
      </c>
      <c r="W58">
        <f t="shared" si="12"/>
        <v>-0.51078199999999896</v>
      </c>
    </row>
    <row r="59" spans="1:23" x14ac:dyDescent="0.3">
      <c r="A59">
        <v>5.5815219999999997</v>
      </c>
      <c r="B59">
        <v>0.51439000000000001</v>
      </c>
      <c r="C59">
        <f t="shared" si="0"/>
        <v>2.8710791015799999</v>
      </c>
      <c r="D59">
        <v>1.7899999999999999E-2</v>
      </c>
      <c r="E59">
        <v>3.6900000000000001E-3</v>
      </c>
      <c r="F59">
        <f t="shared" si="1"/>
        <v>1116.3044</v>
      </c>
      <c r="G59">
        <f t="shared" si="2"/>
        <v>-0.51439000000000001</v>
      </c>
      <c r="H59">
        <f t="shared" si="3"/>
        <v>-574.21582031599996</v>
      </c>
      <c r="I59">
        <v>1</v>
      </c>
      <c r="J59">
        <f t="shared" si="4"/>
        <v>0.11002358662354318</v>
      </c>
      <c r="K59">
        <f t="shared" si="5"/>
        <v>-0.70733515177521744</v>
      </c>
      <c r="L59">
        <v>1</v>
      </c>
      <c r="M59">
        <f t="shared" si="6"/>
        <v>0.54744051777737357</v>
      </c>
      <c r="N59">
        <f t="shared" si="7"/>
        <v>9.9909243799999992E-2</v>
      </c>
      <c r="O59">
        <f t="shared" si="8"/>
        <v>2.059581618E-2</v>
      </c>
      <c r="P59">
        <f t="shared" si="9"/>
        <v>3.9389574017843876E-2</v>
      </c>
      <c r="V59">
        <v>-0.50000000000001998</v>
      </c>
      <c r="W59">
        <f t="shared" si="12"/>
        <v>-0.51594499999999899</v>
      </c>
    </row>
    <row r="60" spans="1:23" x14ac:dyDescent="0.3">
      <c r="A60">
        <v>5.6809797499999997</v>
      </c>
      <c r="B60">
        <v>0.51024999999999998</v>
      </c>
      <c r="C60">
        <f t="shared" si="0"/>
        <v>2.8987199174374996</v>
      </c>
      <c r="D60">
        <v>1.7899999999999999E-2</v>
      </c>
      <c r="E60">
        <v>3.6900000000000001E-3</v>
      </c>
      <c r="F60">
        <f t="shared" si="1"/>
        <v>1136.19595</v>
      </c>
      <c r="G60">
        <f t="shared" si="2"/>
        <v>-0.51024999999999998</v>
      </c>
      <c r="H60">
        <f t="shared" si="3"/>
        <v>-579.74398348749992</v>
      </c>
      <c r="I60">
        <v>1</v>
      </c>
      <c r="J60">
        <f t="shared" si="4"/>
        <v>0.12768579662124671</v>
      </c>
      <c r="K60">
        <f t="shared" si="5"/>
        <v>-0.71147515177521747</v>
      </c>
      <c r="L60">
        <v>1</v>
      </c>
      <c r="M60">
        <f t="shared" si="6"/>
        <v>0.548352417679555</v>
      </c>
      <c r="N60">
        <f t="shared" si="7"/>
        <v>0.10168953752499998</v>
      </c>
      <c r="O60">
        <f t="shared" si="8"/>
        <v>2.0962815277499998E-2</v>
      </c>
      <c r="P60">
        <f t="shared" si="9"/>
        <v>4.0470381293162487E-2</v>
      </c>
      <c r="V60">
        <v>-0.40000000000002001</v>
      </c>
      <c r="W60">
        <f t="shared" si="12"/>
        <v>-0.52110799999999902</v>
      </c>
    </row>
    <row r="61" spans="1:23" x14ac:dyDescent="0.3">
      <c r="A61">
        <v>5.7811579499999999</v>
      </c>
      <c r="B61">
        <v>0.50616000000000005</v>
      </c>
      <c r="C61">
        <f t="shared" si="0"/>
        <v>2.9261909079720003</v>
      </c>
      <c r="D61">
        <v>1.7899999999999999E-2</v>
      </c>
      <c r="E61">
        <v>3.6900000000000001E-3</v>
      </c>
      <c r="F61">
        <f t="shared" si="1"/>
        <v>1156.2315899999999</v>
      </c>
      <c r="G61">
        <f t="shared" si="2"/>
        <v>-0.50616000000000005</v>
      </c>
      <c r="H61">
        <f t="shared" si="3"/>
        <v>-585.23818159440009</v>
      </c>
      <c r="I61">
        <v>1</v>
      </c>
      <c r="J61">
        <f t="shared" si="4"/>
        <v>0.14516608755557675</v>
      </c>
      <c r="K61">
        <f t="shared" si="5"/>
        <v>-0.7155651517752174</v>
      </c>
      <c r="L61">
        <v>1</v>
      </c>
      <c r="M61">
        <f t="shared" si="6"/>
        <v>0.54925492510049445</v>
      </c>
      <c r="N61">
        <f t="shared" si="7"/>
        <v>0.10348272730499999</v>
      </c>
      <c r="O61">
        <f t="shared" si="8"/>
        <v>2.1332472835500001E-2</v>
      </c>
      <c r="P61">
        <f t="shared" si="9"/>
        <v>4.1495026534222955E-2</v>
      </c>
      <c r="V61">
        <v>-0.30000000000001997</v>
      </c>
      <c r="W61">
        <f t="shared" si="12"/>
        <v>-0.52627099999999893</v>
      </c>
    </row>
    <row r="62" spans="1:23" x14ac:dyDescent="0.3">
      <c r="A62">
        <v>5.8813361999999998</v>
      </c>
      <c r="B62">
        <v>0.50207000000000002</v>
      </c>
      <c r="C62">
        <f t="shared" si="0"/>
        <v>2.9528424659339998</v>
      </c>
      <c r="D62">
        <v>1.7899999999999999E-2</v>
      </c>
      <c r="E62">
        <v>3.6900000000000001E-3</v>
      </c>
      <c r="F62">
        <f t="shared" si="1"/>
        <v>1176.2672399999999</v>
      </c>
      <c r="G62">
        <f t="shared" si="2"/>
        <v>-0.50207000000000002</v>
      </c>
      <c r="H62">
        <f t="shared" si="3"/>
        <v>-590.56849318679997</v>
      </c>
      <c r="I62">
        <v>1</v>
      </c>
      <c r="J62">
        <f t="shared" si="4"/>
        <v>0.16234606855818337</v>
      </c>
      <c r="K62">
        <f t="shared" si="5"/>
        <v>-0.71965515177521744</v>
      </c>
      <c r="L62">
        <v>1</v>
      </c>
      <c r="M62">
        <f t="shared" si="6"/>
        <v>0.55014192751965907</v>
      </c>
      <c r="N62">
        <f t="shared" si="7"/>
        <v>0.10527591797999999</v>
      </c>
      <c r="O62">
        <f t="shared" si="8"/>
        <v>2.1702130577999999E-2</v>
      </c>
      <c r="P62">
        <f t="shared" si="9"/>
        <v>4.2535175697558381E-2</v>
      </c>
      <c r="V62">
        <v>-0.20000000000002</v>
      </c>
      <c r="W62">
        <f t="shared" si="12"/>
        <v>-0.53143399999999896</v>
      </c>
    </row>
    <row r="63" spans="1:23" x14ac:dyDescent="0.3">
      <c r="A63">
        <v>5.9807939499999998</v>
      </c>
      <c r="B63">
        <v>0.49798999999999999</v>
      </c>
      <c r="C63">
        <f t="shared" si="0"/>
        <v>2.9783755791604998</v>
      </c>
      <c r="D63">
        <v>1.7899999999999999E-2</v>
      </c>
      <c r="E63">
        <v>3.6900000000000001E-3</v>
      </c>
      <c r="F63">
        <f t="shared" si="1"/>
        <v>1196.15879</v>
      </c>
      <c r="G63">
        <f t="shared" si="2"/>
        <v>-0.49798999999999999</v>
      </c>
      <c r="H63">
        <f t="shared" si="3"/>
        <v>-595.6751158321</v>
      </c>
      <c r="I63">
        <v>1</v>
      </c>
      <c r="J63">
        <f t="shared" si="4"/>
        <v>0.17911541427413608</v>
      </c>
      <c r="K63">
        <f t="shared" si="5"/>
        <v>-0.72373515177521752</v>
      </c>
      <c r="L63">
        <v>1</v>
      </c>
      <c r="M63">
        <f t="shared" si="6"/>
        <v>0.55100772883897364</v>
      </c>
      <c r="N63">
        <f t="shared" si="7"/>
        <v>0.10705621170499999</v>
      </c>
      <c r="O63">
        <f t="shared" si="8"/>
        <v>2.20691296755E-2</v>
      </c>
      <c r="P63">
        <f t="shared" si="9"/>
        <v>4.3602081555743896E-2</v>
      </c>
      <c r="V63">
        <v>-0.10000000000002</v>
      </c>
      <c r="W63">
        <f t="shared" si="12"/>
        <v>-0.53659699999999899</v>
      </c>
    </row>
    <row r="64" spans="1:23" x14ac:dyDescent="0.3">
      <c r="A64">
        <v>6.08241415</v>
      </c>
      <c r="B64">
        <v>0.49392999999999998</v>
      </c>
      <c r="C64">
        <f t="shared" si="0"/>
        <v>3.0042868211095</v>
      </c>
      <c r="D64">
        <v>1.7899999999999999E-2</v>
      </c>
      <c r="E64">
        <v>3.6900000000000001E-3</v>
      </c>
      <c r="F64">
        <f t="shared" si="1"/>
        <v>1216.4828299999999</v>
      </c>
      <c r="G64">
        <f t="shared" si="2"/>
        <v>-0.49392999999999998</v>
      </c>
      <c r="H64">
        <f t="shared" si="3"/>
        <v>-600.85736422189996</v>
      </c>
      <c r="I64">
        <v>1</v>
      </c>
      <c r="J64">
        <f t="shared" si="4"/>
        <v>0.19596376887960534</v>
      </c>
      <c r="K64">
        <f t="shared" si="5"/>
        <v>-0.72779515177521747</v>
      </c>
      <c r="L64">
        <v>1</v>
      </c>
      <c r="M64">
        <f t="shared" si="6"/>
        <v>0.55187760938725405</v>
      </c>
      <c r="N64">
        <f t="shared" si="7"/>
        <v>0.10887521328499999</v>
      </c>
      <c r="O64">
        <f t="shared" si="8"/>
        <v>2.24441082135E-2</v>
      </c>
      <c r="P64">
        <f t="shared" si="9"/>
        <v>4.4598220889463427E-2</v>
      </c>
      <c r="V64">
        <v>-2.0428103653102899E-14</v>
      </c>
      <c r="W64">
        <f t="shared" si="12"/>
        <v>-0.54175999999999891</v>
      </c>
    </row>
    <row r="65" spans="1:23" x14ac:dyDescent="0.3">
      <c r="A65">
        <v>6.1775474499999996</v>
      </c>
      <c r="B65">
        <v>0.48984</v>
      </c>
      <c r="C65">
        <f t="shared" si="0"/>
        <v>3.026009842908</v>
      </c>
      <c r="D65">
        <v>1.7899999999999999E-2</v>
      </c>
      <c r="E65">
        <v>3.6900000000000001E-3</v>
      </c>
      <c r="F65">
        <f t="shared" si="1"/>
        <v>1235.5094899999999</v>
      </c>
      <c r="G65">
        <f t="shared" si="2"/>
        <v>-0.48984</v>
      </c>
      <c r="H65">
        <f t="shared" si="3"/>
        <v>-605.2019685816</v>
      </c>
      <c r="I65">
        <v>1</v>
      </c>
      <c r="J65">
        <f t="shared" si="4"/>
        <v>0.21148342751779703</v>
      </c>
      <c r="K65">
        <f t="shared" si="5"/>
        <v>-0.7318851517752174</v>
      </c>
      <c r="L65">
        <v>1</v>
      </c>
      <c r="M65">
        <f t="shared" si="6"/>
        <v>0.5526788893627439</v>
      </c>
      <c r="N65">
        <f t="shared" si="7"/>
        <v>0.11057809935499999</v>
      </c>
      <c r="O65">
        <f t="shared" si="8"/>
        <v>2.27951500905E-2</v>
      </c>
      <c r="P65">
        <f t="shared" si="9"/>
        <v>4.5833012966973521E-2</v>
      </c>
      <c r="V65">
        <v>9.9999999999980105E-2</v>
      </c>
      <c r="W65">
        <f t="shared" si="12"/>
        <v>-0.54692299999999894</v>
      </c>
    </row>
    <row r="66" spans="1:23" x14ac:dyDescent="0.3">
      <c r="A66">
        <v>6.2784466500000002</v>
      </c>
      <c r="B66">
        <v>0.48574000000000001</v>
      </c>
      <c r="C66">
        <f t="shared" si="0"/>
        <v>3.0496926757710003</v>
      </c>
      <c r="D66">
        <v>1.7899999999999999E-2</v>
      </c>
      <c r="E66">
        <v>3.6900000000000001E-3</v>
      </c>
      <c r="F66">
        <f t="shared" si="1"/>
        <v>1255.6893300000002</v>
      </c>
      <c r="G66">
        <f t="shared" si="2"/>
        <v>-0.48574000000000001</v>
      </c>
      <c r="H66">
        <f t="shared" si="3"/>
        <v>-609.93853515420005</v>
      </c>
      <c r="I66">
        <v>1</v>
      </c>
      <c r="J66">
        <f t="shared" si="4"/>
        <v>0.22768468872415085</v>
      </c>
      <c r="K66">
        <f t="shared" si="5"/>
        <v>-0.73598515177521739</v>
      </c>
      <c r="L66">
        <v>1</v>
      </c>
      <c r="M66">
        <f t="shared" si="6"/>
        <v>0.55351536047882788</v>
      </c>
      <c r="N66">
        <f t="shared" si="7"/>
        <v>0.112384195035</v>
      </c>
      <c r="O66">
        <f t="shared" si="8"/>
        <v>2.3167468138500003E-2</v>
      </c>
      <c r="P66">
        <f t="shared" si="9"/>
        <v>4.6918128122889521E-2</v>
      </c>
      <c r="V66">
        <v>0.19999999999998</v>
      </c>
      <c r="W66">
        <f t="shared" si="12"/>
        <v>-0.55208599999999897</v>
      </c>
    </row>
    <row r="67" spans="1:23" x14ac:dyDescent="0.3">
      <c r="A67">
        <v>6.3743009500000003</v>
      </c>
      <c r="B67">
        <v>0.48168</v>
      </c>
      <c r="C67">
        <f t="shared" si="0"/>
        <v>3.0703732815960003</v>
      </c>
      <c r="D67">
        <v>1.7899999999999999E-2</v>
      </c>
      <c r="E67">
        <v>3.6900000000000001E-3</v>
      </c>
      <c r="F67">
        <f t="shared" si="1"/>
        <v>1274.8601900000001</v>
      </c>
      <c r="G67">
        <f t="shared" si="2"/>
        <v>-0.48168</v>
      </c>
      <c r="H67">
        <f t="shared" si="3"/>
        <v>-614.07465631920002</v>
      </c>
      <c r="I67">
        <v>1</v>
      </c>
      <c r="J67">
        <f t="shared" si="4"/>
        <v>0.24283651769589043</v>
      </c>
      <c r="K67">
        <f t="shared" si="5"/>
        <v>-0.74004515177521746</v>
      </c>
      <c r="L67">
        <v>1</v>
      </c>
      <c r="M67">
        <f t="shared" si="6"/>
        <v>0.55429764940863879</v>
      </c>
      <c r="N67">
        <f t="shared" si="7"/>
        <v>0.114099987005</v>
      </c>
      <c r="O67">
        <f t="shared" si="8"/>
        <v>2.35211705055E-2</v>
      </c>
      <c r="P67">
        <f t="shared" si="9"/>
        <v>4.8126344856078668E-2</v>
      </c>
      <c r="V67">
        <v>0.29999999999998</v>
      </c>
      <c r="W67">
        <f t="shared" si="12"/>
        <v>-0.557248999999999</v>
      </c>
    </row>
    <row r="68" spans="1:23" x14ac:dyDescent="0.3">
      <c r="A68">
        <v>6.4780831499999998</v>
      </c>
      <c r="B68">
        <v>0.47764000000000001</v>
      </c>
      <c r="C68">
        <f t="shared" ref="C68:C131" si="13">A68*B68</f>
        <v>3.0941916357659998</v>
      </c>
      <c r="D68">
        <v>1.7899999999999999E-2</v>
      </c>
      <c r="E68">
        <v>3.6900000000000001E-3</v>
      </c>
      <c r="F68">
        <f t="shared" ref="F68:F131" si="14">A68*200</f>
        <v>1295.61663</v>
      </c>
      <c r="G68">
        <f t="shared" ref="G68:G131" si="15">-B68</f>
        <v>-0.47764000000000001</v>
      </c>
      <c r="H68">
        <f t="shared" ref="H68:H131" si="16">-C68*200</f>
        <v>-618.8383271532</v>
      </c>
      <c r="I68">
        <v>1</v>
      </c>
      <c r="J68">
        <f t="shared" ref="J68:J131" si="17">LN(F68/1000)</f>
        <v>0.25898674398443489</v>
      </c>
      <c r="K68">
        <f t="shared" ref="K68:K131" si="18">((-G68)-$N$2)</f>
        <v>-0.74408515177521739</v>
      </c>
      <c r="L68">
        <v>1</v>
      </c>
      <c r="M68">
        <f t="shared" ref="M68:M131" si="19">-1*($S$4+($S$5*J68))</f>
        <v>0.55513148559191638</v>
      </c>
      <c r="N68">
        <f t="shared" ref="N68:N131" si="20">D68*A68</f>
        <v>0.11595768838499999</v>
      </c>
      <c r="O68">
        <f t="shared" ref="O68:O131" si="21">E68*A68</f>
        <v>2.3904126823499999E-2</v>
      </c>
      <c r="P68">
        <f t="shared" ref="P68:P131" si="22">-K68-M68-N68-O68</f>
        <v>4.909185097480101E-2</v>
      </c>
      <c r="V68">
        <v>0.39999999999997998</v>
      </c>
      <c r="W68">
        <f t="shared" ref="W68:W99" si="23">V68*$S$5+$S$4</f>
        <v>-0.56241199999999902</v>
      </c>
    </row>
    <row r="69" spans="1:23" x14ac:dyDescent="0.3">
      <c r="A69">
        <v>6.5775408500000001</v>
      </c>
      <c r="B69">
        <v>0.47356999999999999</v>
      </c>
      <c r="C69">
        <f t="shared" si="13"/>
        <v>3.1149260203344999</v>
      </c>
      <c r="D69">
        <v>1.7899999999999999E-2</v>
      </c>
      <c r="E69">
        <v>3.6900000000000001E-3</v>
      </c>
      <c r="F69">
        <f t="shared" si="14"/>
        <v>1315.5081700000001</v>
      </c>
      <c r="G69">
        <f t="shared" si="15"/>
        <v>-0.47356999999999999</v>
      </c>
      <c r="H69">
        <f t="shared" si="16"/>
        <v>-622.9852040669</v>
      </c>
      <c r="I69">
        <v>1</v>
      </c>
      <c r="J69">
        <f t="shared" si="17"/>
        <v>0.27422303204524945</v>
      </c>
      <c r="K69">
        <f t="shared" si="18"/>
        <v>-0.74815515177521741</v>
      </c>
      <c r="L69">
        <v>1</v>
      </c>
      <c r="M69">
        <f t="shared" si="19"/>
        <v>0.55591813514449628</v>
      </c>
      <c r="N69">
        <f t="shared" si="20"/>
        <v>0.117737981215</v>
      </c>
      <c r="O69">
        <f t="shared" si="21"/>
        <v>2.4271125736500001E-2</v>
      </c>
      <c r="P69">
        <f t="shared" si="22"/>
        <v>5.0227909679221125E-2</v>
      </c>
      <c r="V69">
        <v>0.49999999999998002</v>
      </c>
      <c r="W69">
        <f t="shared" si="23"/>
        <v>-0.56757499999999894</v>
      </c>
    </row>
    <row r="70" spans="1:23" x14ac:dyDescent="0.3">
      <c r="A70">
        <v>6.6755571500000004</v>
      </c>
      <c r="B70">
        <v>0.46950999999999998</v>
      </c>
      <c r="C70">
        <f t="shared" si="13"/>
        <v>3.1342408374965003</v>
      </c>
      <c r="D70">
        <v>1.7899999999999999E-2</v>
      </c>
      <c r="E70">
        <v>3.6900000000000001E-3</v>
      </c>
      <c r="F70">
        <f t="shared" si="14"/>
        <v>1335.1114300000002</v>
      </c>
      <c r="G70">
        <f t="shared" si="15"/>
        <v>-0.46950999999999998</v>
      </c>
      <c r="H70">
        <f t="shared" si="16"/>
        <v>-626.84816749930008</v>
      </c>
      <c r="I70">
        <v>1</v>
      </c>
      <c r="J70">
        <f t="shared" si="17"/>
        <v>0.2890147565337336</v>
      </c>
      <c r="K70">
        <f t="shared" si="18"/>
        <v>-0.75221515177521747</v>
      </c>
      <c r="L70">
        <v>1</v>
      </c>
      <c r="M70">
        <f t="shared" si="19"/>
        <v>0.55668183187983666</v>
      </c>
      <c r="N70">
        <f t="shared" si="20"/>
        <v>0.119492472985</v>
      </c>
      <c r="O70">
        <f t="shared" si="21"/>
        <v>2.4632805883500003E-2</v>
      </c>
      <c r="P70">
        <f t="shared" si="22"/>
        <v>5.1408041026880805E-2</v>
      </c>
      <c r="V70">
        <v>0.59999999999997999</v>
      </c>
      <c r="W70">
        <f t="shared" si="23"/>
        <v>-0.57273799999999897</v>
      </c>
    </row>
    <row r="71" spans="1:23" x14ac:dyDescent="0.3">
      <c r="A71">
        <v>6.77717685</v>
      </c>
      <c r="B71">
        <v>0.46546999999999999</v>
      </c>
      <c r="C71">
        <f t="shared" si="13"/>
        <v>3.1545725083694998</v>
      </c>
      <c r="D71">
        <v>1.7899999999999999E-2</v>
      </c>
      <c r="E71">
        <v>3.6900000000000001E-3</v>
      </c>
      <c r="F71">
        <f t="shared" si="14"/>
        <v>1355.4353699999999</v>
      </c>
      <c r="G71">
        <f t="shared" si="15"/>
        <v>-0.46546999999999999</v>
      </c>
      <c r="H71">
        <f t="shared" si="16"/>
        <v>-630.91450167389996</v>
      </c>
      <c r="I71">
        <v>1</v>
      </c>
      <c r="J71">
        <f t="shared" si="17"/>
        <v>0.30412270899692068</v>
      </c>
      <c r="K71">
        <f t="shared" si="18"/>
        <v>-0.7562551517752174</v>
      </c>
      <c r="L71">
        <v>1</v>
      </c>
      <c r="M71">
        <f t="shared" si="19"/>
        <v>0.55746185546551108</v>
      </c>
      <c r="N71">
        <f t="shared" si="20"/>
        <v>0.12131146561499999</v>
      </c>
      <c r="O71">
        <f t="shared" si="21"/>
        <v>2.50077825765E-2</v>
      </c>
      <c r="P71">
        <f t="shared" si="22"/>
        <v>5.2474048118206336E-2</v>
      </c>
      <c r="V71">
        <v>0.69999999999997997</v>
      </c>
      <c r="W71">
        <f t="shared" si="23"/>
        <v>-0.577900999999999</v>
      </c>
    </row>
    <row r="72" spans="1:23" x14ac:dyDescent="0.3">
      <c r="A72">
        <v>6.8759141000000001</v>
      </c>
      <c r="B72">
        <v>0.46143000000000001</v>
      </c>
      <c r="C72">
        <f t="shared" si="13"/>
        <v>3.172753043163</v>
      </c>
      <c r="D72">
        <v>1.7899999999999999E-2</v>
      </c>
      <c r="E72">
        <v>3.6900000000000001E-3</v>
      </c>
      <c r="F72">
        <f t="shared" si="14"/>
        <v>1375.18282</v>
      </c>
      <c r="G72">
        <f t="shared" si="15"/>
        <v>-0.46143000000000001</v>
      </c>
      <c r="H72">
        <f t="shared" si="16"/>
        <v>-634.55060863259996</v>
      </c>
      <c r="I72">
        <v>1</v>
      </c>
      <c r="J72">
        <f t="shared" si="17"/>
        <v>0.31858668228013726</v>
      </c>
      <c r="K72">
        <f t="shared" si="18"/>
        <v>-0.76029515177521745</v>
      </c>
      <c r="L72">
        <v>1</v>
      </c>
      <c r="M72">
        <f t="shared" si="19"/>
        <v>0.55820863040612356</v>
      </c>
      <c r="N72">
        <f t="shared" si="20"/>
        <v>0.12307886239</v>
      </c>
      <c r="O72">
        <f t="shared" si="21"/>
        <v>2.5372123029E-2</v>
      </c>
      <c r="P72">
        <f t="shared" si="22"/>
        <v>5.3635535950093884E-2</v>
      </c>
      <c r="V72">
        <v>0.79999999999997995</v>
      </c>
      <c r="W72">
        <f t="shared" si="23"/>
        <v>-0.58306399999999903</v>
      </c>
    </row>
    <row r="73" spans="1:23" x14ac:dyDescent="0.3">
      <c r="A73">
        <v>6.9760923500000001</v>
      </c>
      <c r="B73">
        <v>0.45733000000000001</v>
      </c>
      <c r="C73">
        <f t="shared" si="13"/>
        <v>3.1903763144255</v>
      </c>
      <c r="D73">
        <v>1.7899999999999999E-2</v>
      </c>
      <c r="E73">
        <v>3.6900000000000001E-3</v>
      </c>
      <c r="F73">
        <f t="shared" si="14"/>
        <v>1395.21847</v>
      </c>
      <c r="G73">
        <f t="shared" si="15"/>
        <v>-0.45733000000000001</v>
      </c>
      <c r="H73">
        <f t="shared" si="16"/>
        <v>-638.07526288509996</v>
      </c>
      <c r="I73">
        <v>1</v>
      </c>
      <c r="J73">
        <f t="shared" si="17"/>
        <v>0.33305101233036627</v>
      </c>
      <c r="K73">
        <f t="shared" si="18"/>
        <v>-0.76439515177521744</v>
      </c>
      <c r="L73">
        <v>1</v>
      </c>
      <c r="M73">
        <f t="shared" si="19"/>
        <v>0.55895542376661678</v>
      </c>
      <c r="N73">
        <f t="shared" si="20"/>
        <v>0.124872053065</v>
      </c>
      <c r="O73">
        <f t="shared" si="21"/>
        <v>2.5741780771500002E-2</v>
      </c>
      <c r="P73">
        <f t="shared" si="22"/>
        <v>5.482589417210066E-2</v>
      </c>
      <c r="V73">
        <v>0.89999999999998004</v>
      </c>
      <c r="W73">
        <f t="shared" si="23"/>
        <v>-0.58822699999999895</v>
      </c>
    </row>
    <row r="74" spans="1:23" x14ac:dyDescent="0.3">
      <c r="A74">
        <v>7.0748296000000002</v>
      </c>
      <c r="B74">
        <v>0.45326</v>
      </c>
      <c r="C74">
        <f t="shared" si="13"/>
        <v>3.2067372644960002</v>
      </c>
      <c r="D74">
        <v>1.7899999999999999E-2</v>
      </c>
      <c r="E74">
        <v>3.6900000000000001E-3</v>
      </c>
      <c r="F74">
        <f t="shared" si="14"/>
        <v>1414.9659200000001</v>
      </c>
      <c r="G74">
        <f t="shared" si="15"/>
        <v>-0.45326</v>
      </c>
      <c r="H74">
        <f t="shared" si="16"/>
        <v>-641.34745289919999</v>
      </c>
      <c r="I74">
        <v>1</v>
      </c>
      <c r="J74">
        <f t="shared" si="17"/>
        <v>0.34710544599950366</v>
      </c>
      <c r="K74">
        <f t="shared" si="18"/>
        <v>-0.76846515177521746</v>
      </c>
      <c r="L74">
        <v>1</v>
      </c>
      <c r="M74">
        <f t="shared" si="19"/>
        <v>0.55968105417695435</v>
      </c>
      <c r="N74">
        <f t="shared" si="20"/>
        <v>0.12663944984</v>
      </c>
      <c r="O74">
        <f t="shared" si="21"/>
        <v>2.6106121224000002E-2</v>
      </c>
      <c r="P74">
        <f t="shared" si="22"/>
        <v>5.6038526534263104E-2</v>
      </c>
      <c r="V74">
        <v>0.99999999999998002</v>
      </c>
      <c r="W74">
        <f t="shared" si="23"/>
        <v>-0.59338999999999897</v>
      </c>
    </row>
    <row r="75" spans="1:23" x14ac:dyDescent="0.3">
      <c r="A75">
        <v>7.1750078000000004</v>
      </c>
      <c r="B75">
        <v>0.44921</v>
      </c>
      <c r="C75">
        <f t="shared" si="13"/>
        <v>3.2230852538380002</v>
      </c>
      <c r="D75">
        <v>1.7899999999999999E-2</v>
      </c>
      <c r="E75">
        <v>3.6900000000000001E-3</v>
      </c>
      <c r="F75">
        <f t="shared" si="14"/>
        <v>1435.0015600000002</v>
      </c>
      <c r="G75">
        <f t="shared" si="15"/>
        <v>-0.44921</v>
      </c>
      <c r="H75">
        <f t="shared" si="16"/>
        <v>-644.61705076760006</v>
      </c>
      <c r="I75">
        <v>1</v>
      </c>
      <c r="J75">
        <f t="shared" si="17"/>
        <v>0.36116593631900756</v>
      </c>
      <c r="K75">
        <f t="shared" si="18"/>
        <v>-0.77251515177521746</v>
      </c>
      <c r="L75">
        <v>1</v>
      </c>
      <c r="M75">
        <f t="shared" si="19"/>
        <v>0.56040699729215038</v>
      </c>
      <c r="N75">
        <f t="shared" si="20"/>
        <v>0.12843263962000001</v>
      </c>
      <c r="O75">
        <f t="shared" si="21"/>
        <v>2.6475778782000001E-2</v>
      </c>
      <c r="P75">
        <f t="shared" si="22"/>
        <v>5.7199736081067071E-2</v>
      </c>
      <c r="V75">
        <v>1.0999999999999699</v>
      </c>
      <c r="W75">
        <f t="shared" si="23"/>
        <v>-0.59855299999999845</v>
      </c>
    </row>
    <row r="76" spans="1:23" x14ac:dyDescent="0.3">
      <c r="A76">
        <v>7.2751865499999999</v>
      </c>
      <c r="B76">
        <v>0.44500000000000001</v>
      </c>
      <c r="C76">
        <f t="shared" si="13"/>
        <v>3.2374580147500001</v>
      </c>
      <c r="D76">
        <v>1.7899999999999999E-2</v>
      </c>
      <c r="E76">
        <v>3.6900000000000001E-3</v>
      </c>
      <c r="F76">
        <f t="shared" si="14"/>
        <v>1455.0373099999999</v>
      </c>
      <c r="G76">
        <f t="shared" si="15"/>
        <v>-0.44500000000000001</v>
      </c>
      <c r="H76">
        <f t="shared" si="16"/>
        <v>-647.49160295000001</v>
      </c>
      <c r="I76">
        <v>1</v>
      </c>
      <c r="J76">
        <f t="shared" si="17"/>
        <v>0.37503154290637358</v>
      </c>
      <c r="K76">
        <f t="shared" si="18"/>
        <v>-0.77672515177521739</v>
      </c>
      <c r="L76">
        <v>1</v>
      </c>
      <c r="M76">
        <f t="shared" si="19"/>
        <v>0.56112287856025611</v>
      </c>
      <c r="N76">
        <f t="shared" si="20"/>
        <v>0.130225839245</v>
      </c>
      <c r="O76">
        <f t="shared" si="21"/>
        <v>2.6845438369499999E-2</v>
      </c>
      <c r="P76">
        <f t="shared" si="22"/>
        <v>5.853099560046128E-2</v>
      </c>
      <c r="V76">
        <v>1.19999999999997</v>
      </c>
      <c r="W76">
        <f t="shared" si="23"/>
        <v>-0.60371599999999848</v>
      </c>
    </row>
    <row r="77" spans="1:23" x14ac:dyDescent="0.3">
      <c r="A77">
        <v>7.3739233000000004</v>
      </c>
      <c r="B77">
        <v>0.44091000000000002</v>
      </c>
      <c r="C77">
        <f t="shared" si="13"/>
        <v>3.2512365222030004</v>
      </c>
      <c r="D77">
        <v>1.7899999999999999E-2</v>
      </c>
      <c r="E77">
        <v>3.6900000000000001E-3</v>
      </c>
      <c r="F77">
        <f t="shared" si="14"/>
        <v>1474.78466</v>
      </c>
      <c r="G77">
        <f t="shared" si="15"/>
        <v>-0.44091000000000002</v>
      </c>
      <c r="H77">
        <f t="shared" si="16"/>
        <v>-650.24730444060003</v>
      </c>
      <c r="I77">
        <v>1</v>
      </c>
      <c r="J77">
        <f t="shared" si="17"/>
        <v>0.3885119859133967</v>
      </c>
      <c r="K77">
        <f t="shared" si="18"/>
        <v>-0.78081515177521743</v>
      </c>
      <c r="L77">
        <v>1</v>
      </c>
      <c r="M77">
        <f t="shared" si="19"/>
        <v>0.56181887383270868</v>
      </c>
      <c r="N77">
        <f t="shared" si="20"/>
        <v>0.13199322707</v>
      </c>
      <c r="O77">
        <f t="shared" si="21"/>
        <v>2.7209776977000003E-2</v>
      </c>
      <c r="P77">
        <f t="shared" si="22"/>
        <v>5.9793273895508758E-2</v>
      </c>
      <c r="V77">
        <v>1.2999999999999701</v>
      </c>
      <c r="W77">
        <f t="shared" si="23"/>
        <v>-0.6088789999999985</v>
      </c>
    </row>
    <row r="78" spans="1:23" x14ac:dyDescent="0.3">
      <c r="A78">
        <v>7.4762639999999996</v>
      </c>
      <c r="B78">
        <v>0.43680000000000002</v>
      </c>
      <c r="C78">
        <f t="shared" si="13"/>
        <v>3.2656321151999999</v>
      </c>
      <c r="D78">
        <v>1.7899999999999999E-2</v>
      </c>
      <c r="E78">
        <v>3.6900000000000001E-3</v>
      </c>
      <c r="F78">
        <f t="shared" si="14"/>
        <v>1495.2528</v>
      </c>
      <c r="G78">
        <f t="shared" si="15"/>
        <v>-0.43680000000000002</v>
      </c>
      <c r="H78">
        <f t="shared" si="16"/>
        <v>-653.12642303999996</v>
      </c>
      <c r="I78">
        <v>1</v>
      </c>
      <c r="J78">
        <f t="shared" si="17"/>
        <v>0.40229528953733185</v>
      </c>
      <c r="K78">
        <f t="shared" si="18"/>
        <v>-0.78492515177521738</v>
      </c>
      <c r="L78">
        <v>1</v>
      </c>
      <c r="M78">
        <f t="shared" si="19"/>
        <v>0.56253050579881247</v>
      </c>
      <c r="N78">
        <f t="shared" si="20"/>
        <v>0.13382512559999998</v>
      </c>
      <c r="O78">
        <f t="shared" si="21"/>
        <v>2.758741416E-2</v>
      </c>
      <c r="P78">
        <f t="shared" si="22"/>
        <v>6.0982106216404916E-2</v>
      </c>
      <c r="V78">
        <v>1.3999999999999699</v>
      </c>
      <c r="W78">
        <f t="shared" si="23"/>
        <v>-0.61404199999999842</v>
      </c>
    </row>
    <row r="79" spans="1:23" x14ac:dyDescent="0.3">
      <c r="A79">
        <v>7.5735597500000003</v>
      </c>
      <c r="B79">
        <v>0.43271999999999999</v>
      </c>
      <c r="C79">
        <f t="shared" si="13"/>
        <v>3.27723077502</v>
      </c>
      <c r="D79">
        <v>1.7899999999999999E-2</v>
      </c>
      <c r="E79">
        <v>3.6900000000000001E-3</v>
      </c>
      <c r="F79">
        <f t="shared" si="14"/>
        <v>1514.7119500000001</v>
      </c>
      <c r="G79">
        <f t="shared" si="15"/>
        <v>-0.43271999999999999</v>
      </c>
      <c r="H79">
        <f t="shared" si="16"/>
        <v>-655.44615500400005</v>
      </c>
      <c r="I79">
        <v>1</v>
      </c>
      <c r="J79">
        <f t="shared" si="17"/>
        <v>0.41522528887074861</v>
      </c>
      <c r="K79">
        <f t="shared" si="18"/>
        <v>-0.78900515177521746</v>
      </c>
      <c r="L79">
        <v>1</v>
      </c>
      <c r="M79">
        <f t="shared" si="19"/>
        <v>0.56319808166439678</v>
      </c>
      <c r="N79">
        <f t="shared" si="20"/>
        <v>0.13556671952499999</v>
      </c>
      <c r="O79">
        <f t="shared" si="21"/>
        <v>2.7946435477500003E-2</v>
      </c>
      <c r="P79">
        <f t="shared" si="22"/>
        <v>6.2293915108320691E-2</v>
      </c>
      <c r="V79">
        <v>1.49999999999997</v>
      </c>
      <c r="W79">
        <f t="shared" si="23"/>
        <v>-0.61920499999999845</v>
      </c>
    </row>
    <row r="80" spans="1:23" x14ac:dyDescent="0.3">
      <c r="A80">
        <v>7.6737380000000002</v>
      </c>
      <c r="B80">
        <v>0.42849999999999999</v>
      </c>
      <c r="C80">
        <f t="shared" si="13"/>
        <v>3.2881967329999999</v>
      </c>
      <c r="D80">
        <v>1.7899999999999999E-2</v>
      </c>
      <c r="E80">
        <v>3.6900000000000001E-3</v>
      </c>
      <c r="F80">
        <f t="shared" si="14"/>
        <v>1534.7476000000001</v>
      </c>
      <c r="G80">
        <f t="shared" si="15"/>
        <v>-0.42849999999999999</v>
      </c>
      <c r="H80">
        <f t="shared" si="16"/>
        <v>-657.63934659999995</v>
      </c>
      <c r="I80">
        <v>1</v>
      </c>
      <c r="J80">
        <f t="shared" si="17"/>
        <v>0.4283659375516447</v>
      </c>
      <c r="K80">
        <f t="shared" si="18"/>
        <v>-0.79322515177521746</v>
      </c>
      <c r="L80">
        <v>1</v>
      </c>
      <c r="M80">
        <f t="shared" si="19"/>
        <v>0.56387653335579146</v>
      </c>
      <c r="N80">
        <f t="shared" si="20"/>
        <v>0.13735991019999999</v>
      </c>
      <c r="O80">
        <f t="shared" si="21"/>
        <v>2.8316093220000001E-2</v>
      </c>
      <c r="P80">
        <f t="shared" si="22"/>
        <v>6.3672614999426003E-2</v>
      </c>
      <c r="V80">
        <v>1.5999999999999699</v>
      </c>
      <c r="W80">
        <f t="shared" si="23"/>
        <v>-0.62436799999999848</v>
      </c>
    </row>
    <row r="81" spans="1:23" x14ac:dyDescent="0.3">
      <c r="A81">
        <v>7.7767992000000001</v>
      </c>
      <c r="B81">
        <v>0.4244</v>
      </c>
      <c r="C81">
        <f t="shared" si="13"/>
        <v>3.3004735804799998</v>
      </c>
      <c r="D81">
        <v>1.7899999999999999E-2</v>
      </c>
      <c r="E81">
        <v>3.6900000000000001E-3</v>
      </c>
      <c r="F81">
        <f t="shared" si="14"/>
        <v>1555.3598400000001</v>
      </c>
      <c r="G81">
        <f t="shared" si="15"/>
        <v>-0.4244</v>
      </c>
      <c r="H81">
        <f t="shared" si="16"/>
        <v>-660.09471609599996</v>
      </c>
      <c r="I81">
        <v>1</v>
      </c>
      <c r="J81">
        <f t="shared" si="17"/>
        <v>0.4417069272205415</v>
      </c>
      <c r="K81">
        <f t="shared" si="18"/>
        <v>-0.79732515177521746</v>
      </c>
      <c r="L81">
        <v>1</v>
      </c>
      <c r="M81">
        <f t="shared" si="19"/>
        <v>0.56456532865239661</v>
      </c>
      <c r="N81">
        <f t="shared" si="20"/>
        <v>0.13920470567999998</v>
      </c>
      <c r="O81">
        <f t="shared" si="21"/>
        <v>2.8696389048000003E-2</v>
      </c>
      <c r="P81">
        <f t="shared" si="22"/>
        <v>6.4858728394820847E-2</v>
      </c>
      <c r="V81">
        <v>1.69999999999997</v>
      </c>
      <c r="W81">
        <f t="shared" si="23"/>
        <v>-0.62953099999999851</v>
      </c>
    </row>
    <row r="82" spans="1:23" x14ac:dyDescent="0.3">
      <c r="A82">
        <v>7.8740949499999999</v>
      </c>
      <c r="B82">
        <v>0.42020000000000002</v>
      </c>
      <c r="C82">
        <f t="shared" si="13"/>
        <v>3.30869469799</v>
      </c>
      <c r="D82">
        <v>1.7899999999999999E-2</v>
      </c>
      <c r="E82">
        <v>3.6900000000000001E-3</v>
      </c>
      <c r="F82">
        <f t="shared" si="14"/>
        <v>1574.81899</v>
      </c>
      <c r="G82">
        <f t="shared" si="15"/>
        <v>-0.42020000000000002</v>
      </c>
      <c r="H82">
        <f t="shared" si="16"/>
        <v>-661.738939598</v>
      </c>
      <c r="I82">
        <v>1</v>
      </c>
      <c r="J82">
        <f t="shared" si="17"/>
        <v>0.45414033868885756</v>
      </c>
      <c r="K82">
        <f t="shared" si="18"/>
        <v>-0.80152515177521744</v>
      </c>
      <c r="L82">
        <v>1</v>
      </c>
      <c r="M82">
        <f t="shared" si="19"/>
        <v>0.5652072656865057</v>
      </c>
      <c r="N82">
        <f t="shared" si="20"/>
        <v>0.14094629960499999</v>
      </c>
      <c r="O82">
        <f t="shared" si="21"/>
        <v>2.9055410365500002E-2</v>
      </c>
      <c r="P82">
        <f t="shared" si="22"/>
        <v>6.631617611821175E-2</v>
      </c>
      <c r="V82">
        <v>1.7999999999999701</v>
      </c>
      <c r="W82">
        <f t="shared" si="23"/>
        <v>-0.63469399999999854</v>
      </c>
    </row>
    <row r="83" spans="1:23" x14ac:dyDescent="0.3">
      <c r="A83">
        <v>7.9728322</v>
      </c>
      <c r="B83">
        <v>0.41598000000000002</v>
      </c>
      <c r="C83">
        <f t="shared" si="13"/>
        <v>3.3165387385560003</v>
      </c>
      <c r="D83">
        <v>1.7899999999999999E-2</v>
      </c>
      <c r="E83">
        <v>3.6900000000000001E-3</v>
      </c>
      <c r="F83">
        <f t="shared" si="14"/>
        <v>1594.5664400000001</v>
      </c>
      <c r="G83">
        <f t="shared" si="15"/>
        <v>-0.41598000000000002</v>
      </c>
      <c r="H83">
        <f t="shared" si="16"/>
        <v>-663.30774771120002</v>
      </c>
      <c r="I83">
        <v>1</v>
      </c>
      <c r="J83">
        <f t="shared" si="17"/>
        <v>0.46660187483443488</v>
      </c>
      <c r="K83">
        <f t="shared" si="18"/>
        <v>-0.80574515177521744</v>
      </c>
      <c r="L83">
        <v>1</v>
      </c>
      <c r="M83">
        <f t="shared" si="19"/>
        <v>0.56585065479770191</v>
      </c>
      <c r="N83">
        <f t="shared" si="20"/>
        <v>0.14271369638</v>
      </c>
      <c r="O83">
        <f t="shared" si="21"/>
        <v>2.9419750818000003E-2</v>
      </c>
      <c r="P83">
        <f t="shared" si="22"/>
        <v>6.7761049779515525E-2</v>
      </c>
      <c r="V83">
        <v>1.8999999999999699</v>
      </c>
      <c r="W83">
        <f t="shared" si="23"/>
        <v>-0.63985699999999845</v>
      </c>
    </row>
    <row r="84" spans="1:23" x14ac:dyDescent="0.3">
      <c r="A84">
        <v>8.0730104499999999</v>
      </c>
      <c r="B84">
        <v>0.41171999999999997</v>
      </c>
      <c r="C84">
        <f t="shared" si="13"/>
        <v>3.3238198624739996</v>
      </c>
      <c r="D84">
        <v>1.7899999999999999E-2</v>
      </c>
      <c r="E84">
        <v>3.6900000000000001E-3</v>
      </c>
      <c r="F84">
        <f t="shared" si="14"/>
        <v>1614.6020900000001</v>
      </c>
      <c r="G84">
        <f t="shared" si="15"/>
        <v>-0.41171999999999997</v>
      </c>
      <c r="H84">
        <f t="shared" si="16"/>
        <v>-664.76397249479987</v>
      </c>
      <c r="I84">
        <v>1</v>
      </c>
      <c r="J84">
        <f t="shared" si="17"/>
        <v>0.47908854241619125</v>
      </c>
      <c r="K84">
        <f t="shared" si="18"/>
        <v>-0.81000515177521748</v>
      </c>
      <c r="L84">
        <v>1</v>
      </c>
      <c r="M84">
        <f t="shared" si="19"/>
        <v>0.56649534144494795</v>
      </c>
      <c r="N84">
        <f t="shared" si="20"/>
        <v>0.14450688705500001</v>
      </c>
      <c r="O84">
        <f t="shared" si="21"/>
        <v>2.97894085605E-2</v>
      </c>
      <c r="P84">
        <f t="shared" si="22"/>
        <v>6.9213514714769525E-2</v>
      </c>
      <c r="V84">
        <v>1.99999999999997</v>
      </c>
      <c r="W84">
        <f t="shared" si="23"/>
        <v>-0.64501999999999848</v>
      </c>
    </row>
    <row r="85" spans="1:23" x14ac:dyDescent="0.3">
      <c r="A85">
        <v>8.1724682000000008</v>
      </c>
      <c r="B85">
        <v>0.40754000000000001</v>
      </c>
      <c r="C85">
        <f t="shared" si="13"/>
        <v>3.3306076902280006</v>
      </c>
      <c r="D85">
        <v>1.7899999999999999E-2</v>
      </c>
      <c r="E85">
        <v>3.6900000000000001E-3</v>
      </c>
      <c r="F85">
        <f t="shared" si="14"/>
        <v>1634.4936400000001</v>
      </c>
      <c r="G85">
        <f t="shared" si="15"/>
        <v>-0.40754000000000001</v>
      </c>
      <c r="H85">
        <f t="shared" si="16"/>
        <v>-666.12153804560012</v>
      </c>
      <c r="I85">
        <v>1</v>
      </c>
      <c r="J85">
        <f t="shared" si="17"/>
        <v>0.4913330560763628</v>
      </c>
      <c r="K85">
        <f t="shared" si="18"/>
        <v>-0.81418515177521744</v>
      </c>
      <c r="L85">
        <v>1</v>
      </c>
      <c r="M85">
        <f t="shared" si="19"/>
        <v>0.56712752568522262</v>
      </c>
      <c r="N85">
        <f t="shared" si="20"/>
        <v>0.14628718078</v>
      </c>
      <c r="O85">
        <f t="shared" si="21"/>
        <v>3.0156407658000005E-2</v>
      </c>
      <c r="P85">
        <f t="shared" si="22"/>
        <v>7.061403765199481E-2</v>
      </c>
      <c r="V85">
        <v>2.0999999999999699</v>
      </c>
      <c r="W85">
        <f t="shared" si="23"/>
        <v>-0.65018299999999851</v>
      </c>
    </row>
    <row r="86" spans="1:23" x14ac:dyDescent="0.3">
      <c r="A86">
        <v>8.2726468999999998</v>
      </c>
      <c r="B86">
        <v>0.40329999999999999</v>
      </c>
      <c r="C86">
        <f t="shared" si="13"/>
        <v>3.3363584947699998</v>
      </c>
      <c r="D86">
        <v>1.7899999999999999E-2</v>
      </c>
      <c r="E86">
        <v>3.6900000000000001E-3</v>
      </c>
      <c r="F86">
        <f t="shared" si="14"/>
        <v>1654.5293799999999</v>
      </c>
      <c r="G86">
        <f t="shared" si="15"/>
        <v>-0.40329999999999999</v>
      </c>
      <c r="H86">
        <f t="shared" si="16"/>
        <v>-667.27169895399993</v>
      </c>
      <c r="I86">
        <v>1</v>
      </c>
      <c r="J86">
        <f t="shared" si="17"/>
        <v>0.50351660585256908</v>
      </c>
      <c r="K86">
        <f t="shared" si="18"/>
        <v>-0.81842515177521746</v>
      </c>
      <c r="L86">
        <v>1</v>
      </c>
      <c r="M86">
        <f t="shared" si="19"/>
        <v>0.56775656236016814</v>
      </c>
      <c r="N86">
        <f t="shared" si="20"/>
        <v>0.14808037951</v>
      </c>
      <c r="O86">
        <f t="shared" si="21"/>
        <v>3.0526067061000001E-2</v>
      </c>
      <c r="P86">
        <f t="shared" si="22"/>
        <v>7.2062142844049326E-2</v>
      </c>
      <c r="V86">
        <v>2.19999999999997</v>
      </c>
      <c r="W86">
        <f t="shared" si="23"/>
        <v>-0.65534599999999843</v>
      </c>
    </row>
    <row r="87" spans="1:23" x14ac:dyDescent="0.3">
      <c r="A87">
        <v>8.3721046500000007</v>
      </c>
      <c r="B87">
        <v>0.39899000000000001</v>
      </c>
      <c r="C87">
        <f t="shared" si="13"/>
        <v>3.3403860343035006</v>
      </c>
      <c r="D87">
        <v>1.7899999999999999E-2</v>
      </c>
      <c r="E87">
        <v>3.6900000000000001E-3</v>
      </c>
      <c r="F87">
        <f t="shared" si="14"/>
        <v>1674.4209300000002</v>
      </c>
      <c r="G87">
        <f t="shared" si="15"/>
        <v>-0.39899000000000001</v>
      </c>
      <c r="H87">
        <f t="shared" si="16"/>
        <v>-668.07720686070013</v>
      </c>
      <c r="I87">
        <v>1</v>
      </c>
      <c r="J87">
        <f t="shared" si="17"/>
        <v>0.5154673920715287</v>
      </c>
      <c r="K87">
        <f t="shared" si="18"/>
        <v>-0.8227351517752175</v>
      </c>
      <c r="L87">
        <v>1</v>
      </c>
      <c r="M87">
        <f t="shared" si="19"/>
        <v>0.56837358145265304</v>
      </c>
      <c r="N87">
        <f t="shared" si="20"/>
        <v>0.14986067323500002</v>
      </c>
      <c r="O87">
        <f t="shared" si="21"/>
        <v>3.0893066158500005E-2</v>
      </c>
      <c r="P87">
        <f t="shared" si="22"/>
        <v>7.3607830929064436E-2</v>
      </c>
      <c r="V87">
        <v>2.2999999999999701</v>
      </c>
      <c r="W87">
        <f t="shared" si="23"/>
        <v>-0.66050899999999846</v>
      </c>
    </row>
    <row r="88" spans="1:23" x14ac:dyDescent="0.3">
      <c r="A88">
        <v>8.4715623999999998</v>
      </c>
      <c r="B88">
        <v>0.39473999999999998</v>
      </c>
      <c r="C88">
        <f t="shared" si="13"/>
        <v>3.3440645417759995</v>
      </c>
      <c r="D88">
        <v>1.7899999999999999E-2</v>
      </c>
      <c r="E88">
        <v>3.6900000000000001E-3</v>
      </c>
      <c r="F88">
        <f t="shared" si="14"/>
        <v>1694.3124800000001</v>
      </c>
      <c r="G88">
        <f t="shared" si="15"/>
        <v>-0.39473999999999998</v>
      </c>
      <c r="H88">
        <f t="shared" si="16"/>
        <v>-668.81290835519985</v>
      </c>
      <c r="I88">
        <v>1</v>
      </c>
      <c r="J88">
        <f t="shared" si="17"/>
        <v>0.52727704202860781</v>
      </c>
      <c r="K88">
        <f t="shared" si="18"/>
        <v>-0.82698515177521748</v>
      </c>
      <c r="L88">
        <v>1</v>
      </c>
      <c r="M88">
        <f t="shared" si="19"/>
        <v>0.56898331367993704</v>
      </c>
      <c r="N88">
        <f t="shared" si="20"/>
        <v>0.15164096695999998</v>
      </c>
      <c r="O88">
        <f t="shared" si="21"/>
        <v>3.1260065256000003E-2</v>
      </c>
      <c r="P88">
        <f t="shared" si="22"/>
        <v>7.5100805879280447E-2</v>
      </c>
      <c r="V88">
        <v>2.3999999999999702</v>
      </c>
      <c r="W88">
        <f t="shared" si="23"/>
        <v>-0.66567199999999849</v>
      </c>
    </row>
    <row r="89" spans="1:23" x14ac:dyDescent="0.3">
      <c r="A89">
        <v>8.5710201500000007</v>
      </c>
      <c r="B89">
        <v>0.39045000000000002</v>
      </c>
      <c r="C89">
        <f t="shared" si="13"/>
        <v>3.3465548175675006</v>
      </c>
      <c r="D89">
        <v>1.7899999999999999E-2</v>
      </c>
      <c r="E89">
        <v>3.6900000000000001E-3</v>
      </c>
      <c r="F89">
        <f t="shared" si="14"/>
        <v>1714.2040300000001</v>
      </c>
      <c r="G89">
        <f t="shared" si="15"/>
        <v>-0.39045000000000002</v>
      </c>
      <c r="H89">
        <f t="shared" si="16"/>
        <v>-669.31096351350016</v>
      </c>
      <c r="I89">
        <v>1</v>
      </c>
      <c r="J89">
        <f t="shared" si="17"/>
        <v>0.53894885043076279</v>
      </c>
      <c r="K89">
        <f t="shared" si="18"/>
        <v>-0.83127515177521749</v>
      </c>
      <c r="L89">
        <v>1</v>
      </c>
      <c r="M89">
        <f t="shared" si="19"/>
        <v>0.56958592914774031</v>
      </c>
      <c r="N89">
        <f t="shared" si="20"/>
        <v>0.153421260685</v>
      </c>
      <c r="O89">
        <f t="shared" si="21"/>
        <v>3.1627064353500003E-2</v>
      </c>
      <c r="P89">
        <f t="shared" si="22"/>
        <v>7.6640897588977172E-2</v>
      </c>
      <c r="V89">
        <v>2.4999999999999698</v>
      </c>
      <c r="W89">
        <f t="shared" si="23"/>
        <v>-0.67083499999999852</v>
      </c>
    </row>
    <row r="90" spans="1:23" x14ac:dyDescent="0.3">
      <c r="A90">
        <v>8.6711988499999997</v>
      </c>
      <c r="B90">
        <v>0.38608999999999999</v>
      </c>
      <c r="C90">
        <f t="shared" si="13"/>
        <v>3.3478631639964997</v>
      </c>
      <c r="D90">
        <v>1.7899999999999999E-2</v>
      </c>
      <c r="E90">
        <v>3.6900000000000001E-3</v>
      </c>
      <c r="F90">
        <f t="shared" si="14"/>
        <v>1734.2397699999999</v>
      </c>
      <c r="G90">
        <f t="shared" si="15"/>
        <v>-0.38608999999999999</v>
      </c>
      <c r="H90">
        <f t="shared" si="16"/>
        <v>-669.57263279929998</v>
      </c>
      <c r="I90">
        <v>1</v>
      </c>
      <c r="J90">
        <f t="shared" si="17"/>
        <v>0.55056914446235816</v>
      </c>
      <c r="K90">
        <f t="shared" si="18"/>
        <v>-0.83563515177521741</v>
      </c>
      <c r="L90">
        <v>1</v>
      </c>
      <c r="M90">
        <f t="shared" si="19"/>
        <v>0.57018588492859157</v>
      </c>
      <c r="N90">
        <f t="shared" si="20"/>
        <v>0.15521445941499998</v>
      </c>
      <c r="O90">
        <f t="shared" si="21"/>
        <v>3.1996723756499999E-2</v>
      </c>
      <c r="P90">
        <f t="shared" si="22"/>
        <v>7.8238083675125858E-2</v>
      </c>
      <c r="V90">
        <v>2.5999999999999699</v>
      </c>
      <c r="W90">
        <f t="shared" si="23"/>
        <v>-0.67599799999999843</v>
      </c>
    </row>
    <row r="91" spans="1:23" x14ac:dyDescent="0.3">
      <c r="A91">
        <v>8.7728185500000002</v>
      </c>
      <c r="B91">
        <v>0.38185000000000002</v>
      </c>
      <c r="C91">
        <f t="shared" si="13"/>
        <v>3.3499007633175002</v>
      </c>
      <c r="D91">
        <v>1.7899999999999999E-2</v>
      </c>
      <c r="E91">
        <v>3.6900000000000001E-3</v>
      </c>
      <c r="F91">
        <f t="shared" si="14"/>
        <v>1754.5637100000001</v>
      </c>
      <c r="G91">
        <f t="shared" si="15"/>
        <v>-0.38185000000000002</v>
      </c>
      <c r="H91">
        <f t="shared" si="16"/>
        <v>-669.98015266350001</v>
      </c>
      <c r="I91">
        <v>1</v>
      </c>
      <c r="J91">
        <f t="shared" si="17"/>
        <v>0.56222022772155378</v>
      </c>
      <c r="K91">
        <f t="shared" si="18"/>
        <v>-0.83987515177521743</v>
      </c>
      <c r="L91">
        <v>1</v>
      </c>
      <c r="M91">
        <f t="shared" si="19"/>
        <v>0.57078743035726387</v>
      </c>
      <c r="N91">
        <f t="shared" si="20"/>
        <v>0.15703345204499999</v>
      </c>
      <c r="O91">
        <f t="shared" si="21"/>
        <v>3.2371700449500003E-2</v>
      </c>
      <c r="P91">
        <f t="shared" si="22"/>
        <v>7.9682568923453573E-2</v>
      </c>
      <c r="V91">
        <v>2.69999999999997</v>
      </c>
      <c r="W91">
        <f t="shared" si="23"/>
        <v>-0.68116099999999846</v>
      </c>
    </row>
    <row r="92" spans="1:23" x14ac:dyDescent="0.3">
      <c r="A92">
        <v>8.8722762999999993</v>
      </c>
      <c r="B92">
        <v>0.37742999999999999</v>
      </c>
      <c r="C92">
        <f t="shared" si="13"/>
        <v>3.3486632439089998</v>
      </c>
      <c r="D92">
        <v>1.7899999999999999E-2</v>
      </c>
      <c r="E92">
        <v>3.6900000000000001E-3</v>
      </c>
      <c r="F92">
        <f t="shared" si="14"/>
        <v>1774.45526</v>
      </c>
      <c r="G92">
        <f t="shared" si="15"/>
        <v>-0.37742999999999999</v>
      </c>
      <c r="H92">
        <f t="shared" si="16"/>
        <v>-669.73264878179998</v>
      </c>
      <c r="I92">
        <v>1</v>
      </c>
      <c r="J92">
        <f t="shared" si="17"/>
        <v>0.57349348005058565</v>
      </c>
      <c r="K92">
        <f t="shared" si="18"/>
        <v>-0.84429515177521752</v>
      </c>
      <c r="L92">
        <v>1</v>
      </c>
      <c r="M92">
        <f t="shared" si="19"/>
        <v>0.57136946837501179</v>
      </c>
      <c r="N92">
        <f t="shared" si="20"/>
        <v>0.15881374576999999</v>
      </c>
      <c r="O92">
        <f t="shared" si="21"/>
        <v>3.2738699546999997E-2</v>
      </c>
      <c r="P92">
        <f t="shared" si="22"/>
        <v>8.1373238083205748E-2</v>
      </c>
      <c r="V92">
        <v>2.7999999999999701</v>
      </c>
      <c r="W92">
        <f t="shared" si="23"/>
        <v>-0.68632399999999849</v>
      </c>
    </row>
    <row r="93" spans="1:23" x14ac:dyDescent="0.3">
      <c r="A93">
        <v>8.9688511000000002</v>
      </c>
      <c r="B93">
        <v>0.37307000000000001</v>
      </c>
      <c r="C93">
        <f t="shared" si="13"/>
        <v>3.3460092798770003</v>
      </c>
      <c r="D93">
        <v>1.7899999999999999E-2</v>
      </c>
      <c r="E93">
        <v>3.6900000000000001E-3</v>
      </c>
      <c r="F93">
        <f t="shared" si="14"/>
        <v>1793.7702200000001</v>
      </c>
      <c r="G93">
        <f t="shared" si="15"/>
        <v>-0.37307000000000001</v>
      </c>
      <c r="H93">
        <f t="shared" si="16"/>
        <v>-669.20185597540001</v>
      </c>
      <c r="I93">
        <v>1</v>
      </c>
      <c r="J93">
        <f t="shared" si="17"/>
        <v>0.58431967293612797</v>
      </c>
      <c r="K93">
        <f t="shared" si="18"/>
        <v>-0.84865515177521744</v>
      </c>
      <c r="L93">
        <v>1</v>
      </c>
      <c r="M93">
        <f t="shared" si="19"/>
        <v>0.57192842471369232</v>
      </c>
      <c r="N93">
        <f t="shared" si="20"/>
        <v>0.16054243468999999</v>
      </c>
      <c r="O93">
        <f t="shared" si="21"/>
        <v>3.3095060559000002E-2</v>
      </c>
      <c r="P93">
        <f t="shared" si="22"/>
        <v>8.3089231812525144E-2</v>
      </c>
      <c r="V93">
        <v>2.8999999999999702</v>
      </c>
      <c r="W93">
        <f t="shared" si="23"/>
        <v>-0.69148699999999852</v>
      </c>
    </row>
    <row r="94" spans="1:23" x14ac:dyDescent="0.3">
      <c r="A94">
        <v>9.0675878500000007</v>
      </c>
      <c r="B94">
        <v>0.36865999999999999</v>
      </c>
      <c r="C94">
        <f t="shared" si="13"/>
        <v>3.3428569367810002</v>
      </c>
      <c r="D94">
        <v>1.7899999999999999E-2</v>
      </c>
      <c r="E94">
        <v>3.6900000000000001E-3</v>
      </c>
      <c r="F94">
        <f t="shared" si="14"/>
        <v>1813.5175700000002</v>
      </c>
      <c r="G94">
        <f t="shared" si="15"/>
        <v>-0.36865999999999999</v>
      </c>
      <c r="H94">
        <f t="shared" si="16"/>
        <v>-668.57138735620003</v>
      </c>
      <c r="I94">
        <v>1</v>
      </c>
      <c r="J94">
        <f t="shared" si="17"/>
        <v>0.5952683681416403</v>
      </c>
      <c r="K94">
        <f t="shared" si="18"/>
        <v>-0.85306515177521747</v>
      </c>
      <c r="L94">
        <v>1</v>
      </c>
      <c r="M94">
        <f t="shared" si="19"/>
        <v>0.57249370584715287</v>
      </c>
      <c r="N94">
        <f t="shared" si="20"/>
        <v>0.16230982251500001</v>
      </c>
      <c r="O94">
        <f t="shared" si="21"/>
        <v>3.3459399166500002E-2</v>
      </c>
      <c r="P94">
        <f t="shared" si="22"/>
        <v>8.4802224246564584E-2</v>
      </c>
      <c r="V94">
        <v>2.9999999999999698</v>
      </c>
      <c r="W94">
        <f t="shared" si="23"/>
        <v>-0.69664999999999844</v>
      </c>
    </row>
    <row r="95" spans="1:23" x14ac:dyDescent="0.3">
      <c r="A95">
        <v>9.1692075499999994</v>
      </c>
      <c r="B95">
        <v>0.36437999999999998</v>
      </c>
      <c r="C95">
        <f t="shared" si="13"/>
        <v>3.3410758470689994</v>
      </c>
      <c r="D95">
        <v>1.7899999999999999E-2</v>
      </c>
      <c r="E95">
        <v>3.6900000000000001E-3</v>
      </c>
      <c r="F95">
        <f t="shared" si="14"/>
        <v>1833.84151</v>
      </c>
      <c r="G95">
        <f t="shared" si="15"/>
        <v>-0.36437999999999998</v>
      </c>
      <c r="H95">
        <f t="shared" si="16"/>
        <v>-668.21516941379991</v>
      </c>
      <c r="I95">
        <v>1</v>
      </c>
      <c r="J95">
        <f t="shared" si="17"/>
        <v>0.60641295243374826</v>
      </c>
      <c r="K95">
        <f t="shared" si="18"/>
        <v>-0.85734515177521753</v>
      </c>
      <c r="L95">
        <v>1</v>
      </c>
      <c r="M95">
        <f t="shared" si="19"/>
        <v>0.5730691007341544</v>
      </c>
      <c r="N95">
        <f t="shared" si="20"/>
        <v>0.164128815145</v>
      </c>
      <c r="O95">
        <f t="shared" si="21"/>
        <v>3.3834375859499999E-2</v>
      </c>
      <c r="P95">
        <f t="shared" si="22"/>
        <v>8.6312860036563133E-2</v>
      </c>
      <c r="V95">
        <v>3.0999999999999699</v>
      </c>
      <c r="W95">
        <f t="shared" si="23"/>
        <v>-0.70181299999999847</v>
      </c>
    </row>
    <row r="96" spans="1:23" x14ac:dyDescent="0.3">
      <c r="A96">
        <v>9.2672243000000005</v>
      </c>
      <c r="B96">
        <v>0.35976999999999998</v>
      </c>
      <c r="C96">
        <f t="shared" si="13"/>
        <v>3.3340692864110002</v>
      </c>
      <c r="D96">
        <v>1.7899999999999999E-2</v>
      </c>
      <c r="E96">
        <v>3.6900000000000001E-3</v>
      </c>
      <c r="F96">
        <f t="shared" si="14"/>
        <v>1853.4448600000001</v>
      </c>
      <c r="G96">
        <f t="shared" si="15"/>
        <v>-0.35976999999999998</v>
      </c>
      <c r="H96">
        <f t="shared" si="16"/>
        <v>-666.81385728220005</v>
      </c>
      <c r="I96">
        <v>1</v>
      </c>
      <c r="J96">
        <f t="shared" si="17"/>
        <v>0.61704599404285565</v>
      </c>
      <c r="K96">
        <f t="shared" si="18"/>
        <v>-0.86195515177521753</v>
      </c>
      <c r="L96">
        <v>1</v>
      </c>
      <c r="M96">
        <f t="shared" si="19"/>
        <v>0.57361808467243269</v>
      </c>
      <c r="N96">
        <f t="shared" si="20"/>
        <v>0.16588331497</v>
      </c>
      <c r="O96">
        <f t="shared" si="21"/>
        <v>3.4196057667000006E-2</v>
      </c>
      <c r="P96">
        <f t="shared" si="22"/>
        <v>8.8257694465784825E-2</v>
      </c>
      <c r="V96">
        <v>3.19999999999997</v>
      </c>
      <c r="W96">
        <f t="shared" si="23"/>
        <v>-0.70697599999999849</v>
      </c>
    </row>
    <row r="97" spans="1:23" x14ac:dyDescent="0.3">
      <c r="A97">
        <v>9.3681230499999995</v>
      </c>
      <c r="B97">
        <v>0.35528999999999999</v>
      </c>
      <c r="C97">
        <f t="shared" si="13"/>
        <v>3.3284004384344996</v>
      </c>
      <c r="D97">
        <v>1.7899999999999999E-2</v>
      </c>
      <c r="E97">
        <v>3.6900000000000001E-3</v>
      </c>
      <c r="F97">
        <f t="shared" si="14"/>
        <v>1873.6246099999998</v>
      </c>
      <c r="G97">
        <f t="shared" si="15"/>
        <v>-0.35528999999999999</v>
      </c>
      <c r="H97">
        <f t="shared" si="16"/>
        <v>-665.68008768689992</v>
      </c>
      <c r="I97">
        <v>1</v>
      </c>
      <c r="J97">
        <f t="shared" si="17"/>
        <v>0.62787484891595569</v>
      </c>
      <c r="K97">
        <f t="shared" si="18"/>
        <v>-0.86643515177521746</v>
      </c>
      <c r="L97">
        <v>1</v>
      </c>
      <c r="M97">
        <f t="shared" si="19"/>
        <v>0.57417717844953087</v>
      </c>
      <c r="N97">
        <f t="shared" si="20"/>
        <v>0.16768940259499998</v>
      </c>
      <c r="O97">
        <f t="shared" si="21"/>
        <v>3.4568374054500001E-2</v>
      </c>
      <c r="P97">
        <f t="shared" si="22"/>
        <v>9.0000196676186611E-2</v>
      </c>
      <c r="V97">
        <v>3.2999999999999701</v>
      </c>
      <c r="W97">
        <f t="shared" si="23"/>
        <v>-0.71213899999999852</v>
      </c>
    </row>
    <row r="98" spans="1:23" x14ac:dyDescent="0.3">
      <c r="A98">
        <v>9.4675808000000004</v>
      </c>
      <c r="B98">
        <v>0.35077999999999998</v>
      </c>
      <c r="C98">
        <f t="shared" si="13"/>
        <v>3.3210379930239999</v>
      </c>
      <c r="D98">
        <v>1.7899999999999999E-2</v>
      </c>
      <c r="E98">
        <v>3.6900000000000001E-3</v>
      </c>
      <c r="F98">
        <f t="shared" si="14"/>
        <v>1893.5161600000001</v>
      </c>
      <c r="G98">
        <f t="shared" si="15"/>
        <v>-0.35077999999999998</v>
      </c>
      <c r="H98">
        <f t="shared" si="16"/>
        <v>-664.20759860479995</v>
      </c>
      <c r="I98">
        <v>1</v>
      </c>
      <c r="J98">
        <f t="shared" si="17"/>
        <v>0.63843550278328898</v>
      </c>
      <c r="K98">
        <f t="shared" si="18"/>
        <v>-0.87094515177521747</v>
      </c>
      <c r="L98">
        <v>1</v>
      </c>
      <c r="M98">
        <f t="shared" si="19"/>
        <v>0.57472242500870119</v>
      </c>
      <c r="N98">
        <f t="shared" si="20"/>
        <v>0.16946969632</v>
      </c>
      <c r="O98">
        <f t="shared" si="21"/>
        <v>3.4935373152000002E-2</v>
      </c>
      <c r="P98">
        <f t="shared" si="22"/>
        <v>9.1817657294516283E-2</v>
      </c>
      <c r="V98">
        <v>3.3999999999999702</v>
      </c>
      <c r="W98">
        <f t="shared" si="23"/>
        <v>-0.71730199999999855</v>
      </c>
    </row>
    <row r="99" spans="1:23" x14ac:dyDescent="0.3">
      <c r="A99">
        <v>9.5670385499999995</v>
      </c>
      <c r="B99">
        <v>0.34616999999999998</v>
      </c>
      <c r="C99">
        <f t="shared" si="13"/>
        <v>3.3118217348534995</v>
      </c>
      <c r="D99">
        <v>1.7899999999999999E-2</v>
      </c>
      <c r="E99">
        <v>3.6900000000000001E-3</v>
      </c>
      <c r="F99">
        <f t="shared" si="14"/>
        <v>1913.40771</v>
      </c>
      <c r="G99">
        <f t="shared" si="15"/>
        <v>-0.34616999999999998</v>
      </c>
      <c r="H99">
        <f t="shared" si="16"/>
        <v>-662.3643469706999</v>
      </c>
      <c r="I99">
        <v>1</v>
      </c>
      <c r="J99">
        <f t="shared" si="17"/>
        <v>0.64888579373013644</v>
      </c>
      <c r="K99">
        <f t="shared" si="18"/>
        <v>-0.87555515177521748</v>
      </c>
      <c r="L99">
        <v>1</v>
      </c>
      <c r="M99">
        <f t="shared" si="19"/>
        <v>0.57526197353028696</v>
      </c>
      <c r="N99">
        <f t="shared" si="20"/>
        <v>0.17124999004499999</v>
      </c>
      <c r="O99">
        <f t="shared" si="21"/>
        <v>3.5302372249500003E-2</v>
      </c>
      <c r="P99">
        <f t="shared" si="22"/>
        <v>9.3740815950430517E-2</v>
      </c>
      <c r="V99">
        <v>3.4999999999999698</v>
      </c>
      <c r="W99">
        <f t="shared" si="23"/>
        <v>-0.72246499999999847</v>
      </c>
    </row>
    <row r="100" spans="1:23" x14ac:dyDescent="0.3">
      <c r="A100">
        <v>9.6679382500000006</v>
      </c>
      <c r="B100">
        <v>0.34161999999999998</v>
      </c>
      <c r="C100">
        <f t="shared" si="13"/>
        <v>3.3027610649649999</v>
      </c>
      <c r="D100">
        <v>1.7899999999999999E-2</v>
      </c>
      <c r="E100">
        <v>3.6900000000000001E-3</v>
      </c>
      <c r="F100">
        <f t="shared" si="14"/>
        <v>1933.5876500000002</v>
      </c>
      <c r="G100">
        <f t="shared" si="15"/>
        <v>-0.34161999999999998</v>
      </c>
      <c r="H100">
        <f t="shared" si="16"/>
        <v>-660.55221299300001</v>
      </c>
      <c r="I100">
        <v>1</v>
      </c>
      <c r="J100">
        <f t="shared" si="17"/>
        <v>0.65937716333667695</v>
      </c>
      <c r="K100">
        <f t="shared" si="18"/>
        <v>-0.88010515177521742</v>
      </c>
      <c r="L100">
        <v>1</v>
      </c>
      <c r="M100">
        <f t="shared" si="19"/>
        <v>0.57580364294307262</v>
      </c>
      <c r="N100">
        <f t="shared" si="20"/>
        <v>0.17305609467499999</v>
      </c>
      <c r="O100">
        <f t="shared" si="21"/>
        <v>3.5674692142500006E-2</v>
      </c>
      <c r="P100">
        <f t="shared" si="22"/>
        <v>9.5570722014644796E-2</v>
      </c>
      <c r="V100">
        <v>3.5999999999999699</v>
      </c>
      <c r="W100">
        <f t="shared" ref="W100:W131" si="24">V100*$S$5+$S$4</f>
        <v>-0.7276279999999985</v>
      </c>
    </row>
    <row r="101" spans="1:23" x14ac:dyDescent="0.3">
      <c r="A101">
        <v>9.7666749999999993</v>
      </c>
      <c r="B101">
        <v>0.33698</v>
      </c>
      <c r="C101">
        <f t="shared" si="13"/>
        <v>3.2911741415</v>
      </c>
      <c r="D101">
        <v>1.7899999999999999E-2</v>
      </c>
      <c r="E101">
        <v>3.6900000000000001E-3</v>
      </c>
      <c r="F101">
        <f t="shared" si="14"/>
        <v>1953.3349999999998</v>
      </c>
      <c r="G101">
        <f t="shared" si="15"/>
        <v>-0.33698</v>
      </c>
      <c r="H101">
        <f t="shared" si="16"/>
        <v>-658.2348283</v>
      </c>
      <c r="I101">
        <v>1</v>
      </c>
      <c r="J101">
        <f t="shared" si="17"/>
        <v>0.66953816816276823</v>
      </c>
      <c r="K101">
        <f t="shared" si="18"/>
        <v>-0.8847451517752174</v>
      </c>
      <c r="L101">
        <v>1</v>
      </c>
      <c r="M101">
        <f t="shared" si="19"/>
        <v>0.57632825562224377</v>
      </c>
      <c r="N101">
        <f t="shared" si="20"/>
        <v>0.17482348249999999</v>
      </c>
      <c r="O101">
        <f t="shared" si="21"/>
        <v>3.6039030749999999E-2</v>
      </c>
      <c r="P101">
        <f t="shared" si="22"/>
        <v>9.7554382902973635E-2</v>
      </c>
      <c r="V101">
        <v>3.69999999999997</v>
      </c>
      <c r="W101">
        <f t="shared" si="24"/>
        <v>-0.73279099999999842</v>
      </c>
    </row>
    <row r="102" spans="1:23" x14ac:dyDescent="0.3">
      <c r="A102">
        <v>9.8654127000000003</v>
      </c>
      <c r="B102">
        <v>0.33229999999999998</v>
      </c>
      <c r="C102">
        <f t="shared" si="13"/>
        <v>3.2782766402100001</v>
      </c>
      <c r="D102">
        <v>1.7899999999999999E-2</v>
      </c>
      <c r="E102">
        <v>3.6900000000000001E-3</v>
      </c>
      <c r="F102">
        <f t="shared" si="14"/>
        <v>1973.0825400000001</v>
      </c>
      <c r="G102">
        <f t="shared" si="15"/>
        <v>-0.33229999999999998</v>
      </c>
      <c r="H102">
        <f t="shared" si="16"/>
        <v>-655.65532804200006</v>
      </c>
      <c r="I102">
        <v>1</v>
      </c>
      <c r="J102">
        <f t="shared" si="17"/>
        <v>0.67959706093481553</v>
      </c>
      <c r="K102">
        <f t="shared" si="18"/>
        <v>-0.88942515177521742</v>
      </c>
      <c r="L102">
        <v>1</v>
      </c>
      <c r="M102">
        <f t="shared" si="19"/>
        <v>0.57684759625606452</v>
      </c>
      <c r="N102">
        <f t="shared" si="20"/>
        <v>0.17659088733</v>
      </c>
      <c r="O102">
        <f t="shared" si="21"/>
        <v>3.6403372863000001E-2</v>
      </c>
      <c r="P102">
        <f t="shared" si="22"/>
        <v>9.9583295326152899E-2</v>
      </c>
      <c r="V102">
        <v>3.7999999999999701</v>
      </c>
      <c r="W102">
        <f t="shared" si="24"/>
        <v>-0.73795399999999844</v>
      </c>
    </row>
    <row r="103" spans="1:23" x14ac:dyDescent="0.3">
      <c r="A103">
        <v>9.9663114499999992</v>
      </c>
      <c r="B103">
        <v>0.32757999999999998</v>
      </c>
      <c r="C103">
        <f t="shared" si="13"/>
        <v>3.2647643047909995</v>
      </c>
      <c r="D103">
        <v>1.7899999999999999E-2</v>
      </c>
      <c r="E103">
        <v>3.6900000000000001E-3</v>
      </c>
      <c r="F103">
        <f t="shared" si="14"/>
        <v>1993.2622899999999</v>
      </c>
      <c r="G103">
        <f t="shared" si="15"/>
        <v>-0.32757999999999998</v>
      </c>
      <c r="H103">
        <f t="shared" si="16"/>
        <v>-652.95286095819995</v>
      </c>
      <c r="I103">
        <v>1</v>
      </c>
      <c r="J103">
        <f t="shared" si="17"/>
        <v>0.6897726381910666</v>
      </c>
      <c r="K103">
        <f t="shared" si="18"/>
        <v>-0.89414515177521747</v>
      </c>
      <c r="L103">
        <v>1</v>
      </c>
      <c r="M103">
        <f t="shared" si="19"/>
        <v>0.57737296130980476</v>
      </c>
      <c r="N103">
        <f t="shared" si="20"/>
        <v>0.17839697495499998</v>
      </c>
      <c r="O103">
        <f t="shared" si="21"/>
        <v>3.6775689250499996E-2</v>
      </c>
      <c r="P103">
        <f t="shared" si="22"/>
        <v>0.10159952625991274</v>
      </c>
      <c r="V103">
        <v>3.8999999999999599</v>
      </c>
      <c r="W103">
        <f t="shared" si="24"/>
        <v>-0.74311699999999803</v>
      </c>
    </row>
    <row r="104" spans="1:23" x14ac:dyDescent="0.3">
      <c r="A104">
        <v>10.0672102</v>
      </c>
      <c r="B104">
        <v>0.32277</v>
      </c>
      <c r="C104">
        <f t="shared" si="13"/>
        <v>3.249393436254</v>
      </c>
      <c r="D104">
        <v>1.7899999999999999E-2</v>
      </c>
      <c r="E104">
        <v>3.6900000000000001E-3</v>
      </c>
      <c r="F104">
        <f t="shared" si="14"/>
        <v>2013.4420399999999</v>
      </c>
      <c r="G104">
        <f t="shared" si="15"/>
        <v>-0.32277</v>
      </c>
      <c r="H104">
        <f t="shared" si="16"/>
        <v>-649.8786872508</v>
      </c>
      <c r="I104">
        <v>1</v>
      </c>
      <c r="J104">
        <f t="shared" si="17"/>
        <v>0.69984571519850725</v>
      </c>
      <c r="K104">
        <f t="shared" si="18"/>
        <v>-0.89895515177521745</v>
      </c>
      <c r="L104">
        <v>1</v>
      </c>
      <c r="M104">
        <f t="shared" si="19"/>
        <v>0.57789303427569894</v>
      </c>
      <c r="N104">
        <f t="shared" si="20"/>
        <v>0.18020306257999999</v>
      </c>
      <c r="O104">
        <f t="shared" si="21"/>
        <v>3.7148005637999998E-2</v>
      </c>
      <c r="P104">
        <f t="shared" si="22"/>
        <v>0.10371104928151853</v>
      </c>
      <c r="V104">
        <v>3.99999999999996</v>
      </c>
      <c r="W104">
        <f t="shared" si="24"/>
        <v>-0.74827999999999795</v>
      </c>
    </row>
    <row r="105" spans="1:23" x14ac:dyDescent="0.3">
      <c r="A105">
        <v>10.164505950000001</v>
      </c>
      <c r="B105">
        <v>0.31797999999999998</v>
      </c>
      <c r="C105">
        <f t="shared" si="13"/>
        <v>3.2321096019810001</v>
      </c>
      <c r="D105">
        <v>1.7899999999999999E-2</v>
      </c>
      <c r="E105">
        <v>3.6900000000000001E-3</v>
      </c>
      <c r="F105">
        <f t="shared" si="14"/>
        <v>2032.90119</v>
      </c>
      <c r="G105">
        <f t="shared" si="15"/>
        <v>-0.31797999999999998</v>
      </c>
      <c r="H105">
        <f t="shared" si="16"/>
        <v>-646.42192039619999</v>
      </c>
      <c r="I105">
        <v>1</v>
      </c>
      <c r="J105">
        <f t="shared" si="17"/>
        <v>0.70946393041536282</v>
      </c>
      <c r="K105">
        <f t="shared" si="18"/>
        <v>-0.90374515177521753</v>
      </c>
      <c r="L105">
        <v>1</v>
      </c>
      <c r="M105">
        <f t="shared" si="19"/>
        <v>0.57838962272734518</v>
      </c>
      <c r="N105">
        <f t="shared" si="20"/>
        <v>0.181944656505</v>
      </c>
      <c r="O105">
        <f t="shared" si="21"/>
        <v>3.7507026955500004E-2</v>
      </c>
      <c r="P105">
        <f t="shared" si="22"/>
        <v>0.10590384558737234</v>
      </c>
      <c r="V105">
        <v>4.0999999999999996</v>
      </c>
      <c r="W105">
        <f t="shared" si="24"/>
        <v>-0.75344299999999997</v>
      </c>
    </row>
    <row r="106" spans="1:23" x14ac:dyDescent="0.3">
      <c r="A106">
        <v>10.261801699999999</v>
      </c>
      <c r="B106">
        <v>0.31315999999999999</v>
      </c>
      <c r="C106">
        <f t="shared" si="13"/>
        <v>3.2135858203719998</v>
      </c>
      <c r="D106">
        <v>1.7899999999999999E-2</v>
      </c>
      <c r="E106">
        <v>3.6900000000000001E-3</v>
      </c>
      <c r="F106">
        <f t="shared" si="14"/>
        <v>2052.3603399999997</v>
      </c>
      <c r="G106">
        <f t="shared" si="15"/>
        <v>-0.31315999999999999</v>
      </c>
      <c r="H106">
        <f t="shared" si="16"/>
        <v>-642.71716407439999</v>
      </c>
      <c r="I106">
        <v>1</v>
      </c>
      <c r="J106">
        <f t="shared" si="17"/>
        <v>0.71899051618039378</v>
      </c>
      <c r="K106">
        <f t="shared" si="18"/>
        <v>-0.90856515177521746</v>
      </c>
      <c r="L106">
        <v>1</v>
      </c>
      <c r="M106">
        <f t="shared" si="19"/>
        <v>0.57888148035039377</v>
      </c>
      <c r="N106">
        <f t="shared" si="20"/>
        <v>0.18368625042999998</v>
      </c>
      <c r="O106">
        <f t="shared" si="21"/>
        <v>3.7866048272999997E-2</v>
      </c>
      <c r="P106">
        <f t="shared" si="22"/>
        <v>0.10813137272182372</v>
      </c>
      <c r="V106">
        <v>4.2</v>
      </c>
      <c r="W106">
        <f t="shared" si="24"/>
        <v>-0.758606</v>
      </c>
    </row>
    <row r="107" spans="1:23" x14ac:dyDescent="0.3">
      <c r="A107">
        <v>10.3641424</v>
      </c>
      <c r="B107">
        <v>0.30832999999999999</v>
      </c>
      <c r="C107">
        <f t="shared" si="13"/>
        <v>3.1955760261920001</v>
      </c>
      <c r="D107">
        <v>1.7899999999999999E-2</v>
      </c>
      <c r="E107">
        <v>3.6900000000000001E-3</v>
      </c>
      <c r="F107">
        <f t="shared" si="14"/>
        <v>2072.8284800000001</v>
      </c>
      <c r="G107">
        <f t="shared" si="15"/>
        <v>-0.30832999999999999</v>
      </c>
      <c r="H107">
        <f t="shared" si="16"/>
        <v>-639.11520523839999</v>
      </c>
      <c r="I107">
        <v>1</v>
      </c>
      <c r="J107">
        <f t="shared" si="17"/>
        <v>0.72891409004014862</v>
      </c>
      <c r="K107">
        <f t="shared" si="18"/>
        <v>-0.91339515177521746</v>
      </c>
      <c r="L107">
        <v>1</v>
      </c>
      <c r="M107">
        <f t="shared" si="19"/>
        <v>0.57939383446877291</v>
      </c>
      <c r="N107">
        <f t="shared" si="20"/>
        <v>0.18551814895999999</v>
      </c>
      <c r="O107">
        <f t="shared" si="21"/>
        <v>3.8243685456000001E-2</v>
      </c>
      <c r="P107">
        <f t="shared" si="22"/>
        <v>0.11023948289044457</v>
      </c>
      <c r="V107">
        <v>4.3</v>
      </c>
      <c r="W107">
        <f t="shared" si="24"/>
        <v>-0.76376900000000003</v>
      </c>
    </row>
    <row r="108" spans="1:23" x14ac:dyDescent="0.3">
      <c r="A108">
        <v>10.465041149999999</v>
      </c>
      <c r="B108">
        <v>0.30336999999999997</v>
      </c>
      <c r="C108">
        <f t="shared" si="13"/>
        <v>3.1747795336754994</v>
      </c>
      <c r="D108">
        <v>1.7899999999999999E-2</v>
      </c>
      <c r="E108">
        <v>3.6900000000000001E-3</v>
      </c>
      <c r="F108">
        <f t="shared" si="14"/>
        <v>2093.0082299999999</v>
      </c>
      <c r="G108">
        <f t="shared" si="15"/>
        <v>-0.30336999999999997</v>
      </c>
      <c r="H108">
        <f t="shared" si="16"/>
        <v>-634.95590673509992</v>
      </c>
      <c r="I108">
        <v>1</v>
      </c>
      <c r="J108">
        <f t="shared" si="17"/>
        <v>0.73860237561093334</v>
      </c>
      <c r="K108">
        <f t="shared" si="18"/>
        <v>-0.91835515177521754</v>
      </c>
      <c r="L108">
        <v>1</v>
      </c>
      <c r="M108">
        <f t="shared" si="19"/>
        <v>0.57989404065279249</v>
      </c>
      <c r="N108">
        <f t="shared" si="20"/>
        <v>0.18732423658499997</v>
      </c>
      <c r="O108">
        <f t="shared" si="21"/>
        <v>3.8616001843499996E-2</v>
      </c>
      <c r="P108">
        <f t="shared" si="22"/>
        <v>0.11252087269392508</v>
      </c>
      <c r="V108">
        <v>4.4000000000000004</v>
      </c>
      <c r="W108">
        <f t="shared" si="24"/>
        <v>-0.76893200000000006</v>
      </c>
    </row>
    <row r="109" spans="1:23" x14ac:dyDescent="0.3">
      <c r="A109">
        <v>10.5630579</v>
      </c>
      <c r="B109">
        <v>0.29829</v>
      </c>
      <c r="C109">
        <f t="shared" si="13"/>
        <v>3.1508545409910003</v>
      </c>
      <c r="D109">
        <v>1.7899999999999999E-2</v>
      </c>
      <c r="E109">
        <v>3.6900000000000001E-3</v>
      </c>
      <c r="F109">
        <f t="shared" si="14"/>
        <v>2112.6115800000002</v>
      </c>
      <c r="G109">
        <f t="shared" si="15"/>
        <v>-0.29829</v>
      </c>
      <c r="H109">
        <f t="shared" si="16"/>
        <v>-630.1709081982001</v>
      </c>
      <c r="I109">
        <v>1</v>
      </c>
      <c r="J109">
        <f t="shared" si="17"/>
        <v>0.74792489778923243</v>
      </c>
      <c r="K109">
        <f t="shared" si="18"/>
        <v>-0.92343515177521751</v>
      </c>
      <c r="L109">
        <v>1</v>
      </c>
      <c r="M109">
        <f t="shared" si="19"/>
        <v>0.58037536247285804</v>
      </c>
      <c r="N109">
        <f t="shared" si="20"/>
        <v>0.18907873641</v>
      </c>
      <c r="O109">
        <f t="shared" si="21"/>
        <v>3.8977683651000003E-2</v>
      </c>
      <c r="P109">
        <f t="shared" si="22"/>
        <v>0.11500336924135947</v>
      </c>
      <c r="V109">
        <v>4.5</v>
      </c>
      <c r="W109">
        <f t="shared" si="24"/>
        <v>-0.77409499999999998</v>
      </c>
    </row>
    <row r="110" spans="1:23" x14ac:dyDescent="0.3">
      <c r="A110">
        <v>10.66251565</v>
      </c>
      <c r="B110">
        <v>0.29318</v>
      </c>
      <c r="C110">
        <f t="shared" si="13"/>
        <v>3.1260363382669998</v>
      </c>
      <c r="D110">
        <v>1.7899999999999999E-2</v>
      </c>
      <c r="E110">
        <v>3.6900000000000001E-3</v>
      </c>
      <c r="F110">
        <f t="shared" si="14"/>
        <v>2132.5031300000001</v>
      </c>
      <c r="G110">
        <f t="shared" si="15"/>
        <v>-0.29318</v>
      </c>
      <c r="H110">
        <f t="shared" si="16"/>
        <v>-625.20726765339998</v>
      </c>
      <c r="I110">
        <v>1</v>
      </c>
      <c r="J110">
        <f t="shared" si="17"/>
        <v>0.75729646814346396</v>
      </c>
      <c r="K110">
        <f t="shared" si="18"/>
        <v>-0.92854515177521746</v>
      </c>
      <c r="L110">
        <v>1</v>
      </c>
      <c r="M110">
        <f t="shared" si="19"/>
        <v>0.58085921665024709</v>
      </c>
      <c r="N110">
        <f t="shared" si="20"/>
        <v>0.190859030135</v>
      </c>
      <c r="O110">
        <f t="shared" si="21"/>
        <v>3.9344682748499997E-2</v>
      </c>
      <c r="P110">
        <f t="shared" si="22"/>
        <v>0.11748222224147037</v>
      </c>
      <c r="V110">
        <v>4.5999999999999996</v>
      </c>
      <c r="W110">
        <f t="shared" si="24"/>
        <v>-0.77925800000000001</v>
      </c>
    </row>
    <row r="111" spans="1:23" x14ac:dyDescent="0.3">
      <c r="A111">
        <v>10.76269435</v>
      </c>
      <c r="B111">
        <v>0.28788999999999998</v>
      </c>
      <c r="C111">
        <f t="shared" si="13"/>
        <v>3.0984720764214999</v>
      </c>
      <c r="D111">
        <v>1.7899999999999999E-2</v>
      </c>
      <c r="E111">
        <v>3.6900000000000001E-3</v>
      </c>
      <c r="F111">
        <f t="shared" si="14"/>
        <v>2152.5388699999999</v>
      </c>
      <c r="G111">
        <f t="shared" si="15"/>
        <v>-0.28788999999999998</v>
      </c>
      <c r="H111">
        <f t="shared" si="16"/>
        <v>-619.69441528430002</v>
      </c>
      <c r="I111">
        <v>1</v>
      </c>
      <c r="J111">
        <f t="shared" si="17"/>
        <v>0.76664801522871306</v>
      </c>
      <c r="K111">
        <f t="shared" si="18"/>
        <v>-0.93383515177521748</v>
      </c>
      <c r="L111">
        <v>1</v>
      </c>
      <c r="M111">
        <f t="shared" si="19"/>
        <v>0.58134203702625853</v>
      </c>
      <c r="N111">
        <f t="shared" si="20"/>
        <v>0.192652228865</v>
      </c>
      <c r="O111">
        <f t="shared" si="21"/>
        <v>3.97143421515E-2</v>
      </c>
      <c r="P111">
        <f t="shared" si="22"/>
        <v>0.12012654373245896</v>
      </c>
      <c r="V111">
        <v>4.7</v>
      </c>
      <c r="W111">
        <f t="shared" si="24"/>
        <v>-0.78442100000000003</v>
      </c>
    </row>
    <row r="112" spans="1:23" x14ac:dyDescent="0.3">
      <c r="A112">
        <v>10.862152099999999</v>
      </c>
      <c r="B112">
        <v>0.28258</v>
      </c>
      <c r="C112">
        <f t="shared" si="13"/>
        <v>3.0694269404179999</v>
      </c>
      <c r="D112">
        <v>1.7899999999999999E-2</v>
      </c>
      <c r="E112">
        <v>3.6900000000000001E-3</v>
      </c>
      <c r="F112">
        <f t="shared" si="14"/>
        <v>2172.4304199999997</v>
      </c>
      <c r="G112">
        <f t="shared" si="15"/>
        <v>-0.28258</v>
      </c>
      <c r="H112">
        <f t="shared" si="16"/>
        <v>-613.88538808359999</v>
      </c>
      <c r="I112">
        <v>1</v>
      </c>
      <c r="J112">
        <f t="shared" si="17"/>
        <v>0.77584655002656311</v>
      </c>
      <c r="K112">
        <f t="shared" si="18"/>
        <v>-0.9391451517752174</v>
      </c>
      <c r="L112">
        <v>1</v>
      </c>
      <c r="M112">
        <f t="shared" si="19"/>
        <v>0.58181695737787142</v>
      </c>
      <c r="N112">
        <f t="shared" si="20"/>
        <v>0.19443252258999999</v>
      </c>
      <c r="O112">
        <f t="shared" si="21"/>
        <v>4.0081341249000001E-2</v>
      </c>
      <c r="P112">
        <f t="shared" si="22"/>
        <v>0.12281433055834598</v>
      </c>
      <c r="V112">
        <v>4.8</v>
      </c>
      <c r="W112">
        <f t="shared" si="24"/>
        <v>-0.78958400000000006</v>
      </c>
    </row>
    <row r="113" spans="1:23" x14ac:dyDescent="0.3">
      <c r="A113">
        <v>10.96160985</v>
      </c>
      <c r="B113">
        <v>0.27722999999999998</v>
      </c>
      <c r="C113">
        <f t="shared" si="13"/>
        <v>3.0388870987154997</v>
      </c>
      <c r="D113">
        <v>1.7899999999999999E-2</v>
      </c>
      <c r="E113">
        <v>3.6900000000000001E-3</v>
      </c>
      <c r="F113">
        <f t="shared" si="14"/>
        <v>2192.32197</v>
      </c>
      <c r="G113">
        <f t="shared" si="15"/>
        <v>-0.27722999999999998</v>
      </c>
      <c r="H113">
        <f t="shared" si="16"/>
        <v>-607.77741974309993</v>
      </c>
      <c r="I113">
        <v>1</v>
      </c>
      <c r="J113">
        <f t="shared" si="17"/>
        <v>0.78496124242344001</v>
      </c>
      <c r="K113">
        <f t="shared" si="18"/>
        <v>-0.94449515177521748</v>
      </c>
      <c r="L113">
        <v>1</v>
      </c>
      <c r="M113">
        <f t="shared" si="19"/>
        <v>0.58228754894632218</v>
      </c>
      <c r="N113">
        <f t="shared" si="20"/>
        <v>0.19621281631500001</v>
      </c>
      <c r="O113">
        <f t="shared" si="21"/>
        <v>4.0448340346500002E-2</v>
      </c>
      <c r="P113">
        <f t="shared" si="22"/>
        <v>0.1255464461673953</v>
      </c>
      <c r="V113">
        <v>4.9000000000000004</v>
      </c>
      <c r="W113">
        <f t="shared" si="24"/>
        <v>-0.79474700000000009</v>
      </c>
    </row>
    <row r="114" spans="1:23" x14ac:dyDescent="0.3">
      <c r="A114">
        <v>11.064670550000001</v>
      </c>
      <c r="B114">
        <v>0.2717</v>
      </c>
      <c r="C114">
        <f t="shared" si="13"/>
        <v>3.0062709884350003</v>
      </c>
      <c r="D114">
        <v>1.7899999999999999E-2</v>
      </c>
      <c r="E114">
        <v>3.6900000000000001E-3</v>
      </c>
      <c r="F114">
        <f t="shared" si="14"/>
        <v>2212.9341100000001</v>
      </c>
      <c r="G114">
        <f t="shared" si="15"/>
        <v>-0.2717</v>
      </c>
      <c r="H114">
        <f t="shared" si="16"/>
        <v>-601.2541976870001</v>
      </c>
      <c r="I114">
        <v>1</v>
      </c>
      <c r="J114">
        <f t="shared" si="17"/>
        <v>0.79431928656329764</v>
      </c>
      <c r="K114">
        <f t="shared" si="18"/>
        <v>-0.9500251517752174</v>
      </c>
      <c r="L114">
        <v>1</v>
      </c>
      <c r="M114">
        <f t="shared" si="19"/>
        <v>0.58277070476526305</v>
      </c>
      <c r="N114">
        <f t="shared" si="20"/>
        <v>0.19805760284500001</v>
      </c>
      <c r="O114">
        <f t="shared" si="21"/>
        <v>4.0828634329500006E-2</v>
      </c>
      <c r="P114">
        <f t="shared" si="22"/>
        <v>0.12836820983545433</v>
      </c>
      <c r="V114">
        <v>5</v>
      </c>
      <c r="W114">
        <f t="shared" si="24"/>
        <v>-0.79991000000000001</v>
      </c>
    </row>
    <row r="115" spans="1:23" x14ac:dyDescent="0.3">
      <c r="A115">
        <v>11.1634083</v>
      </c>
      <c r="B115">
        <v>0.26613999999999999</v>
      </c>
      <c r="C115">
        <f t="shared" si="13"/>
        <v>2.971029484962</v>
      </c>
      <c r="D115">
        <v>1.7899999999999999E-2</v>
      </c>
      <c r="E115">
        <v>3.6900000000000001E-3</v>
      </c>
      <c r="F115">
        <f t="shared" si="14"/>
        <v>2232.6816600000002</v>
      </c>
      <c r="G115">
        <f t="shared" si="15"/>
        <v>-0.26613999999999999</v>
      </c>
      <c r="H115">
        <f t="shared" si="16"/>
        <v>-594.20589699239997</v>
      </c>
      <c r="I115">
        <v>1</v>
      </c>
      <c r="J115">
        <f t="shared" si="17"/>
        <v>0.80320340111879884</v>
      </c>
      <c r="K115">
        <f t="shared" si="18"/>
        <v>-0.95558515177521741</v>
      </c>
      <c r="L115">
        <v>1</v>
      </c>
      <c r="M115">
        <f t="shared" si="19"/>
        <v>0.58322939159976361</v>
      </c>
      <c r="N115">
        <f t="shared" si="20"/>
        <v>0.19982500856999999</v>
      </c>
      <c r="O115">
        <f t="shared" si="21"/>
        <v>4.1192976627E-2</v>
      </c>
      <c r="P115">
        <f t="shared" si="22"/>
        <v>0.13133777497845381</v>
      </c>
      <c r="V115">
        <v>5.0999999999999996</v>
      </c>
      <c r="W115">
        <f t="shared" si="24"/>
        <v>-0.80507300000000004</v>
      </c>
    </row>
    <row r="116" spans="1:23" x14ac:dyDescent="0.3">
      <c r="A116">
        <v>11.263586050000001</v>
      </c>
      <c r="B116">
        <v>0.26057999999999998</v>
      </c>
      <c r="C116">
        <f t="shared" si="13"/>
        <v>2.9350652529089998</v>
      </c>
      <c r="D116">
        <v>1.7899999999999999E-2</v>
      </c>
      <c r="E116">
        <v>3.6900000000000001E-3</v>
      </c>
      <c r="F116">
        <f t="shared" si="14"/>
        <v>2252.7172100000003</v>
      </c>
      <c r="G116">
        <f t="shared" si="15"/>
        <v>-0.26057999999999998</v>
      </c>
      <c r="H116">
        <f t="shared" si="16"/>
        <v>-587.01305058179992</v>
      </c>
      <c r="I116">
        <v>1</v>
      </c>
      <c r="J116">
        <f t="shared" si="17"/>
        <v>0.81213713648385177</v>
      </c>
      <c r="K116">
        <f t="shared" si="18"/>
        <v>-0.96114515177521742</v>
      </c>
      <c r="L116">
        <v>1</v>
      </c>
      <c r="M116">
        <f t="shared" si="19"/>
        <v>0.58369064035666129</v>
      </c>
      <c r="N116">
        <f t="shared" si="20"/>
        <v>0.201618190295</v>
      </c>
      <c r="O116">
        <f t="shared" si="21"/>
        <v>4.1562632524500001E-2</v>
      </c>
      <c r="P116">
        <f t="shared" si="22"/>
        <v>0.13427368859905614</v>
      </c>
      <c r="V116">
        <v>5.2</v>
      </c>
      <c r="W116">
        <f t="shared" si="24"/>
        <v>-0.81023600000000007</v>
      </c>
    </row>
    <row r="117" spans="1:23" x14ac:dyDescent="0.3">
      <c r="A117">
        <v>11.36232375</v>
      </c>
      <c r="B117">
        <v>0.25481999999999999</v>
      </c>
      <c r="C117">
        <f t="shared" si="13"/>
        <v>2.8953473379749997</v>
      </c>
      <c r="D117">
        <v>1.7899999999999999E-2</v>
      </c>
      <c r="E117">
        <v>3.6900000000000001E-3</v>
      </c>
      <c r="F117">
        <f t="shared" si="14"/>
        <v>2272.4647500000001</v>
      </c>
      <c r="G117">
        <f t="shared" si="15"/>
        <v>-0.25481999999999999</v>
      </c>
      <c r="H117">
        <f t="shared" si="16"/>
        <v>-579.06946759499988</v>
      </c>
      <c r="I117">
        <v>1</v>
      </c>
      <c r="J117">
        <f t="shared" si="17"/>
        <v>0.82086503539803646</v>
      </c>
      <c r="K117">
        <f t="shared" si="18"/>
        <v>-0.96690515177521741</v>
      </c>
      <c r="L117">
        <v>1</v>
      </c>
      <c r="M117">
        <f t="shared" si="19"/>
        <v>0.58414126177760062</v>
      </c>
      <c r="N117">
        <f t="shared" si="20"/>
        <v>0.20338559512499998</v>
      </c>
      <c r="O117">
        <f t="shared" si="21"/>
        <v>4.1926974637500003E-2</v>
      </c>
      <c r="P117">
        <f t="shared" si="22"/>
        <v>0.1374513202351168</v>
      </c>
      <c r="V117">
        <v>5.3</v>
      </c>
      <c r="W117">
        <f t="shared" si="24"/>
        <v>-0.81539899999999998</v>
      </c>
    </row>
    <row r="118" spans="1:23" x14ac:dyDescent="0.3">
      <c r="A118">
        <v>11.463222500000001</v>
      </c>
      <c r="B118">
        <v>0.24912000000000001</v>
      </c>
      <c r="C118">
        <f t="shared" si="13"/>
        <v>2.8557179892000004</v>
      </c>
      <c r="D118">
        <v>1.7899999999999999E-2</v>
      </c>
      <c r="E118">
        <v>3.6900000000000001E-3</v>
      </c>
      <c r="F118">
        <f t="shared" si="14"/>
        <v>2292.6445000000003</v>
      </c>
      <c r="G118">
        <f t="shared" si="15"/>
        <v>-0.24912000000000001</v>
      </c>
      <c r="H118">
        <f t="shared" si="16"/>
        <v>-571.1435978400001</v>
      </c>
      <c r="I118">
        <v>1</v>
      </c>
      <c r="J118">
        <f t="shared" si="17"/>
        <v>0.82970595478693721</v>
      </c>
      <c r="K118">
        <f t="shared" si="18"/>
        <v>-0.97260515177521745</v>
      </c>
      <c r="L118">
        <v>1</v>
      </c>
      <c r="M118">
        <f t="shared" si="19"/>
        <v>0.58459771844564956</v>
      </c>
      <c r="N118">
        <f t="shared" si="20"/>
        <v>0.20519168274999999</v>
      </c>
      <c r="O118">
        <f t="shared" si="21"/>
        <v>4.2299291025000005E-2</v>
      </c>
      <c r="P118">
        <f t="shared" si="22"/>
        <v>0.14051645955456787</v>
      </c>
      <c r="V118">
        <v>5.4</v>
      </c>
      <c r="W118">
        <f t="shared" si="24"/>
        <v>-0.82056200000000001</v>
      </c>
    </row>
    <row r="119" spans="1:23" x14ac:dyDescent="0.3">
      <c r="C119">
        <f t="shared" si="13"/>
        <v>0</v>
      </c>
      <c r="F119">
        <f t="shared" si="14"/>
        <v>0</v>
      </c>
      <c r="G119">
        <f t="shared" si="15"/>
        <v>0</v>
      </c>
      <c r="H119">
        <f t="shared" si="16"/>
        <v>0</v>
      </c>
      <c r="I119">
        <v>1</v>
      </c>
      <c r="J119" t="e">
        <f t="shared" si="17"/>
        <v>#NUM!</v>
      </c>
      <c r="K119">
        <f t="shared" si="18"/>
        <v>-1.2217251517752175</v>
      </c>
      <c r="L119">
        <v>1</v>
      </c>
      <c r="M119" t="e">
        <f t="shared" si="19"/>
        <v>#NUM!</v>
      </c>
      <c r="N119">
        <f t="shared" si="20"/>
        <v>0</v>
      </c>
      <c r="O119">
        <f t="shared" si="21"/>
        <v>0</v>
      </c>
      <c r="P119" t="e">
        <f t="shared" si="22"/>
        <v>#NUM!</v>
      </c>
      <c r="V119">
        <v>5.5</v>
      </c>
      <c r="W119">
        <f t="shared" si="24"/>
        <v>-0.82572500000000004</v>
      </c>
    </row>
    <row r="120" spans="1:23" x14ac:dyDescent="0.3">
      <c r="C120">
        <f t="shared" si="13"/>
        <v>0</v>
      </c>
      <c r="F120">
        <f t="shared" si="14"/>
        <v>0</v>
      </c>
      <c r="G120">
        <f t="shared" si="15"/>
        <v>0</v>
      </c>
      <c r="H120">
        <f t="shared" si="16"/>
        <v>0</v>
      </c>
      <c r="I120">
        <v>1</v>
      </c>
      <c r="J120" t="e">
        <f t="shared" si="17"/>
        <v>#NUM!</v>
      </c>
      <c r="K120">
        <f t="shared" si="18"/>
        <v>-1.2217251517752175</v>
      </c>
      <c r="L120">
        <v>1</v>
      </c>
      <c r="M120" t="e">
        <f t="shared" si="19"/>
        <v>#NUM!</v>
      </c>
      <c r="N120">
        <f t="shared" si="20"/>
        <v>0</v>
      </c>
      <c r="O120">
        <f t="shared" si="21"/>
        <v>0</v>
      </c>
      <c r="P120" t="e">
        <f t="shared" si="22"/>
        <v>#NUM!</v>
      </c>
      <c r="V120">
        <v>5.6</v>
      </c>
      <c r="W120">
        <f t="shared" si="24"/>
        <v>-0.83088800000000007</v>
      </c>
    </row>
    <row r="121" spans="1:23" x14ac:dyDescent="0.3">
      <c r="C121">
        <f t="shared" si="13"/>
        <v>0</v>
      </c>
      <c r="F121">
        <f t="shared" si="14"/>
        <v>0</v>
      </c>
      <c r="G121">
        <f t="shared" si="15"/>
        <v>0</v>
      </c>
      <c r="H121">
        <f t="shared" si="16"/>
        <v>0</v>
      </c>
      <c r="I121">
        <v>1</v>
      </c>
      <c r="J121" t="e">
        <f t="shared" si="17"/>
        <v>#NUM!</v>
      </c>
      <c r="K121">
        <f t="shared" si="18"/>
        <v>-1.2217251517752175</v>
      </c>
      <c r="L121">
        <v>1</v>
      </c>
      <c r="M121" t="e">
        <f t="shared" si="19"/>
        <v>#NUM!</v>
      </c>
      <c r="N121">
        <f t="shared" si="20"/>
        <v>0</v>
      </c>
      <c r="O121">
        <f t="shared" si="21"/>
        <v>0</v>
      </c>
      <c r="P121" t="e">
        <f t="shared" si="22"/>
        <v>#NUM!</v>
      </c>
      <c r="V121">
        <v>5.7</v>
      </c>
      <c r="W121">
        <f t="shared" si="24"/>
        <v>-0.8360510000000001</v>
      </c>
    </row>
    <row r="122" spans="1:23" x14ac:dyDescent="0.3">
      <c r="C122">
        <f t="shared" si="13"/>
        <v>0</v>
      </c>
      <c r="F122">
        <f t="shared" si="14"/>
        <v>0</v>
      </c>
      <c r="G122">
        <f t="shared" si="15"/>
        <v>0</v>
      </c>
      <c r="H122">
        <f t="shared" si="16"/>
        <v>0</v>
      </c>
      <c r="I122">
        <v>1</v>
      </c>
      <c r="J122" t="e">
        <f t="shared" si="17"/>
        <v>#NUM!</v>
      </c>
      <c r="K122">
        <f t="shared" si="18"/>
        <v>-1.2217251517752175</v>
      </c>
      <c r="L122">
        <v>1</v>
      </c>
      <c r="M122" t="e">
        <f t="shared" si="19"/>
        <v>#NUM!</v>
      </c>
      <c r="N122">
        <f t="shared" si="20"/>
        <v>0</v>
      </c>
      <c r="O122">
        <f t="shared" si="21"/>
        <v>0</v>
      </c>
      <c r="P122" t="e">
        <f t="shared" si="22"/>
        <v>#NUM!</v>
      </c>
      <c r="V122">
        <v>5.8</v>
      </c>
      <c r="W122">
        <f t="shared" si="24"/>
        <v>-0.84121400000000002</v>
      </c>
    </row>
    <row r="123" spans="1:23" x14ac:dyDescent="0.3">
      <c r="C123">
        <f t="shared" si="13"/>
        <v>0</v>
      </c>
      <c r="F123">
        <f t="shared" si="14"/>
        <v>0</v>
      </c>
      <c r="G123">
        <f t="shared" si="15"/>
        <v>0</v>
      </c>
      <c r="H123">
        <f t="shared" si="16"/>
        <v>0</v>
      </c>
      <c r="I123">
        <v>1</v>
      </c>
      <c r="J123" t="e">
        <f t="shared" si="17"/>
        <v>#NUM!</v>
      </c>
      <c r="K123">
        <f t="shared" si="18"/>
        <v>-1.2217251517752175</v>
      </c>
      <c r="L123">
        <v>1</v>
      </c>
      <c r="M123" t="e">
        <f t="shared" si="19"/>
        <v>#NUM!</v>
      </c>
      <c r="N123">
        <f t="shared" si="20"/>
        <v>0</v>
      </c>
      <c r="O123">
        <f t="shared" si="21"/>
        <v>0</v>
      </c>
      <c r="P123" t="e">
        <f t="shared" si="22"/>
        <v>#NUM!</v>
      </c>
      <c r="V123">
        <v>5.9</v>
      </c>
      <c r="W123">
        <f t="shared" si="24"/>
        <v>-0.84637700000000005</v>
      </c>
    </row>
    <row r="124" spans="1:23" x14ac:dyDescent="0.3">
      <c r="C124">
        <f t="shared" si="13"/>
        <v>0</v>
      </c>
      <c r="F124">
        <f t="shared" si="14"/>
        <v>0</v>
      </c>
      <c r="G124">
        <f t="shared" si="15"/>
        <v>0</v>
      </c>
      <c r="H124">
        <f t="shared" si="16"/>
        <v>0</v>
      </c>
      <c r="I124">
        <v>1</v>
      </c>
      <c r="J124" t="e">
        <f t="shared" si="17"/>
        <v>#NUM!</v>
      </c>
      <c r="K124">
        <f t="shared" si="18"/>
        <v>-1.2217251517752175</v>
      </c>
      <c r="L124">
        <v>1</v>
      </c>
      <c r="M124" t="e">
        <f t="shared" si="19"/>
        <v>#NUM!</v>
      </c>
      <c r="N124">
        <f t="shared" si="20"/>
        <v>0</v>
      </c>
      <c r="O124">
        <f t="shared" si="21"/>
        <v>0</v>
      </c>
      <c r="P124" t="e">
        <f t="shared" si="22"/>
        <v>#NUM!</v>
      </c>
      <c r="V124">
        <v>6</v>
      </c>
      <c r="W124">
        <f t="shared" si="24"/>
        <v>-0.85153999999999996</v>
      </c>
    </row>
    <row r="125" spans="1:23" x14ac:dyDescent="0.3">
      <c r="C125">
        <f t="shared" si="13"/>
        <v>0</v>
      </c>
      <c r="F125">
        <f t="shared" si="14"/>
        <v>0</v>
      </c>
      <c r="G125">
        <f t="shared" si="15"/>
        <v>0</v>
      </c>
      <c r="H125">
        <f t="shared" si="16"/>
        <v>0</v>
      </c>
      <c r="I125">
        <v>1</v>
      </c>
      <c r="J125" t="e">
        <f t="shared" si="17"/>
        <v>#NUM!</v>
      </c>
      <c r="K125">
        <f t="shared" si="18"/>
        <v>-1.2217251517752175</v>
      </c>
      <c r="L125">
        <v>1</v>
      </c>
      <c r="M125" t="e">
        <f t="shared" si="19"/>
        <v>#NUM!</v>
      </c>
      <c r="N125">
        <f t="shared" si="20"/>
        <v>0</v>
      </c>
      <c r="O125">
        <f t="shared" si="21"/>
        <v>0</v>
      </c>
      <c r="P125" t="e">
        <f t="shared" si="22"/>
        <v>#NUM!</v>
      </c>
      <c r="V125">
        <v>6.1</v>
      </c>
      <c r="W125">
        <f t="shared" si="24"/>
        <v>-0.85670299999999999</v>
      </c>
    </row>
    <row r="126" spans="1:23" x14ac:dyDescent="0.3">
      <c r="C126">
        <f t="shared" si="13"/>
        <v>0</v>
      </c>
      <c r="F126">
        <f t="shared" si="14"/>
        <v>0</v>
      </c>
      <c r="G126">
        <f t="shared" si="15"/>
        <v>0</v>
      </c>
      <c r="H126">
        <f t="shared" si="16"/>
        <v>0</v>
      </c>
      <c r="I126">
        <v>1</v>
      </c>
      <c r="J126" t="e">
        <f t="shared" si="17"/>
        <v>#NUM!</v>
      </c>
      <c r="K126">
        <f t="shared" si="18"/>
        <v>-1.2217251517752175</v>
      </c>
      <c r="L126">
        <v>1</v>
      </c>
      <c r="M126" t="e">
        <f t="shared" si="19"/>
        <v>#NUM!</v>
      </c>
      <c r="N126">
        <f t="shared" si="20"/>
        <v>0</v>
      </c>
      <c r="O126">
        <f t="shared" si="21"/>
        <v>0</v>
      </c>
      <c r="P126" t="e">
        <f t="shared" si="22"/>
        <v>#NUM!</v>
      </c>
      <c r="V126">
        <v>6.2</v>
      </c>
      <c r="W126">
        <f t="shared" si="24"/>
        <v>-0.86186600000000002</v>
      </c>
    </row>
    <row r="127" spans="1:23" x14ac:dyDescent="0.3">
      <c r="C127">
        <f t="shared" si="13"/>
        <v>0</v>
      </c>
      <c r="F127">
        <f t="shared" si="14"/>
        <v>0</v>
      </c>
      <c r="G127">
        <f t="shared" si="15"/>
        <v>0</v>
      </c>
      <c r="H127">
        <f t="shared" si="16"/>
        <v>0</v>
      </c>
      <c r="I127">
        <v>1</v>
      </c>
      <c r="J127" t="e">
        <f t="shared" si="17"/>
        <v>#NUM!</v>
      </c>
      <c r="K127">
        <f t="shared" si="18"/>
        <v>-1.2217251517752175</v>
      </c>
      <c r="L127">
        <v>1</v>
      </c>
      <c r="M127" t="e">
        <f t="shared" si="19"/>
        <v>#NUM!</v>
      </c>
      <c r="N127">
        <f t="shared" si="20"/>
        <v>0</v>
      </c>
      <c r="O127">
        <f t="shared" si="21"/>
        <v>0</v>
      </c>
      <c r="P127" t="e">
        <f t="shared" si="22"/>
        <v>#NUM!</v>
      </c>
      <c r="V127">
        <v>6.3</v>
      </c>
      <c r="W127">
        <f t="shared" si="24"/>
        <v>-0.86702900000000005</v>
      </c>
    </row>
    <row r="128" spans="1:23" x14ac:dyDescent="0.3">
      <c r="C128">
        <f t="shared" si="13"/>
        <v>0</v>
      </c>
      <c r="F128">
        <f t="shared" si="14"/>
        <v>0</v>
      </c>
      <c r="G128">
        <f t="shared" si="15"/>
        <v>0</v>
      </c>
      <c r="H128">
        <f t="shared" si="16"/>
        <v>0</v>
      </c>
      <c r="I128">
        <v>1</v>
      </c>
      <c r="J128" t="e">
        <f t="shared" si="17"/>
        <v>#NUM!</v>
      </c>
      <c r="K128">
        <f t="shared" si="18"/>
        <v>-1.2217251517752175</v>
      </c>
      <c r="L128">
        <v>1</v>
      </c>
      <c r="M128" t="e">
        <f t="shared" si="19"/>
        <v>#NUM!</v>
      </c>
      <c r="N128">
        <f t="shared" si="20"/>
        <v>0</v>
      </c>
      <c r="O128">
        <f t="shared" si="21"/>
        <v>0</v>
      </c>
      <c r="P128" t="e">
        <f t="shared" si="22"/>
        <v>#NUM!</v>
      </c>
      <c r="V128">
        <v>6.4</v>
      </c>
      <c r="W128">
        <f t="shared" si="24"/>
        <v>-0.87219200000000008</v>
      </c>
    </row>
    <row r="129" spans="3:23" x14ac:dyDescent="0.3">
      <c r="C129">
        <f t="shared" si="13"/>
        <v>0</v>
      </c>
      <c r="F129">
        <f t="shared" si="14"/>
        <v>0</v>
      </c>
      <c r="G129">
        <f t="shared" si="15"/>
        <v>0</v>
      </c>
      <c r="H129">
        <f t="shared" si="16"/>
        <v>0</v>
      </c>
      <c r="I129">
        <v>1</v>
      </c>
      <c r="J129" t="e">
        <f t="shared" si="17"/>
        <v>#NUM!</v>
      </c>
      <c r="K129">
        <f t="shared" si="18"/>
        <v>-1.2217251517752175</v>
      </c>
      <c r="L129">
        <v>1</v>
      </c>
      <c r="M129" t="e">
        <f t="shared" si="19"/>
        <v>#NUM!</v>
      </c>
      <c r="N129">
        <f t="shared" si="20"/>
        <v>0</v>
      </c>
      <c r="O129">
        <f t="shared" si="21"/>
        <v>0</v>
      </c>
      <c r="P129" t="e">
        <f t="shared" si="22"/>
        <v>#NUM!</v>
      </c>
      <c r="V129">
        <v>6.5</v>
      </c>
      <c r="W129">
        <f t="shared" si="24"/>
        <v>-0.87735500000000011</v>
      </c>
    </row>
    <row r="130" spans="3:23" x14ac:dyDescent="0.3">
      <c r="C130">
        <f t="shared" si="13"/>
        <v>0</v>
      </c>
      <c r="F130">
        <f t="shared" si="14"/>
        <v>0</v>
      </c>
      <c r="G130">
        <f t="shared" si="15"/>
        <v>0</v>
      </c>
      <c r="H130">
        <f t="shared" si="16"/>
        <v>0</v>
      </c>
      <c r="I130">
        <v>1</v>
      </c>
      <c r="J130" t="e">
        <f t="shared" si="17"/>
        <v>#NUM!</v>
      </c>
      <c r="K130">
        <f t="shared" si="18"/>
        <v>-1.2217251517752175</v>
      </c>
      <c r="L130">
        <v>1</v>
      </c>
      <c r="M130" t="e">
        <f t="shared" si="19"/>
        <v>#NUM!</v>
      </c>
      <c r="N130">
        <f t="shared" si="20"/>
        <v>0</v>
      </c>
      <c r="O130">
        <f t="shared" si="21"/>
        <v>0</v>
      </c>
      <c r="P130" t="e">
        <f t="shared" si="22"/>
        <v>#NUM!</v>
      </c>
      <c r="V130">
        <v>6.6</v>
      </c>
      <c r="W130">
        <f t="shared" si="24"/>
        <v>-0.88251800000000002</v>
      </c>
    </row>
    <row r="131" spans="3:23" x14ac:dyDescent="0.3">
      <c r="C131">
        <f t="shared" si="13"/>
        <v>0</v>
      </c>
      <c r="F131">
        <f t="shared" si="14"/>
        <v>0</v>
      </c>
      <c r="G131">
        <f t="shared" si="15"/>
        <v>0</v>
      </c>
      <c r="H131">
        <f t="shared" si="16"/>
        <v>0</v>
      </c>
      <c r="I131">
        <v>1</v>
      </c>
      <c r="J131" t="e">
        <f t="shared" si="17"/>
        <v>#NUM!</v>
      </c>
      <c r="K131">
        <f t="shared" si="18"/>
        <v>-1.2217251517752175</v>
      </c>
      <c r="L131">
        <v>1</v>
      </c>
      <c r="M131" t="e">
        <f t="shared" si="19"/>
        <v>#NUM!</v>
      </c>
      <c r="N131">
        <f t="shared" si="20"/>
        <v>0</v>
      </c>
      <c r="O131">
        <f t="shared" si="21"/>
        <v>0</v>
      </c>
      <c r="P131" t="e">
        <f t="shared" si="22"/>
        <v>#NUM!</v>
      </c>
      <c r="V131">
        <v>6.7</v>
      </c>
      <c r="W131">
        <f t="shared" si="24"/>
        <v>-0.88768100000000005</v>
      </c>
    </row>
    <row r="132" spans="3:23" x14ac:dyDescent="0.3">
      <c r="C132">
        <f t="shared" ref="C132:C195" si="25">A132*B132</f>
        <v>0</v>
      </c>
      <c r="F132">
        <f t="shared" ref="F132:F195" si="26">A132*200</f>
        <v>0</v>
      </c>
      <c r="G132">
        <f t="shared" ref="G132:G195" si="27">-B132</f>
        <v>0</v>
      </c>
      <c r="H132">
        <f t="shared" ref="H132:H195" si="28">-C132*200</f>
        <v>0</v>
      </c>
      <c r="I132">
        <v>1</v>
      </c>
      <c r="J132" t="e">
        <f t="shared" ref="J132:J195" si="29">LN(F132/1000)</f>
        <v>#NUM!</v>
      </c>
      <c r="K132">
        <f t="shared" ref="K132:K195" si="30">((-G132)-$N$2)</f>
        <v>-1.2217251517752175</v>
      </c>
      <c r="L132">
        <v>1</v>
      </c>
      <c r="M132" t="e">
        <f t="shared" ref="M132:M195" si="31">-1*($S$4+($S$5*J132))</f>
        <v>#NUM!</v>
      </c>
      <c r="N132">
        <f t="shared" ref="N132:N195" si="32">D132*A132</f>
        <v>0</v>
      </c>
      <c r="O132">
        <f t="shared" ref="O132:O195" si="33">E132*A132</f>
        <v>0</v>
      </c>
      <c r="P132" t="e">
        <f t="shared" ref="P132:P195" si="34">-K132-M132-N132-O132</f>
        <v>#NUM!</v>
      </c>
      <c r="V132">
        <v>6.8</v>
      </c>
      <c r="W132">
        <f t="shared" ref="W132:W139" si="35">V132*$S$5+$S$4</f>
        <v>-0.89284399999999997</v>
      </c>
    </row>
    <row r="133" spans="3:23" x14ac:dyDescent="0.3">
      <c r="C133">
        <f t="shared" si="25"/>
        <v>0</v>
      </c>
      <c r="F133">
        <f t="shared" si="26"/>
        <v>0</v>
      </c>
      <c r="G133">
        <f t="shared" si="27"/>
        <v>0</v>
      </c>
      <c r="H133">
        <f t="shared" si="28"/>
        <v>0</v>
      </c>
      <c r="I133">
        <v>1</v>
      </c>
      <c r="J133" t="e">
        <f t="shared" si="29"/>
        <v>#NUM!</v>
      </c>
      <c r="K133">
        <f t="shared" si="30"/>
        <v>-1.2217251517752175</v>
      </c>
      <c r="L133">
        <v>1</v>
      </c>
      <c r="M133" t="e">
        <f t="shared" si="31"/>
        <v>#NUM!</v>
      </c>
      <c r="N133">
        <f t="shared" si="32"/>
        <v>0</v>
      </c>
      <c r="O133">
        <f t="shared" si="33"/>
        <v>0</v>
      </c>
      <c r="P133" t="e">
        <f t="shared" si="34"/>
        <v>#NUM!</v>
      </c>
      <c r="V133">
        <v>6.9</v>
      </c>
      <c r="W133">
        <f t="shared" si="35"/>
        <v>-0.898007</v>
      </c>
    </row>
    <row r="134" spans="3:23" x14ac:dyDescent="0.3">
      <c r="C134">
        <f t="shared" si="25"/>
        <v>0</v>
      </c>
      <c r="D134">
        <v>1.78E-2</v>
      </c>
      <c r="E134">
        <v>2.5469999999999998E-3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32"/>
        <v>0</v>
      </c>
      <c r="O134">
        <f t="shared" si="33"/>
        <v>0</v>
      </c>
      <c r="P134" t="e">
        <f t="shared" si="34"/>
        <v>#NUM!</v>
      </c>
      <c r="V134">
        <v>7</v>
      </c>
      <c r="W134">
        <f t="shared" si="35"/>
        <v>-0.90317000000000003</v>
      </c>
    </row>
    <row r="135" spans="3:23" x14ac:dyDescent="0.3">
      <c r="C135">
        <f t="shared" si="25"/>
        <v>0</v>
      </c>
      <c r="D135">
        <v>1.78E-2</v>
      </c>
      <c r="E135">
        <v>2.5469999999999998E-3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si="32"/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5"/>
        <v>-0.90833300000000006</v>
      </c>
    </row>
    <row r="136" spans="3:23" x14ac:dyDescent="0.3">
      <c r="C136">
        <f t="shared" si="25"/>
        <v>0</v>
      </c>
      <c r="D136">
        <v>1.78E-2</v>
      </c>
      <c r="E136">
        <v>2.5469999999999998E-3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2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5"/>
        <v>-0.91349600000000009</v>
      </c>
    </row>
    <row r="137" spans="3:23" x14ac:dyDescent="0.3">
      <c r="C137">
        <f t="shared" si="25"/>
        <v>0</v>
      </c>
      <c r="D137">
        <v>1.78E-2</v>
      </c>
      <c r="E137">
        <v>2.5469999999999998E-3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2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5"/>
        <v>-0.918659</v>
      </c>
    </row>
    <row r="138" spans="3:23" x14ac:dyDescent="0.3">
      <c r="C138">
        <f t="shared" si="25"/>
        <v>0</v>
      </c>
      <c r="D138">
        <v>1.78E-2</v>
      </c>
      <c r="E138">
        <v>2.5469999999999998E-3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2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5"/>
        <v>-0.92382200000000003</v>
      </c>
    </row>
    <row r="139" spans="3:23" x14ac:dyDescent="0.3">
      <c r="C139">
        <f t="shared" si="25"/>
        <v>0</v>
      </c>
      <c r="D139">
        <v>1.78E-2</v>
      </c>
      <c r="E139">
        <v>2.5469999999999998E-3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2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5"/>
        <v>-0.92898500000000006</v>
      </c>
    </row>
    <row r="140" spans="3:23" x14ac:dyDescent="0.3">
      <c r="C140">
        <f t="shared" si="25"/>
        <v>0</v>
      </c>
      <c r="D140">
        <v>1.78E-2</v>
      </c>
      <c r="E140">
        <v>2.5469999999999998E-3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2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1.78E-2</v>
      </c>
      <c r="E141">
        <v>2.5469999999999998E-3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2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1.78E-2</v>
      </c>
      <c r="E142">
        <v>2.5469999999999998E-3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2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1.78E-2</v>
      </c>
      <c r="E143">
        <v>2.5469999999999998E-3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2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1.78E-2</v>
      </c>
      <c r="E144">
        <v>2.5469999999999998E-3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2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1.78E-2</v>
      </c>
      <c r="E145">
        <v>2.5469999999999998E-3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si="32"/>
        <v>0</v>
      </c>
      <c r="O145">
        <f t="shared" si="33"/>
        <v>0</v>
      </c>
      <c r="P145" t="e">
        <f t="shared" si="34"/>
        <v>#NUM!</v>
      </c>
    </row>
    <row r="146" spans="3:16" x14ac:dyDescent="0.3">
      <c r="C146">
        <f t="shared" si="25"/>
        <v>0</v>
      </c>
      <c r="D146">
        <v>1.78E-2</v>
      </c>
      <c r="E146">
        <v>2.5469999999999998E-3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2"/>
        <v>0</v>
      </c>
      <c r="O146">
        <f t="shared" si="33"/>
        <v>0</v>
      </c>
      <c r="P146" t="e">
        <f t="shared" si="34"/>
        <v>#NUM!</v>
      </c>
    </row>
    <row r="147" spans="3:16" x14ac:dyDescent="0.3">
      <c r="C147">
        <f t="shared" si="25"/>
        <v>0</v>
      </c>
      <c r="D147">
        <v>1.78E-2</v>
      </c>
      <c r="E147">
        <v>2.5469999999999998E-3</v>
      </c>
      <c r="F147">
        <f t="shared" si="26"/>
        <v>0</v>
      </c>
      <c r="G147">
        <f t="shared" si="2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2"/>
        <v>0</v>
      </c>
      <c r="O147">
        <f t="shared" si="33"/>
        <v>0</v>
      </c>
      <c r="P147" t="e">
        <f t="shared" si="34"/>
        <v>#NUM!</v>
      </c>
    </row>
    <row r="148" spans="3:16" x14ac:dyDescent="0.3">
      <c r="C148">
        <f t="shared" si="25"/>
        <v>0</v>
      </c>
      <c r="D148">
        <v>1.78E-2</v>
      </c>
      <c r="E148">
        <v>2.5469999999999998E-3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2"/>
        <v>0</v>
      </c>
      <c r="O148">
        <f t="shared" si="33"/>
        <v>0</v>
      </c>
      <c r="P148" t="e">
        <f t="shared" si="34"/>
        <v>#NUM!</v>
      </c>
    </row>
    <row r="149" spans="3:16" x14ac:dyDescent="0.3">
      <c r="C149">
        <f t="shared" si="25"/>
        <v>0</v>
      </c>
      <c r="D149">
        <v>1.78E-2</v>
      </c>
      <c r="E149">
        <v>2.5469999999999998E-3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2"/>
        <v>0</v>
      </c>
      <c r="O149">
        <f t="shared" si="33"/>
        <v>0</v>
      </c>
      <c r="P149" t="e">
        <f t="shared" si="34"/>
        <v>#NUM!</v>
      </c>
    </row>
    <row r="150" spans="3:16" x14ac:dyDescent="0.3">
      <c r="C150">
        <f t="shared" si="25"/>
        <v>0</v>
      </c>
      <c r="D150">
        <v>1.78E-2</v>
      </c>
      <c r="E150">
        <v>2.5469999999999998E-3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2"/>
        <v>0</v>
      </c>
      <c r="O150">
        <f t="shared" si="33"/>
        <v>0</v>
      </c>
      <c r="P150" t="e">
        <f t="shared" si="34"/>
        <v>#NUM!</v>
      </c>
    </row>
    <row r="151" spans="3:16" x14ac:dyDescent="0.3">
      <c r="C151">
        <f t="shared" si="25"/>
        <v>0</v>
      </c>
      <c r="D151">
        <v>1.78E-2</v>
      </c>
      <c r="E151">
        <v>2.5469999999999998E-3</v>
      </c>
      <c r="F151">
        <f t="shared" si="26"/>
        <v>0</v>
      </c>
      <c r="G151">
        <f t="shared" si="2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2"/>
        <v>0</v>
      </c>
      <c r="O151">
        <f t="shared" si="33"/>
        <v>0</v>
      </c>
      <c r="P151" t="e">
        <f t="shared" si="34"/>
        <v>#NUM!</v>
      </c>
    </row>
    <row r="152" spans="3:16" x14ac:dyDescent="0.3">
      <c r="C152">
        <f t="shared" si="25"/>
        <v>0</v>
      </c>
      <c r="D152">
        <v>1.78E-2</v>
      </c>
      <c r="E152">
        <v>2.5469999999999998E-3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2"/>
        <v>0</v>
      </c>
      <c r="O152">
        <f t="shared" si="33"/>
        <v>0</v>
      </c>
      <c r="P152" t="e">
        <f t="shared" si="34"/>
        <v>#NUM!</v>
      </c>
    </row>
    <row r="153" spans="3:16" x14ac:dyDescent="0.3">
      <c r="C153">
        <f t="shared" si="25"/>
        <v>0</v>
      </c>
      <c r="D153">
        <v>1.78E-2</v>
      </c>
      <c r="E153">
        <v>2.5469999999999998E-3</v>
      </c>
      <c r="F153">
        <f t="shared" si="26"/>
        <v>0</v>
      </c>
      <c r="G153">
        <f t="shared" si="2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2"/>
        <v>0</v>
      </c>
      <c r="O153">
        <f t="shared" si="33"/>
        <v>0</v>
      </c>
      <c r="P153" t="e">
        <f t="shared" si="34"/>
        <v>#NUM!</v>
      </c>
    </row>
    <row r="154" spans="3:16" x14ac:dyDescent="0.3">
      <c r="C154">
        <f t="shared" si="25"/>
        <v>0</v>
      </c>
      <c r="D154">
        <v>1.78E-2</v>
      </c>
      <c r="E154">
        <v>2.5469999999999998E-3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3:16" x14ac:dyDescent="0.3">
      <c r="C155">
        <f t="shared" si="25"/>
        <v>0</v>
      </c>
      <c r="D155">
        <v>1.78E-2</v>
      </c>
      <c r="E155">
        <v>2.5469999999999998E-3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3:16" x14ac:dyDescent="0.3">
      <c r="C156">
        <f t="shared" si="25"/>
        <v>0</v>
      </c>
      <c r="D156">
        <v>1.78E-2</v>
      </c>
      <c r="E156">
        <v>2.5469999999999998E-3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3:16" x14ac:dyDescent="0.3">
      <c r="C157">
        <f t="shared" si="25"/>
        <v>0</v>
      </c>
      <c r="D157">
        <v>1.78E-2</v>
      </c>
      <c r="E157">
        <v>2.5469999999999998E-3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3:16" x14ac:dyDescent="0.3">
      <c r="C158">
        <f t="shared" si="25"/>
        <v>0</v>
      </c>
      <c r="D158">
        <v>1.78E-2</v>
      </c>
      <c r="E158">
        <v>2.5469999999999998E-3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3:16" x14ac:dyDescent="0.3">
      <c r="C159">
        <f t="shared" si="25"/>
        <v>0</v>
      </c>
      <c r="D159">
        <v>1.78E-2</v>
      </c>
      <c r="E159">
        <v>2.5469999999999998E-3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3:16" x14ac:dyDescent="0.3">
      <c r="C160">
        <f t="shared" si="25"/>
        <v>0</v>
      </c>
      <c r="D160">
        <v>1.78E-2</v>
      </c>
      <c r="E160">
        <v>2.5469999999999998E-3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1.78E-2</v>
      </c>
      <c r="E161">
        <v>2.5469999999999998E-3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1.78E-2</v>
      </c>
      <c r="E162">
        <v>2.5469999999999998E-3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1.78E-2</v>
      </c>
      <c r="E163">
        <v>2.5469999999999998E-3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1.78E-2</v>
      </c>
      <c r="E164">
        <v>2.5469999999999998E-3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1.78E-2</v>
      </c>
      <c r="E165">
        <v>2.5469999999999998E-3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1.78E-2</v>
      </c>
      <c r="E166">
        <v>2.5469999999999998E-3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1.78E-2</v>
      </c>
      <c r="E167">
        <v>2.5469999999999998E-3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1.78E-2</v>
      </c>
      <c r="E168">
        <v>2.5469999999999998E-3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1.78E-2</v>
      </c>
      <c r="E169">
        <v>2.5469999999999998E-3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1.78E-2</v>
      </c>
      <c r="E170">
        <v>2.5469999999999998E-3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1.78E-2</v>
      </c>
      <c r="E171">
        <v>2.5469999999999998E-3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1.78E-2</v>
      </c>
      <c r="E172">
        <v>2.5469999999999998E-3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1.78E-2</v>
      </c>
      <c r="E173">
        <v>2.5469999999999998E-3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1.78E-2</v>
      </c>
      <c r="E174">
        <v>2.5469999999999998E-3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1.78E-2</v>
      </c>
      <c r="E175">
        <v>2.5469999999999998E-3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D176">
        <v>1.78E-2</v>
      </c>
      <c r="E176">
        <v>2.5469999999999998E-3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1.78E-2</v>
      </c>
      <c r="E177">
        <v>2.5469999999999998E-3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1.78E-2</v>
      </c>
      <c r="E178">
        <v>2.5469999999999998E-3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1.78E-2</v>
      </c>
      <c r="E179">
        <v>2.5469999999999998E-3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1.78E-2</v>
      </c>
      <c r="E180">
        <v>2.5469999999999998E-3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1.78E-2</v>
      </c>
      <c r="E181">
        <v>2.5469999999999998E-3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1.78E-2</v>
      </c>
      <c r="E182">
        <v>2.5469999999999998E-3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1.78E-2</v>
      </c>
      <c r="E183">
        <v>2.5469999999999998E-3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1.78E-2</v>
      </c>
      <c r="E184">
        <v>2.5469999999999998E-3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1.78E-2</v>
      </c>
      <c r="E185">
        <v>2.5469999999999998E-3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1.78E-2</v>
      </c>
      <c r="E186">
        <v>2.5469999999999998E-3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1.78E-2</v>
      </c>
      <c r="E187">
        <v>2.5469999999999998E-3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1.78E-2</v>
      </c>
      <c r="E188">
        <v>2.5469999999999998E-3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1.78E-2</v>
      </c>
      <c r="E189">
        <v>2.5469999999999998E-3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1.78E-2</v>
      </c>
      <c r="E190">
        <v>2.5469999999999998E-3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1.78E-2</v>
      </c>
      <c r="E191">
        <v>2.5469999999999998E-3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1.78E-2</v>
      </c>
      <c r="E192">
        <v>2.5469999999999998E-3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1.78E-2</v>
      </c>
      <c r="E193">
        <v>2.5469999999999998E-3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1.78E-2</v>
      </c>
      <c r="E194">
        <v>2.5469999999999998E-3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1.78E-2</v>
      </c>
      <c r="E195">
        <v>2.5469999999999998E-3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1.78E-2</v>
      </c>
      <c r="E196">
        <v>2.5469999999999998E-3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1.78E-2</v>
      </c>
      <c r="E197">
        <v>2.5469999999999998E-3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1.78E-2</v>
      </c>
      <c r="E198">
        <v>2.5469999999999998E-3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1.78E-2</v>
      </c>
      <c r="E199">
        <v>2.5469999999999998E-3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1.78E-2</v>
      </c>
      <c r="E200">
        <v>2.5469999999999998E-3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1.78E-2</v>
      </c>
      <c r="E201">
        <v>2.5469999999999998E-3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1.78E-2</v>
      </c>
      <c r="E202">
        <v>2.5469999999999998E-3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1.78E-2</v>
      </c>
      <c r="E203">
        <v>2.5469999999999998E-3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1.78E-2</v>
      </c>
      <c r="E204">
        <v>2.5469999999999998E-3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1.78E-2</v>
      </c>
      <c r="E205">
        <v>2.5469999999999998E-3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1.78E-2</v>
      </c>
      <c r="E206">
        <v>2.5469999999999998E-3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1.78E-2</v>
      </c>
      <c r="E207">
        <v>2.5469999999999998E-3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1.78E-2</v>
      </c>
      <c r="E208">
        <v>2.5469999999999998E-3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1.78E-2</v>
      </c>
      <c r="E209">
        <v>2.5469999999999998E-3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1.78E-2</v>
      </c>
      <c r="E210">
        <v>2.5469999999999998E-3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1.78E-2</v>
      </c>
      <c r="E211">
        <v>2.5469999999999998E-3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1.78E-2</v>
      </c>
      <c r="E212">
        <v>2.5469999999999998E-3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1.78E-2</v>
      </c>
      <c r="E213">
        <v>2.5469999999999998E-3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1.78E-2</v>
      </c>
      <c r="E214">
        <v>2.5469999999999998E-3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1.78E-2</v>
      </c>
      <c r="E215">
        <v>2.5469999999999998E-3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1.78E-2</v>
      </c>
      <c r="E216">
        <v>2.5469999999999998E-3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1.78E-2</v>
      </c>
      <c r="E217">
        <v>2.5469999999999998E-3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1.78E-2</v>
      </c>
      <c r="E218">
        <v>2.5469999999999998E-3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1.78E-2</v>
      </c>
      <c r="E219">
        <v>2.5469999999999998E-3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1.78E-2</v>
      </c>
      <c r="E220">
        <v>2.5469999999999998E-3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1.78E-2</v>
      </c>
      <c r="E221">
        <v>2.5469999999999998E-3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1.78E-2</v>
      </c>
      <c r="E222">
        <v>2.5469999999999998E-3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1.78E-2</v>
      </c>
      <c r="E223">
        <v>2.5469999999999998E-3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1.78E-2</v>
      </c>
      <c r="E224">
        <v>2.5469999999999998E-3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1.78E-2</v>
      </c>
      <c r="E225">
        <v>2.5469999999999998E-3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1.78E-2</v>
      </c>
      <c r="E226">
        <v>2.5469999999999998E-3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1.78E-2</v>
      </c>
      <c r="E227">
        <v>2.5469999999999998E-3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1.78E-2</v>
      </c>
      <c r="E228">
        <v>2.5469999999999998E-3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1.78E-2</v>
      </c>
      <c r="E229">
        <v>2.5469999999999998E-3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1.78E-2</v>
      </c>
      <c r="E230">
        <v>2.5469999999999998E-3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1.78E-2</v>
      </c>
      <c r="E231">
        <v>2.5469999999999998E-3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1.78E-2</v>
      </c>
      <c r="E232">
        <v>2.5469999999999998E-3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1.78E-2</v>
      </c>
      <c r="E233">
        <v>2.5469999999999998E-3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1.78E-2</v>
      </c>
      <c r="E234">
        <v>2.5469999999999998E-3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1.78E-2</v>
      </c>
      <c r="E235">
        <v>2.5469999999999998E-3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1.78E-2</v>
      </c>
      <c r="E236">
        <v>2.5469999999999998E-3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1.78E-2</v>
      </c>
      <c r="E237">
        <v>2.5469999999999998E-3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1.78E-2</v>
      </c>
      <c r="E238">
        <v>2.5469999999999998E-3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1.78E-2</v>
      </c>
      <c r="E239">
        <v>2.5469999999999998E-3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1.78E-2</v>
      </c>
      <c r="E240">
        <v>2.5469999999999998E-3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1.78E-2</v>
      </c>
      <c r="E241">
        <v>2.5469999999999998E-3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1.78E-2</v>
      </c>
      <c r="E242">
        <v>2.5469999999999998E-3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1.78E-2</v>
      </c>
      <c r="E243">
        <v>2.5469999999999998E-3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1.78E-2</v>
      </c>
      <c r="E244">
        <v>2.5469999999999998E-3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1.78E-2</v>
      </c>
      <c r="E245">
        <v>2.5469999999999998E-3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1.78E-2</v>
      </c>
      <c r="E246">
        <v>2.5469999999999998E-3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1.78E-2</v>
      </c>
      <c r="E247">
        <v>2.5469999999999998E-3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1.78E-2</v>
      </c>
      <c r="E248">
        <v>2.5469999999999998E-3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1.78E-2</v>
      </c>
      <c r="E249">
        <v>2.5469999999999998E-3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1.78E-2</v>
      </c>
      <c r="E250">
        <v>2.5469999999999998E-3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1.78E-2</v>
      </c>
      <c r="E251">
        <v>2.5469999999999998E-3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1.78E-2</v>
      </c>
      <c r="E252">
        <v>2.5469999999999998E-3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1.78E-2</v>
      </c>
      <c r="E253">
        <v>2.5469999999999998E-3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1.78E-2</v>
      </c>
      <c r="E254">
        <v>2.5469999999999998E-3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1.78E-2</v>
      </c>
      <c r="E255">
        <v>2.5469999999999998E-3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1.78E-2</v>
      </c>
      <c r="E256">
        <v>2.5469999999999998E-3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1.78E-2</v>
      </c>
      <c r="E257">
        <v>2.5469999999999998E-3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1.78E-2</v>
      </c>
      <c r="E258">
        <v>2.5469999999999998E-3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1.78E-2</v>
      </c>
      <c r="E259">
        <v>2.5469999999999998E-3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1.78E-2</v>
      </c>
      <c r="E260">
        <v>2.5469999999999998E-3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1.78E-2</v>
      </c>
      <c r="E261">
        <v>2.5469999999999998E-3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1.78E-2</v>
      </c>
      <c r="E262">
        <v>2.5469999999999998E-3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1.78E-2</v>
      </c>
      <c r="E263">
        <v>2.5469999999999998E-3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1.78E-2</v>
      </c>
      <c r="E264">
        <v>2.5469999999999998E-3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1.78E-2</v>
      </c>
      <c r="E265">
        <v>2.5469999999999998E-3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1.78E-2</v>
      </c>
      <c r="E266">
        <v>2.5469999999999998E-3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1.78E-2</v>
      </c>
      <c r="E267">
        <v>2.5469999999999998E-3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1.78E-2</v>
      </c>
      <c r="E268">
        <v>2.5469999999999998E-3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1.78E-2</v>
      </c>
      <c r="E269">
        <v>2.5469999999999998E-3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1.78E-2</v>
      </c>
      <c r="E270">
        <v>2.5469999999999998E-3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1.78E-2</v>
      </c>
      <c r="E271">
        <v>2.5469999999999998E-3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1.78E-2</v>
      </c>
      <c r="E272">
        <v>2.5469999999999998E-3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1.78E-2</v>
      </c>
      <c r="E273">
        <v>2.5469999999999998E-3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1.78E-2</v>
      </c>
      <c r="E274">
        <v>2.5469999999999998E-3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1.78E-2</v>
      </c>
      <c r="E275">
        <v>2.5469999999999998E-3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1.78E-2</v>
      </c>
      <c r="E276">
        <v>2.5469999999999998E-3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1.78E-2</v>
      </c>
      <c r="E277">
        <v>2.5469999999999998E-3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1.78E-2</v>
      </c>
      <c r="E278">
        <v>2.5469999999999998E-3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1.78E-2</v>
      </c>
      <c r="E279">
        <v>2.5469999999999998E-3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1.78E-2</v>
      </c>
      <c r="E280">
        <v>2.5469999999999998E-3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1.78E-2</v>
      </c>
      <c r="E281">
        <v>2.5469999999999998E-3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1.78E-2</v>
      </c>
      <c r="E282">
        <v>2.5469999999999998E-3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1.78E-2</v>
      </c>
      <c r="E283">
        <v>2.5469999999999998E-3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1.78E-2</v>
      </c>
      <c r="E284">
        <v>2.5469999999999998E-3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1.78E-2</v>
      </c>
      <c r="E285">
        <v>2.5469999999999998E-3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1.78E-2</v>
      </c>
      <c r="E286">
        <v>2.5469999999999998E-3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1.78E-2</v>
      </c>
      <c r="E287">
        <v>2.5469999999999998E-3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1.78E-2</v>
      </c>
      <c r="E288">
        <v>2.5469999999999998E-3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1.78E-2</v>
      </c>
      <c r="E289">
        <v>2.5469999999999998E-3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1.78E-2</v>
      </c>
      <c r="E290">
        <v>2.5469999999999998E-3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1.78E-2</v>
      </c>
      <c r="E291">
        <v>2.5469999999999998E-3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1.78E-2</v>
      </c>
      <c r="E292">
        <v>2.5469999999999998E-3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1.78E-2</v>
      </c>
      <c r="E293">
        <v>2.5469999999999998E-3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1.78E-2</v>
      </c>
      <c r="E294">
        <v>2.5469999999999998E-3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1.78E-2</v>
      </c>
      <c r="E295">
        <v>2.5469999999999998E-3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1.78E-2</v>
      </c>
      <c r="E296">
        <v>2.5469999999999998E-3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1.78E-2</v>
      </c>
      <c r="E297">
        <v>2.5469999999999998E-3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1.78E-2</v>
      </c>
      <c r="E298">
        <v>2.5469999999999998E-3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1.78E-2</v>
      </c>
      <c r="E299">
        <v>2.5469999999999998E-3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1.78E-2</v>
      </c>
      <c r="E300">
        <v>2.5469999999999998E-3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1.78E-2</v>
      </c>
      <c r="E301">
        <v>2.5469999999999998E-3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1.78E-2</v>
      </c>
      <c r="E302">
        <v>2.5469999999999998E-3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1.78E-2</v>
      </c>
      <c r="E303">
        <v>2.5469999999999998E-3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2026-06-15T04:24:54Z</dcterms:modified>
</cp:coreProperties>
</file>