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AB Polyol\75K\"/>
    </mc:Choice>
  </mc:AlternateContent>
  <xr:revisionPtr revIDLastSave="0" documentId="13_ncr:1_{7FE9CEFD-5E4E-4EE1-9408-696F53EA2E1B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3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O232" i="3" l="1"/>
  <c r="O231" i="3"/>
  <c r="O230" i="3"/>
  <c r="O229" i="3"/>
  <c r="O228" i="3"/>
  <c r="O227" i="3"/>
  <c r="O226" i="3"/>
  <c r="O225" i="3"/>
  <c r="O224" i="3"/>
  <c r="O223" i="3"/>
  <c r="K223" i="3"/>
  <c r="I223" i="3"/>
  <c r="B223" i="3"/>
  <c r="E223" i="3" s="1"/>
  <c r="O222" i="3"/>
  <c r="I222" i="3"/>
  <c r="K222" i="3" s="1"/>
  <c r="E222" i="3"/>
  <c r="B222" i="3"/>
  <c r="O221" i="3"/>
  <c r="K221" i="3"/>
  <c r="I221" i="3"/>
  <c r="B221" i="3"/>
  <c r="E221" i="3" s="1"/>
  <c r="O220" i="3"/>
  <c r="K220" i="3"/>
  <c r="I220" i="3"/>
  <c r="E220" i="3"/>
  <c r="B220" i="3"/>
  <c r="O219" i="3"/>
  <c r="K219" i="3"/>
  <c r="I219" i="3"/>
  <c r="E219" i="3"/>
  <c r="B219" i="3"/>
  <c r="O218" i="3"/>
  <c r="K218" i="3"/>
  <c r="I218" i="3"/>
  <c r="E218" i="3"/>
  <c r="B218" i="3"/>
  <c r="O217" i="3"/>
  <c r="K217" i="3"/>
  <c r="I217" i="3"/>
  <c r="E217" i="3"/>
  <c r="B217" i="3"/>
  <c r="O216" i="3"/>
  <c r="K216" i="3"/>
  <c r="I216" i="3"/>
  <c r="E216" i="3"/>
  <c r="B216" i="3"/>
  <c r="O215" i="3"/>
  <c r="K215" i="3"/>
  <c r="I215" i="3"/>
  <c r="E215" i="3"/>
  <c r="B215" i="3"/>
  <c r="O214" i="3"/>
  <c r="I214" i="3"/>
  <c r="K214" i="3" s="1"/>
  <c r="E214" i="3"/>
  <c r="B214" i="3"/>
  <c r="O213" i="3"/>
  <c r="K213" i="3"/>
  <c r="I213" i="3"/>
  <c r="B213" i="3"/>
  <c r="E213" i="3" s="1"/>
  <c r="O212" i="3"/>
  <c r="K212" i="3"/>
  <c r="I212" i="3"/>
  <c r="E212" i="3"/>
  <c r="B212" i="3"/>
  <c r="O211" i="3"/>
  <c r="K211" i="3"/>
  <c r="I211" i="3"/>
  <c r="E211" i="3"/>
  <c r="B211" i="3"/>
  <c r="O210" i="3"/>
  <c r="I210" i="3"/>
  <c r="K210" i="3" s="1"/>
  <c r="E210" i="3"/>
  <c r="B210" i="3"/>
  <c r="O209" i="3"/>
  <c r="K209" i="3"/>
  <c r="I209" i="3"/>
  <c r="B209" i="3"/>
  <c r="E209" i="3" s="1"/>
  <c r="O208" i="3"/>
  <c r="K208" i="3"/>
  <c r="I208" i="3"/>
  <c r="E208" i="3"/>
  <c r="B208" i="3"/>
  <c r="O207" i="3"/>
  <c r="K207" i="3"/>
  <c r="I207" i="3"/>
  <c r="E207" i="3"/>
  <c r="B207" i="3"/>
  <c r="O206" i="3"/>
  <c r="I206" i="3"/>
  <c r="K206" i="3" s="1"/>
  <c r="E206" i="3"/>
  <c r="B206" i="3"/>
  <c r="O205" i="3"/>
  <c r="K205" i="3"/>
  <c r="I205" i="3"/>
  <c r="B205" i="3"/>
  <c r="E205" i="3" s="1"/>
  <c r="O204" i="3"/>
  <c r="K204" i="3"/>
  <c r="I204" i="3"/>
  <c r="E204" i="3"/>
  <c r="B204" i="3"/>
  <c r="O203" i="3"/>
  <c r="K203" i="3"/>
  <c r="I203" i="3"/>
  <c r="E203" i="3"/>
  <c r="B203" i="3"/>
  <c r="O202" i="3"/>
  <c r="I202" i="3"/>
  <c r="K202" i="3" s="1"/>
  <c r="E202" i="3"/>
  <c r="B202" i="3"/>
  <c r="O201" i="3"/>
  <c r="K201" i="3"/>
  <c r="I201" i="3"/>
  <c r="B201" i="3"/>
  <c r="E201" i="3" s="1"/>
  <c r="O200" i="3"/>
  <c r="I200" i="3"/>
  <c r="K200" i="3" s="1"/>
  <c r="E200" i="3"/>
  <c r="B200" i="3"/>
  <c r="O199" i="3"/>
  <c r="K199" i="3"/>
  <c r="I199" i="3"/>
  <c r="B199" i="3"/>
  <c r="E199" i="3" s="1"/>
  <c r="O198" i="3"/>
  <c r="I198" i="3"/>
  <c r="K198" i="3" s="1"/>
  <c r="E198" i="3"/>
  <c r="B198" i="3"/>
  <c r="O197" i="3"/>
  <c r="K197" i="3"/>
  <c r="I197" i="3"/>
  <c r="B197" i="3"/>
  <c r="E197" i="3" s="1"/>
  <c r="O196" i="3"/>
  <c r="K196" i="3"/>
  <c r="I196" i="3"/>
  <c r="E196" i="3"/>
  <c r="B196" i="3"/>
  <c r="O195" i="3"/>
  <c r="I195" i="3"/>
  <c r="F195" i="3"/>
  <c r="K195" i="3" s="1"/>
  <c r="B195" i="3"/>
  <c r="E195" i="3" s="1"/>
  <c r="O194" i="3"/>
  <c r="I194" i="3"/>
  <c r="K194" i="3" s="1"/>
  <c r="F194" i="3"/>
  <c r="E194" i="3"/>
  <c r="B194" i="3"/>
  <c r="O193" i="3"/>
  <c r="I193" i="3"/>
  <c r="K193" i="3" s="1"/>
  <c r="F193" i="3"/>
  <c r="B193" i="3"/>
  <c r="E193" i="3" s="1"/>
  <c r="O192" i="3"/>
  <c r="I192" i="3"/>
  <c r="F192" i="3"/>
  <c r="E192" i="3"/>
  <c r="B192" i="3"/>
  <c r="O191" i="3"/>
  <c r="K191" i="3"/>
  <c r="I191" i="3"/>
  <c r="F191" i="3"/>
  <c r="E191" i="3"/>
  <c r="B191" i="3"/>
  <c r="O190" i="3"/>
  <c r="I190" i="3"/>
  <c r="K190" i="3" s="1"/>
  <c r="F190" i="3"/>
  <c r="B190" i="3"/>
  <c r="E190" i="3" s="1"/>
  <c r="O189" i="3"/>
  <c r="K189" i="3"/>
  <c r="I189" i="3"/>
  <c r="F189" i="3"/>
  <c r="B189" i="3"/>
  <c r="E189" i="3" s="1"/>
  <c r="O188" i="3"/>
  <c r="I188" i="3"/>
  <c r="F188" i="3"/>
  <c r="E188" i="3"/>
  <c r="B188" i="3"/>
  <c r="O187" i="3"/>
  <c r="K187" i="3"/>
  <c r="I187" i="3"/>
  <c r="F187" i="3"/>
  <c r="B187" i="3"/>
  <c r="E187" i="3" s="1"/>
  <c r="O186" i="3"/>
  <c r="I186" i="3"/>
  <c r="K186" i="3" s="1"/>
  <c r="F186" i="3"/>
  <c r="B186" i="3"/>
  <c r="E186" i="3" s="1"/>
  <c r="O185" i="3"/>
  <c r="I185" i="3"/>
  <c r="K185" i="3" s="1"/>
  <c r="F185" i="3"/>
  <c r="B185" i="3"/>
  <c r="E185" i="3" s="1"/>
  <c r="O184" i="3"/>
  <c r="I184" i="3"/>
  <c r="F184" i="3"/>
  <c r="E184" i="3"/>
  <c r="B184" i="3"/>
  <c r="O183" i="3"/>
  <c r="I183" i="3"/>
  <c r="F183" i="3"/>
  <c r="K183" i="3" s="1"/>
  <c r="E183" i="3"/>
  <c r="B183" i="3"/>
  <c r="O182" i="3"/>
  <c r="K182" i="3"/>
  <c r="I182" i="3"/>
  <c r="F182" i="3"/>
  <c r="E182" i="3"/>
  <c r="B182" i="3"/>
  <c r="O181" i="3"/>
  <c r="I181" i="3"/>
  <c r="K181" i="3" s="1"/>
  <c r="F181" i="3"/>
  <c r="B181" i="3"/>
  <c r="E181" i="3" s="1"/>
  <c r="O180" i="3"/>
  <c r="I180" i="3"/>
  <c r="K180" i="3" s="1"/>
  <c r="F180" i="3"/>
  <c r="E180" i="3"/>
  <c r="B180" i="3"/>
  <c r="O179" i="3"/>
  <c r="I179" i="3"/>
  <c r="F179" i="3"/>
  <c r="K179" i="3" s="1"/>
  <c r="B179" i="3"/>
  <c r="E179" i="3" s="1"/>
  <c r="O178" i="3"/>
  <c r="I178" i="3"/>
  <c r="K178" i="3" s="1"/>
  <c r="F178" i="3"/>
  <c r="E178" i="3"/>
  <c r="B178" i="3"/>
  <c r="O177" i="3"/>
  <c r="I177" i="3"/>
  <c r="K177" i="3" s="1"/>
  <c r="F177" i="3"/>
  <c r="B177" i="3"/>
  <c r="E177" i="3" s="1"/>
  <c r="O176" i="3"/>
  <c r="I176" i="3"/>
  <c r="F176" i="3"/>
  <c r="E176" i="3"/>
  <c r="B176" i="3"/>
  <c r="O175" i="3"/>
  <c r="K175" i="3"/>
  <c r="I175" i="3"/>
  <c r="F175" i="3"/>
  <c r="E175" i="3"/>
  <c r="B175" i="3"/>
  <c r="O174" i="3"/>
  <c r="I174" i="3"/>
  <c r="K174" i="3" s="1"/>
  <c r="F174" i="3"/>
  <c r="B174" i="3"/>
  <c r="E174" i="3" s="1"/>
  <c r="O173" i="3"/>
  <c r="K173" i="3"/>
  <c r="I173" i="3"/>
  <c r="F173" i="3"/>
  <c r="B173" i="3"/>
  <c r="E173" i="3" s="1"/>
  <c r="O172" i="3"/>
  <c r="I172" i="3"/>
  <c r="F172" i="3"/>
  <c r="E172" i="3"/>
  <c r="B172" i="3"/>
  <c r="O171" i="3"/>
  <c r="K171" i="3"/>
  <c r="I171" i="3"/>
  <c r="F171" i="3"/>
  <c r="B171" i="3"/>
  <c r="E171" i="3" s="1"/>
  <c r="O170" i="3"/>
  <c r="I170" i="3"/>
  <c r="K170" i="3" s="1"/>
  <c r="F170" i="3"/>
  <c r="B170" i="3"/>
  <c r="E170" i="3" s="1"/>
  <c r="O169" i="3"/>
  <c r="I169" i="3"/>
  <c r="K169" i="3" s="1"/>
  <c r="F169" i="3"/>
  <c r="B169" i="3"/>
  <c r="E169" i="3" s="1"/>
  <c r="O168" i="3"/>
  <c r="I168" i="3"/>
  <c r="F168" i="3"/>
  <c r="E168" i="3"/>
  <c r="B168" i="3"/>
  <c r="O167" i="3"/>
  <c r="I167" i="3"/>
  <c r="F167" i="3"/>
  <c r="K167" i="3" s="1"/>
  <c r="E167" i="3"/>
  <c r="B167" i="3"/>
  <c r="O166" i="3"/>
  <c r="K166" i="3"/>
  <c r="I166" i="3"/>
  <c r="F166" i="3"/>
  <c r="E166" i="3"/>
  <c r="B166" i="3"/>
  <c r="O165" i="3"/>
  <c r="K165" i="3"/>
  <c r="I165" i="3"/>
  <c r="F165" i="3"/>
  <c r="B165" i="3"/>
  <c r="E165" i="3" s="1"/>
  <c r="O164" i="3"/>
  <c r="I164" i="3"/>
  <c r="K164" i="3" s="1"/>
  <c r="F164" i="3"/>
  <c r="E164" i="3"/>
  <c r="B164" i="3"/>
  <c r="O163" i="3"/>
  <c r="I163" i="3"/>
  <c r="F163" i="3"/>
  <c r="K163" i="3" s="1"/>
  <c r="B163" i="3"/>
  <c r="E163" i="3" s="1"/>
  <c r="O162" i="3"/>
  <c r="I162" i="3"/>
  <c r="K162" i="3" s="1"/>
  <c r="F162" i="3"/>
  <c r="E162" i="3"/>
  <c r="B162" i="3"/>
  <c r="O161" i="3"/>
  <c r="I161" i="3"/>
  <c r="K161" i="3" s="1"/>
  <c r="F161" i="3"/>
  <c r="B161" i="3"/>
  <c r="E161" i="3" s="1"/>
  <c r="O160" i="3"/>
  <c r="I160" i="3"/>
  <c r="F160" i="3"/>
  <c r="E160" i="3"/>
  <c r="B160" i="3"/>
  <c r="O159" i="3"/>
  <c r="K159" i="3"/>
  <c r="I159" i="3"/>
  <c r="F159" i="3"/>
  <c r="E159" i="3"/>
  <c r="B159" i="3"/>
  <c r="O158" i="3"/>
  <c r="I158" i="3"/>
  <c r="K158" i="3" s="1"/>
  <c r="F158" i="3"/>
  <c r="B158" i="3"/>
  <c r="E158" i="3" s="1"/>
  <c r="O157" i="3"/>
  <c r="K157" i="3"/>
  <c r="I157" i="3"/>
  <c r="F157" i="3"/>
  <c r="B157" i="3"/>
  <c r="E157" i="3" s="1"/>
  <c r="O156" i="3"/>
  <c r="I156" i="3"/>
  <c r="F156" i="3"/>
  <c r="E156" i="3"/>
  <c r="B156" i="3"/>
  <c r="O155" i="3"/>
  <c r="K155" i="3"/>
  <c r="I155" i="3"/>
  <c r="F155" i="3"/>
  <c r="B155" i="3"/>
  <c r="E155" i="3" s="1"/>
  <c r="O154" i="3"/>
  <c r="I154" i="3"/>
  <c r="K154" i="3" s="1"/>
  <c r="F154" i="3"/>
  <c r="B154" i="3"/>
  <c r="E154" i="3" s="1"/>
  <c r="O153" i="3"/>
  <c r="I153" i="3"/>
  <c r="K153" i="3" s="1"/>
  <c r="F153" i="3"/>
  <c r="B153" i="3"/>
  <c r="E153" i="3" s="1"/>
  <c r="O152" i="3"/>
  <c r="I152" i="3"/>
  <c r="F152" i="3"/>
  <c r="E152" i="3"/>
  <c r="B152" i="3"/>
  <c r="O151" i="3"/>
  <c r="I151" i="3"/>
  <c r="F151" i="3"/>
  <c r="K151" i="3" s="1"/>
  <c r="E151" i="3"/>
  <c r="B151" i="3"/>
  <c r="O150" i="3"/>
  <c r="K150" i="3"/>
  <c r="I150" i="3"/>
  <c r="F150" i="3"/>
  <c r="E150" i="3"/>
  <c r="B150" i="3"/>
  <c r="O149" i="3"/>
  <c r="I149" i="3"/>
  <c r="K149" i="3" s="1"/>
  <c r="F149" i="3"/>
  <c r="B149" i="3"/>
  <c r="E149" i="3" s="1"/>
  <c r="O148" i="3"/>
  <c r="I148" i="3"/>
  <c r="K148" i="3" s="1"/>
  <c r="F148" i="3"/>
  <c r="E148" i="3"/>
  <c r="B148" i="3"/>
  <c r="O147" i="3"/>
  <c r="I147" i="3"/>
  <c r="F147" i="3"/>
  <c r="K147" i="3" s="1"/>
  <c r="B147" i="3"/>
  <c r="E147" i="3" s="1"/>
  <c r="O146" i="3"/>
  <c r="I146" i="3"/>
  <c r="K146" i="3" s="1"/>
  <c r="F146" i="3"/>
  <c r="E146" i="3"/>
  <c r="B146" i="3"/>
  <c r="O145" i="3"/>
  <c r="I145" i="3"/>
  <c r="K145" i="3" s="1"/>
  <c r="F145" i="3"/>
  <c r="B145" i="3"/>
  <c r="E145" i="3" s="1"/>
  <c r="O144" i="3"/>
  <c r="I144" i="3"/>
  <c r="F144" i="3"/>
  <c r="E144" i="3"/>
  <c r="B144" i="3"/>
  <c r="O143" i="3"/>
  <c r="K143" i="3"/>
  <c r="I143" i="3"/>
  <c r="F143" i="3"/>
  <c r="E143" i="3"/>
  <c r="B143" i="3"/>
  <c r="O142" i="3"/>
  <c r="K142" i="3"/>
  <c r="I142" i="3"/>
  <c r="F142" i="3"/>
  <c r="B142" i="3"/>
  <c r="E142" i="3" s="1"/>
  <c r="O141" i="3"/>
  <c r="K141" i="3"/>
  <c r="I141" i="3"/>
  <c r="F141" i="3"/>
  <c r="B141" i="3"/>
  <c r="E141" i="3" s="1"/>
  <c r="O140" i="3"/>
  <c r="I140" i="3"/>
  <c r="F140" i="3"/>
  <c r="E140" i="3"/>
  <c r="B140" i="3"/>
  <c r="O139" i="3"/>
  <c r="K139" i="3"/>
  <c r="I139" i="3"/>
  <c r="F139" i="3"/>
  <c r="B139" i="3"/>
  <c r="E139" i="3" s="1"/>
  <c r="O138" i="3"/>
  <c r="I138" i="3"/>
  <c r="K138" i="3" s="1"/>
  <c r="F138" i="3"/>
  <c r="B138" i="3"/>
  <c r="E138" i="3" s="1"/>
  <c r="O137" i="3"/>
  <c r="I137" i="3"/>
  <c r="K137" i="3" s="1"/>
  <c r="F137" i="3"/>
  <c r="B137" i="3"/>
  <c r="E137" i="3" s="1"/>
  <c r="O136" i="3"/>
  <c r="I136" i="3"/>
  <c r="F136" i="3"/>
  <c r="E136" i="3"/>
  <c r="B136" i="3"/>
  <c r="O135" i="3"/>
  <c r="I135" i="3"/>
  <c r="F135" i="3"/>
  <c r="K135" i="3" s="1"/>
  <c r="E135" i="3"/>
  <c r="B135" i="3"/>
  <c r="O134" i="3"/>
  <c r="K134" i="3"/>
  <c r="I134" i="3"/>
  <c r="F134" i="3"/>
  <c r="E134" i="3"/>
  <c r="B134" i="3"/>
  <c r="O133" i="3"/>
  <c r="I133" i="3"/>
  <c r="K133" i="3" s="1"/>
  <c r="F133" i="3"/>
  <c r="B133" i="3"/>
  <c r="E133" i="3" s="1"/>
  <c r="O132" i="3"/>
  <c r="I132" i="3"/>
  <c r="K132" i="3" s="1"/>
  <c r="F132" i="3"/>
  <c r="E132" i="3"/>
  <c r="B132" i="3"/>
  <c r="O131" i="3"/>
  <c r="I131" i="3"/>
  <c r="F131" i="3"/>
  <c r="K131" i="3" s="1"/>
  <c r="B131" i="3"/>
  <c r="E131" i="3" s="1"/>
  <c r="O130" i="3"/>
  <c r="I130" i="3"/>
  <c r="K130" i="3" s="1"/>
  <c r="F130" i="3"/>
  <c r="E130" i="3"/>
  <c r="B130" i="3"/>
  <c r="O129" i="3"/>
  <c r="I129" i="3"/>
  <c r="K129" i="3" s="1"/>
  <c r="F129" i="3"/>
  <c r="B129" i="3"/>
  <c r="E129" i="3" s="1"/>
  <c r="O128" i="3"/>
  <c r="I128" i="3"/>
  <c r="F128" i="3"/>
  <c r="E128" i="3"/>
  <c r="B128" i="3"/>
  <c r="O127" i="3"/>
  <c r="K127" i="3"/>
  <c r="I127" i="3"/>
  <c r="F127" i="3"/>
  <c r="E127" i="3"/>
  <c r="B127" i="3"/>
  <c r="O126" i="3"/>
  <c r="I126" i="3"/>
  <c r="K126" i="3" s="1"/>
  <c r="F126" i="3"/>
  <c r="B126" i="3"/>
  <c r="E126" i="3" s="1"/>
  <c r="O125" i="3"/>
  <c r="K125" i="3"/>
  <c r="I125" i="3"/>
  <c r="F125" i="3"/>
  <c r="B125" i="3"/>
  <c r="E125" i="3" s="1"/>
  <c r="O124" i="3"/>
  <c r="I124" i="3"/>
  <c r="F124" i="3"/>
  <c r="E124" i="3"/>
  <c r="B124" i="3"/>
  <c r="O123" i="3"/>
  <c r="K123" i="3"/>
  <c r="I123" i="3"/>
  <c r="F123" i="3"/>
  <c r="B123" i="3"/>
  <c r="E123" i="3" s="1"/>
  <c r="O122" i="3"/>
  <c r="I122" i="3"/>
  <c r="K122" i="3" s="1"/>
  <c r="F122" i="3"/>
  <c r="B122" i="3"/>
  <c r="E122" i="3" s="1"/>
  <c r="O121" i="3"/>
  <c r="I121" i="3"/>
  <c r="K121" i="3" s="1"/>
  <c r="F121" i="3"/>
  <c r="B121" i="3"/>
  <c r="E121" i="3" s="1"/>
  <c r="O120" i="3"/>
  <c r="I120" i="3"/>
  <c r="F120" i="3"/>
  <c r="E120" i="3"/>
  <c r="B120" i="3"/>
  <c r="O119" i="3"/>
  <c r="I119" i="3"/>
  <c r="F119" i="3"/>
  <c r="K119" i="3" s="1"/>
  <c r="E119" i="3"/>
  <c r="B119" i="3"/>
  <c r="O118" i="3"/>
  <c r="K118" i="3"/>
  <c r="I118" i="3"/>
  <c r="F118" i="3"/>
  <c r="E118" i="3"/>
  <c r="B118" i="3"/>
  <c r="O117" i="3"/>
  <c r="I117" i="3"/>
  <c r="K117" i="3" s="1"/>
  <c r="F117" i="3"/>
  <c r="B117" i="3"/>
  <c r="E117" i="3" s="1"/>
  <c r="O116" i="3"/>
  <c r="I116" i="3"/>
  <c r="K116" i="3" s="1"/>
  <c r="F116" i="3"/>
  <c r="E116" i="3"/>
  <c r="B116" i="3"/>
  <c r="O115" i="3"/>
  <c r="I115" i="3"/>
  <c r="F115" i="3"/>
  <c r="K115" i="3" s="1"/>
  <c r="B115" i="3"/>
  <c r="E115" i="3" s="1"/>
  <c r="O114" i="3"/>
  <c r="I114" i="3"/>
  <c r="K114" i="3" s="1"/>
  <c r="F114" i="3"/>
  <c r="E114" i="3"/>
  <c r="B114" i="3"/>
  <c r="O113" i="3"/>
  <c r="I113" i="3"/>
  <c r="K113" i="3" s="1"/>
  <c r="F113" i="3"/>
  <c r="B113" i="3"/>
  <c r="E113" i="3" s="1"/>
  <c r="O112" i="3"/>
  <c r="I112" i="3"/>
  <c r="F112" i="3"/>
  <c r="E112" i="3"/>
  <c r="B112" i="3"/>
  <c r="O111" i="3"/>
  <c r="K111" i="3"/>
  <c r="I111" i="3"/>
  <c r="F111" i="3"/>
  <c r="E111" i="3"/>
  <c r="B111" i="3"/>
  <c r="O110" i="3"/>
  <c r="I110" i="3"/>
  <c r="K110" i="3" s="1"/>
  <c r="F110" i="3"/>
  <c r="B110" i="3"/>
  <c r="E110" i="3" s="1"/>
  <c r="O109" i="3"/>
  <c r="K109" i="3"/>
  <c r="I109" i="3"/>
  <c r="F109" i="3"/>
  <c r="B109" i="3"/>
  <c r="E109" i="3" s="1"/>
  <c r="O108" i="3"/>
  <c r="I108" i="3"/>
  <c r="F108" i="3"/>
  <c r="E108" i="3"/>
  <c r="B108" i="3"/>
  <c r="O107" i="3"/>
  <c r="K107" i="3"/>
  <c r="I107" i="3"/>
  <c r="F107" i="3"/>
  <c r="B107" i="3"/>
  <c r="E107" i="3" s="1"/>
  <c r="O106" i="3"/>
  <c r="I106" i="3"/>
  <c r="K106" i="3" s="1"/>
  <c r="F106" i="3"/>
  <c r="B106" i="3"/>
  <c r="E106" i="3" s="1"/>
  <c r="O105" i="3"/>
  <c r="I105" i="3"/>
  <c r="K105" i="3" s="1"/>
  <c r="F105" i="3"/>
  <c r="B105" i="3"/>
  <c r="E105" i="3" s="1"/>
  <c r="O104" i="3"/>
  <c r="I104" i="3"/>
  <c r="F104" i="3"/>
  <c r="E104" i="3"/>
  <c r="B104" i="3"/>
  <c r="O103" i="3"/>
  <c r="I103" i="3"/>
  <c r="F103" i="3"/>
  <c r="K103" i="3" s="1"/>
  <c r="E103" i="3"/>
  <c r="B103" i="3"/>
  <c r="O102" i="3"/>
  <c r="K102" i="3"/>
  <c r="I102" i="3"/>
  <c r="F102" i="3"/>
  <c r="E102" i="3"/>
  <c r="B102" i="3"/>
  <c r="O101" i="3"/>
  <c r="K101" i="3"/>
  <c r="I101" i="3"/>
  <c r="F101" i="3"/>
  <c r="B101" i="3"/>
  <c r="E101" i="3" s="1"/>
  <c r="O100" i="3"/>
  <c r="I100" i="3"/>
  <c r="F100" i="3"/>
  <c r="K100" i="3" s="1"/>
  <c r="E100" i="3"/>
  <c r="B100" i="3"/>
  <c r="O99" i="3"/>
  <c r="K99" i="3"/>
  <c r="I99" i="3"/>
  <c r="F99" i="3"/>
  <c r="B99" i="3"/>
  <c r="E99" i="3" s="1"/>
  <c r="O98" i="3"/>
  <c r="I98" i="3"/>
  <c r="F98" i="3"/>
  <c r="B98" i="3"/>
  <c r="E98" i="3" s="1"/>
  <c r="O97" i="3"/>
  <c r="I97" i="3"/>
  <c r="K97" i="3" s="1"/>
  <c r="F97" i="3"/>
  <c r="E97" i="3"/>
  <c r="B97" i="3"/>
  <c r="O96" i="3"/>
  <c r="I96" i="3"/>
  <c r="F96" i="3"/>
  <c r="K96" i="3" s="1"/>
  <c r="B96" i="3"/>
  <c r="E96" i="3" s="1"/>
  <c r="O95" i="3"/>
  <c r="I95" i="3"/>
  <c r="K95" i="3" s="1"/>
  <c r="F95" i="3"/>
  <c r="E95" i="3"/>
  <c r="B95" i="3"/>
  <c r="O94" i="3"/>
  <c r="I94" i="3"/>
  <c r="K94" i="3" s="1"/>
  <c r="F94" i="3"/>
  <c r="B94" i="3"/>
  <c r="E94" i="3" s="1"/>
  <c r="O93" i="3"/>
  <c r="I93" i="3"/>
  <c r="F93" i="3"/>
  <c r="E93" i="3"/>
  <c r="B93" i="3"/>
  <c r="O92" i="3"/>
  <c r="K92" i="3"/>
  <c r="I92" i="3"/>
  <c r="F92" i="3"/>
  <c r="B92" i="3"/>
  <c r="E92" i="3" s="1"/>
  <c r="O91" i="3"/>
  <c r="I91" i="3"/>
  <c r="K91" i="3" s="1"/>
  <c r="F91" i="3"/>
  <c r="B91" i="3"/>
  <c r="E91" i="3" s="1"/>
  <c r="O90" i="3"/>
  <c r="K90" i="3"/>
  <c r="I90" i="3"/>
  <c r="F90" i="3"/>
  <c r="B90" i="3"/>
  <c r="E90" i="3" s="1"/>
  <c r="O89" i="3"/>
  <c r="I89" i="3"/>
  <c r="F89" i="3"/>
  <c r="E89" i="3"/>
  <c r="B89" i="3"/>
  <c r="O88" i="3"/>
  <c r="K88" i="3"/>
  <c r="I88" i="3"/>
  <c r="F88" i="3"/>
  <c r="E88" i="3"/>
  <c r="B88" i="3"/>
  <c r="O87" i="3"/>
  <c r="I87" i="3"/>
  <c r="K87" i="3" s="1"/>
  <c r="F87" i="3"/>
  <c r="B87" i="3"/>
  <c r="E87" i="3" s="1"/>
  <c r="O86" i="3"/>
  <c r="I86" i="3"/>
  <c r="K86" i="3" s="1"/>
  <c r="F86" i="3"/>
  <c r="B86" i="3"/>
  <c r="E86" i="3" s="1"/>
  <c r="O85" i="3"/>
  <c r="I85" i="3"/>
  <c r="K85" i="3" s="1"/>
  <c r="F85" i="3"/>
  <c r="E85" i="3"/>
  <c r="B85" i="3"/>
  <c r="O84" i="3"/>
  <c r="I84" i="3"/>
  <c r="F84" i="3"/>
  <c r="K84" i="3" s="1"/>
  <c r="E84" i="3"/>
  <c r="B84" i="3"/>
  <c r="O83" i="3"/>
  <c r="K83" i="3"/>
  <c r="I83" i="3"/>
  <c r="F83" i="3"/>
  <c r="B83" i="3"/>
  <c r="E83" i="3" s="1"/>
  <c r="O82" i="3"/>
  <c r="I82" i="3"/>
  <c r="F82" i="3"/>
  <c r="B82" i="3"/>
  <c r="E82" i="3" s="1"/>
  <c r="O81" i="3"/>
  <c r="I81" i="3"/>
  <c r="K81" i="3" s="1"/>
  <c r="F81" i="3"/>
  <c r="E81" i="3"/>
  <c r="B81" i="3"/>
  <c r="O80" i="3"/>
  <c r="I80" i="3"/>
  <c r="F80" i="3"/>
  <c r="K80" i="3" s="1"/>
  <c r="B80" i="3"/>
  <c r="E80" i="3" s="1"/>
  <c r="O79" i="3"/>
  <c r="I79" i="3"/>
  <c r="K79" i="3" s="1"/>
  <c r="F79" i="3"/>
  <c r="E79" i="3"/>
  <c r="B79" i="3"/>
  <c r="O78" i="3"/>
  <c r="I78" i="3"/>
  <c r="K78" i="3" s="1"/>
  <c r="F78" i="3"/>
  <c r="B78" i="3"/>
  <c r="E78" i="3" s="1"/>
  <c r="O77" i="3"/>
  <c r="I77" i="3"/>
  <c r="F77" i="3"/>
  <c r="E77" i="3"/>
  <c r="B77" i="3"/>
  <c r="O76" i="3"/>
  <c r="K76" i="3"/>
  <c r="I76" i="3"/>
  <c r="F76" i="3"/>
  <c r="B76" i="3"/>
  <c r="E76" i="3" s="1"/>
  <c r="O75" i="3"/>
  <c r="I75" i="3"/>
  <c r="K75" i="3" s="1"/>
  <c r="F75" i="3"/>
  <c r="B75" i="3"/>
  <c r="E75" i="3" s="1"/>
  <c r="O74" i="3"/>
  <c r="K74" i="3"/>
  <c r="I74" i="3"/>
  <c r="F74" i="3"/>
  <c r="B74" i="3"/>
  <c r="E74" i="3" s="1"/>
  <c r="O73" i="3"/>
  <c r="I73" i="3"/>
  <c r="F73" i="3"/>
  <c r="E73" i="3"/>
  <c r="B73" i="3"/>
  <c r="O72" i="3"/>
  <c r="K72" i="3"/>
  <c r="I72" i="3"/>
  <c r="F72" i="3"/>
  <c r="E72" i="3"/>
  <c r="B72" i="3"/>
  <c r="O71" i="3"/>
  <c r="I71" i="3"/>
  <c r="K71" i="3" s="1"/>
  <c r="F71" i="3"/>
  <c r="B71" i="3"/>
  <c r="E71" i="3" s="1"/>
  <c r="O70" i="3"/>
  <c r="I70" i="3"/>
  <c r="K70" i="3" s="1"/>
  <c r="F70" i="3"/>
  <c r="B70" i="3"/>
  <c r="E70" i="3" s="1"/>
  <c r="O69" i="3"/>
  <c r="I69" i="3"/>
  <c r="K69" i="3" s="1"/>
  <c r="F69" i="3"/>
  <c r="E69" i="3"/>
  <c r="B69" i="3"/>
  <c r="O68" i="3"/>
  <c r="I68" i="3"/>
  <c r="F68" i="3"/>
  <c r="K68" i="3" s="1"/>
  <c r="E68" i="3"/>
  <c r="B68" i="3"/>
  <c r="O67" i="3"/>
  <c r="K67" i="3"/>
  <c r="I67" i="3"/>
  <c r="F67" i="3"/>
  <c r="B67" i="3"/>
  <c r="E67" i="3" s="1"/>
  <c r="O66" i="3"/>
  <c r="I66" i="3"/>
  <c r="F66" i="3"/>
  <c r="B66" i="3"/>
  <c r="E66" i="3" s="1"/>
  <c r="O65" i="3"/>
  <c r="I65" i="3"/>
  <c r="K65" i="3" s="1"/>
  <c r="F65" i="3"/>
  <c r="E65" i="3"/>
  <c r="B65" i="3"/>
  <c r="O64" i="3"/>
  <c r="I64" i="3"/>
  <c r="F64" i="3"/>
  <c r="K64" i="3" s="1"/>
  <c r="B64" i="3"/>
  <c r="E64" i="3" s="1"/>
  <c r="O63" i="3"/>
  <c r="I63" i="3"/>
  <c r="K63" i="3" s="1"/>
  <c r="F63" i="3"/>
  <c r="E63" i="3"/>
  <c r="B63" i="3"/>
  <c r="O62" i="3"/>
  <c r="I62" i="3"/>
  <c r="K62" i="3" s="1"/>
  <c r="F62" i="3"/>
  <c r="B62" i="3"/>
  <c r="E62" i="3" s="1"/>
  <c r="O61" i="3"/>
  <c r="I61" i="3"/>
  <c r="F61" i="3"/>
  <c r="E61" i="3"/>
  <c r="B61" i="3"/>
  <c r="O60" i="3"/>
  <c r="K60" i="3"/>
  <c r="I60" i="3"/>
  <c r="F60" i="3"/>
  <c r="B60" i="3"/>
  <c r="E60" i="3" s="1"/>
  <c r="O59" i="3"/>
  <c r="I59" i="3"/>
  <c r="K59" i="3" s="1"/>
  <c r="F59" i="3"/>
  <c r="B59" i="3"/>
  <c r="E59" i="3" s="1"/>
  <c r="O58" i="3"/>
  <c r="K58" i="3"/>
  <c r="I58" i="3"/>
  <c r="F58" i="3"/>
  <c r="B58" i="3"/>
  <c r="E58" i="3" s="1"/>
  <c r="O57" i="3"/>
  <c r="I57" i="3"/>
  <c r="F57" i="3"/>
  <c r="E57" i="3"/>
  <c r="B57" i="3"/>
  <c r="O56" i="3"/>
  <c r="K56" i="3"/>
  <c r="I56" i="3"/>
  <c r="F56" i="3"/>
  <c r="E56" i="3"/>
  <c r="B56" i="3"/>
  <c r="O55" i="3"/>
  <c r="I55" i="3"/>
  <c r="K55" i="3" s="1"/>
  <c r="F55" i="3"/>
  <c r="B55" i="3"/>
  <c r="E55" i="3" s="1"/>
  <c r="O54" i="3"/>
  <c r="I54" i="3"/>
  <c r="K54" i="3" s="1"/>
  <c r="F54" i="3"/>
  <c r="B54" i="3"/>
  <c r="E54" i="3" s="1"/>
  <c r="O53" i="3"/>
  <c r="I53" i="3"/>
  <c r="K53" i="3" s="1"/>
  <c r="F53" i="3"/>
  <c r="E53" i="3"/>
  <c r="B53" i="3"/>
  <c r="O52" i="3"/>
  <c r="I52" i="3"/>
  <c r="F52" i="3"/>
  <c r="K52" i="3" s="1"/>
  <c r="E52" i="3"/>
  <c r="B52" i="3"/>
  <c r="O51" i="3"/>
  <c r="K51" i="3"/>
  <c r="I51" i="3"/>
  <c r="F51" i="3"/>
  <c r="B51" i="3"/>
  <c r="E51" i="3" s="1"/>
  <c r="O50" i="3"/>
  <c r="I50" i="3"/>
  <c r="F50" i="3"/>
  <c r="B50" i="3"/>
  <c r="E50" i="3" s="1"/>
  <c r="O49" i="3"/>
  <c r="I49" i="3"/>
  <c r="K49" i="3" s="1"/>
  <c r="F49" i="3"/>
  <c r="E49" i="3"/>
  <c r="B49" i="3"/>
  <c r="O48" i="3"/>
  <c r="I48" i="3"/>
  <c r="F48" i="3"/>
  <c r="K48" i="3" s="1"/>
  <c r="B48" i="3"/>
  <c r="E48" i="3" s="1"/>
  <c r="O47" i="3"/>
  <c r="I47" i="3"/>
  <c r="K47" i="3" s="1"/>
  <c r="F47" i="3"/>
  <c r="E47" i="3"/>
  <c r="B47" i="3"/>
  <c r="O46" i="3"/>
  <c r="I46" i="3"/>
  <c r="K46" i="3" s="1"/>
  <c r="F46" i="3"/>
  <c r="B46" i="3"/>
  <c r="E46" i="3" s="1"/>
  <c r="O45" i="3"/>
  <c r="I45" i="3"/>
  <c r="F45" i="3"/>
  <c r="E45" i="3"/>
  <c r="B45" i="3"/>
  <c r="O44" i="3"/>
  <c r="K44" i="3"/>
  <c r="I44" i="3"/>
  <c r="F44" i="3"/>
  <c r="B44" i="3"/>
  <c r="E44" i="3" s="1"/>
  <c r="O43" i="3"/>
  <c r="I43" i="3"/>
  <c r="K43" i="3" s="1"/>
  <c r="F43" i="3"/>
  <c r="B43" i="3"/>
  <c r="E43" i="3" s="1"/>
  <c r="O42" i="3"/>
  <c r="K42" i="3"/>
  <c r="I42" i="3"/>
  <c r="F42" i="3"/>
  <c r="B42" i="3"/>
  <c r="E42" i="3" s="1"/>
  <c r="O41" i="3"/>
  <c r="I41" i="3"/>
  <c r="F41" i="3"/>
  <c r="E41" i="3"/>
  <c r="B41" i="3"/>
  <c r="O40" i="3"/>
  <c r="K40" i="3"/>
  <c r="I40" i="3"/>
  <c r="F40" i="3"/>
  <c r="E40" i="3"/>
  <c r="B40" i="3"/>
  <c r="O39" i="3"/>
  <c r="I39" i="3"/>
  <c r="K39" i="3" s="1"/>
  <c r="F39" i="3"/>
  <c r="B39" i="3"/>
  <c r="E39" i="3" s="1"/>
  <c r="O38" i="3"/>
  <c r="I38" i="3"/>
  <c r="K38" i="3" s="1"/>
  <c r="F38" i="3"/>
  <c r="B38" i="3"/>
  <c r="E38" i="3" s="1"/>
  <c r="O37" i="3"/>
  <c r="I37" i="3"/>
  <c r="K37" i="3" s="1"/>
  <c r="F37" i="3"/>
  <c r="E37" i="3"/>
  <c r="B37" i="3"/>
  <c r="O36" i="3"/>
  <c r="I36" i="3"/>
  <c r="F36" i="3"/>
  <c r="K36" i="3" s="1"/>
  <c r="E36" i="3"/>
  <c r="B36" i="3"/>
  <c r="O35" i="3"/>
  <c r="K35" i="3"/>
  <c r="I35" i="3"/>
  <c r="F35" i="3"/>
  <c r="B35" i="3"/>
  <c r="E35" i="3" s="1"/>
  <c r="O34" i="3"/>
  <c r="I34" i="3"/>
  <c r="F34" i="3"/>
  <c r="B34" i="3"/>
  <c r="E34" i="3" s="1"/>
  <c r="O33" i="3"/>
  <c r="I33" i="3"/>
  <c r="K33" i="3" s="1"/>
  <c r="F33" i="3"/>
  <c r="E33" i="3"/>
  <c r="B33" i="3"/>
  <c r="O32" i="3"/>
  <c r="I32" i="3"/>
  <c r="F32" i="3"/>
  <c r="K32" i="3" s="1"/>
  <c r="B32" i="3"/>
  <c r="E32" i="3" s="1"/>
  <c r="O31" i="3"/>
  <c r="I31" i="3"/>
  <c r="K31" i="3" s="1"/>
  <c r="F31" i="3"/>
  <c r="E31" i="3"/>
  <c r="B31" i="3"/>
  <c r="O30" i="3"/>
  <c r="I30" i="3"/>
  <c r="K30" i="3" s="1"/>
  <c r="F30" i="3"/>
  <c r="B30" i="3"/>
  <c r="E30" i="3" s="1"/>
  <c r="O29" i="3"/>
  <c r="I29" i="3"/>
  <c r="F29" i="3"/>
  <c r="E29" i="3"/>
  <c r="B29" i="3"/>
  <c r="O28" i="3"/>
  <c r="K28" i="3"/>
  <c r="I28" i="3"/>
  <c r="F28" i="3"/>
  <c r="B28" i="3"/>
  <c r="E28" i="3" s="1"/>
  <c r="O27" i="3"/>
  <c r="I27" i="3"/>
  <c r="K27" i="3" s="1"/>
  <c r="F27" i="3"/>
  <c r="B27" i="3"/>
  <c r="E27" i="3" s="1"/>
  <c r="O26" i="3"/>
  <c r="I26" i="3"/>
  <c r="F26" i="3"/>
  <c r="K26" i="3" s="1"/>
  <c r="B26" i="3"/>
  <c r="E26" i="3" s="1"/>
  <c r="O25" i="3"/>
  <c r="I25" i="3"/>
  <c r="F25" i="3"/>
  <c r="E25" i="3"/>
  <c r="B25" i="3"/>
  <c r="O24" i="3"/>
  <c r="I24" i="3"/>
  <c r="F24" i="3"/>
  <c r="K24" i="3" s="1"/>
  <c r="E24" i="3"/>
  <c r="B24" i="3"/>
  <c r="O23" i="3"/>
  <c r="K23" i="3"/>
  <c r="I23" i="3"/>
  <c r="F23" i="3"/>
  <c r="B23" i="3"/>
  <c r="E23" i="3" s="1"/>
  <c r="O22" i="3"/>
  <c r="I22" i="3"/>
  <c r="F22" i="3"/>
  <c r="B22" i="3"/>
  <c r="E22" i="3" s="1"/>
  <c r="O21" i="3"/>
  <c r="I21" i="3"/>
  <c r="F21" i="3"/>
  <c r="E21" i="3"/>
  <c r="B21" i="3"/>
  <c r="O20" i="3"/>
  <c r="I20" i="3"/>
  <c r="F20" i="3"/>
  <c r="K20" i="3" s="1"/>
  <c r="E20" i="3"/>
  <c r="B20" i="3"/>
  <c r="O19" i="3"/>
  <c r="K19" i="3"/>
  <c r="I19" i="3"/>
  <c r="F19" i="3"/>
  <c r="B19" i="3"/>
  <c r="E19" i="3" s="1"/>
  <c r="O18" i="3"/>
  <c r="I18" i="3"/>
  <c r="K18" i="3" s="1"/>
  <c r="F18" i="3"/>
  <c r="B18" i="3"/>
  <c r="E18" i="3" s="1"/>
  <c r="O17" i="3"/>
  <c r="I17" i="3"/>
  <c r="K17" i="3" s="1"/>
  <c r="F17" i="3"/>
  <c r="E17" i="3"/>
  <c r="B17" i="3"/>
  <c r="O16" i="3"/>
  <c r="K16" i="3"/>
  <c r="I16" i="3"/>
  <c r="F16" i="3"/>
  <c r="B16" i="3"/>
  <c r="E16" i="3" s="1"/>
  <c r="O15" i="3"/>
  <c r="I15" i="3"/>
  <c r="K15" i="3" s="1"/>
  <c r="F15" i="3"/>
  <c r="E15" i="3"/>
  <c r="B15" i="3"/>
  <c r="O14" i="3"/>
  <c r="I14" i="3"/>
  <c r="K14" i="3" s="1"/>
  <c r="F14" i="3"/>
  <c r="B14" i="3"/>
  <c r="E14" i="3" s="1"/>
  <c r="O13" i="3"/>
  <c r="I13" i="3"/>
  <c r="F13" i="3"/>
  <c r="E13" i="3"/>
  <c r="B13" i="3"/>
  <c r="O12" i="3"/>
  <c r="K12" i="3"/>
  <c r="I12" i="3"/>
  <c r="F12" i="3"/>
  <c r="B12" i="3"/>
  <c r="E12" i="3" s="1"/>
  <c r="O11" i="3"/>
  <c r="I11" i="3"/>
  <c r="K11" i="3" s="1"/>
  <c r="F11" i="3"/>
  <c r="B11" i="3"/>
  <c r="E11" i="3" s="1"/>
  <c r="O10" i="3"/>
  <c r="I10" i="3"/>
  <c r="F10" i="3"/>
  <c r="K10" i="3" s="1"/>
  <c r="B10" i="3"/>
  <c r="E10" i="3" s="1"/>
  <c r="O9" i="3"/>
  <c r="I9" i="3"/>
  <c r="F9" i="3"/>
  <c r="E9" i="3"/>
  <c r="B9" i="3"/>
  <c r="O8" i="3"/>
  <c r="I8" i="3"/>
  <c r="F8" i="3"/>
  <c r="K8" i="3" s="1"/>
  <c r="E8" i="3"/>
  <c r="B8" i="3"/>
  <c r="O7" i="3"/>
  <c r="K7" i="3"/>
  <c r="I7" i="3"/>
  <c r="F7" i="3"/>
  <c r="B7" i="3"/>
  <c r="E7" i="3" s="1"/>
  <c r="O6" i="3"/>
  <c r="I6" i="3"/>
  <c r="F6" i="3"/>
  <c r="B6" i="3"/>
  <c r="E6" i="3" s="1"/>
  <c r="O5" i="3"/>
  <c r="I5" i="3"/>
  <c r="F5" i="3"/>
  <c r="E5" i="3"/>
  <c r="B5" i="3"/>
  <c r="O4" i="3"/>
  <c r="I4" i="3"/>
  <c r="F4" i="3"/>
  <c r="K4" i="3" s="1"/>
  <c r="E4" i="3"/>
  <c r="B4" i="3"/>
  <c r="O3" i="3"/>
  <c r="K3" i="3"/>
  <c r="I3" i="3"/>
  <c r="F3" i="3"/>
  <c r="B3" i="3"/>
  <c r="E3" i="3" s="1"/>
  <c r="O2" i="3"/>
  <c r="I2" i="3"/>
  <c r="K2" i="3" s="1"/>
  <c r="F2" i="3"/>
  <c r="B2" i="3"/>
  <c r="E2" i="3" s="1"/>
  <c r="O303" i="1"/>
  <c r="N303" i="1"/>
  <c r="H303" i="1"/>
  <c r="G303" i="1"/>
  <c r="F303" i="1"/>
  <c r="J303" i="1" s="1"/>
  <c r="M303" i="1" s="1"/>
  <c r="C303" i="1"/>
  <c r="O302" i="1"/>
  <c r="N302" i="1"/>
  <c r="J302" i="1"/>
  <c r="M302" i="1" s="1"/>
  <c r="G302" i="1"/>
  <c r="F302" i="1"/>
  <c r="C302" i="1"/>
  <c r="H302" i="1" s="1"/>
  <c r="O301" i="1"/>
  <c r="N301" i="1"/>
  <c r="H301" i="1"/>
  <c r="G301" i="1"/>
  <c r="F301" i="1"/>
  <c r="J301" i="1" s="1"/>
  <c r="M301" i="1" s="1"/>
  <c r="C301" i="1"/>
  <c r="O300" i="1"/>
  <c r="N300" i="1"/>
  <c r="J300" i="1"/>
  <c r="M300" i="1" s="1"/>
  <c r="H300" i="1"/>
  <c r="G300" i="1"/>
  <c r="F300" i="1"/>
  <c r="C300" i="1"/>
  <c r="O299" i="1"/>
  <c r="N299" i="1"/>
  <c r="H299" i="1"/>
  <c r="G299" i="1"/>
  <c r="F299" i="1"/>
  <c r="J299" i="1" s="1"/>
  <c r="M299" i="1" s="1"/>
  <c r="C299" i="1"/>
  <c r="O298" i="1"/>
  <c r="N298" i="1"/>
  <c r="J298" i="1"/>
  <c r="M298" i="1" s="1"/>
  <c r="G298" i="1"/>
  <c r="F298" i="1"/>
  <c r="C298" i="1"/>
  <c r="H298" i="1" s="1"/>
  <c r="O297" i="1"/>
  <c r="N297" i="1"/>
  <c r="H297" i="1"/>
  <c r="G297" i="1"/>
  <c r="F297" i="1"/>
  <c r="J297" i="1" s="1"/>
  <c r="M297" i="1" s="1"/>
  <c r="C297" i="1"/>
  <c r="O296" i="1"/>
  <c r="N296" i="1"/>
  <c r="J296" i="1"/>
  <c r="M296" i="1" s="1"/>
  <c r="H296" i="1"/>
  <c r="G296" i="1"/>
  <c r="F296" i="1"/>
  <c r="C296" i="1"/>
  <c r="O295" i="1"/>
  <c r="N295" i="1"/>
  <c r="H295" i="1"/>
  <c r="G295" i="1"/>
  <c r="F295" i="1"/>
  <c r="J295" i="1" s="1"/>
  <c r="M295" i="1" s="1"/>
  <c r="C295" i="1"/>
  <c r="O294" i="1"/>
  <c r="N294" i="1"/>
  <c r="J294" i="1"/>
  <c r="M294" i="1" s="1"/>
  <c r="G294" i="1"/>
  <c r="F294" i="1"/>
  <c r="C294" i="1"/>
  <c r="H294" i="1" s="1"/>
  <c r="O293" i="1"/>
  <c r="N293" i="1"/>
  <c r="H293" i="1"/>
  <c r="G293" i="1"/>
  <c r="F293" i="1"/>
  <c r="J293" i="1" s="1"/>
  <c r="M293" i="1" s="1"/>
  <c r="C293" i="1"/>
  <c r="O292" i="1"/>
  <c r="N292" i="1"/>
  <c r="J292" i="1"/>
  <c r="M292" i="1" s="1"/>
  <c r="H292" i="1"/>
  <c r="G292" i="1"/>
  <c r="F292" i="1"/>
  <c r="C292" i="1"/>
  <c r="O291" i="1"/>
  <c r="N291" i="1"/>
  <c r="H291" i="1"/>
  <c r="G291" i="1"/>
  <c r="F291" i="1"/>
  <c r="J291" i="1" s="1"/>
  <c r="M291" i="1" s="1"/>
  <c r="C291" i="1"/>
  <c r="O290" i="1"/>
  <c r="N290" i="1"/>
  <c r="J290" i="1"/>
  <c r="M290" i="1" s="1"/>
  <c r="G290" i="1"/>
  <c r="F290" i="1"/>
  <c r="C290" i="1"/>
  <c r="H290" i="1" s="1"/>
  <c r="O289" i="1"/>
  <c r="N289" i="1"/>
  <c r="H289" i="1"/>
  <c r="G289" i="1"/>
  <c r="F289" i="1"/>
  <c r="J289" i="1" s="1"/>
  <c r="M289" i="1" s="1"/>
  <c r="C289" i="1"/>
  <c r="O288" i="1"/>
  <c r="N288" i="1"/>
  <c r="J288" i="1"/>
  <c r="M288" i="1" s="1"/>
  <c r="H288" i="1"/>
  <c r="G288" i="1"/>
  <c r="F288" i="1"/>
  <c r="C288" i="1"/>
  <c r="O287" i="1"/>
  <c r="N287" i="1"/>
  <c r="H287" i="1"/>
  <c r="G287" i="1"/>
  <c r="F287" i="1"/>
  <c r="J287" i="1" s="1"/>
  <c r="M287" i="1" s="1"/>
  <c r="C287" i="1"/>
  <c r="O286" i="1"/>
  <c r="N286" i="1"/>
  <c r="J286" i="1"/>
  <c r="M286" i="1" s="1"/>
  <c r="G286" i="1"/>
  <c r="F286" i="1"/>
  <c r="C286" i="1"/>
  <c r="H286" i="1" s="1"/>
  <c r="O285" i="1"/>
  <c r="N285" i="1"/>
  <c r="H285" i="1"/>
  <c r="G285" i="1"/>
  <c r="F285" i="1"/>
  <c r="J285" i="1" s="1"/>
  <c r="M285" i="1" s="1"/>
  <c r="C285" i="1"/>
  <c r="O284" i="1"/>
  <c r="N284" i="1"/>
  <c r="J284" i="1"/>
  <c r="M284" i="1" s="1"/>
  <c r="H284" i="1"/>
  <c r="G284" i="1"/>
  <c r="F284" i="1"/>
  <c r="C284" i="1"/>
  <c r="O283" i="1"/>
  <c r="N283" i="1"/>
  <c r="H283" i="1"/>
  <c r="G283" i="1"/>
  <c r="F283" i="1"/>
  <c r="J283" i="1" s="1"/>
  <c r="M283" i="1" s="1"/>
  <c r="C283" i="1"/>
  <c r="O282" i="1"/>
  <c r="N282" i="1"/>
  <c r="J282" i="1"/>
  <c r="M282" i="1" s="1"/>
  <c r="G282" i="1"/>
  <c r="F282" i="1"/>
  <c r="C282" i="1"/>
  <c r="H282" i="1" s="1"/>
  <c r="O281" i="1"/>
  <c r="N281" i="1"/>
  <c r="H281" i="1"/>
  <c r="G281" i="1"/>
  <c r="F281" i="1"/>
  <c r="J281" i="1" s="1"/>
  <c r="M281" i="1" s="1"/>
  <c r="C281" i="1"/>
  <c r="O280" i="1"/>
  <c r="N280" i="1"/>
  <c r="J280" i="1"/>
  <c r="M280" i="1" s="1"/>
  <c r="H280" i="1"/>
  <c r="G280" i="1"/>
  <c r="F280" i="1"/>
  <c r="C280" i="1"/>
  <c r="O279" i="1"/>
  <c r="N279" i="1"/>
  <c r="H279" i="1"/>
  <c r="G279" i="1"/>
  <c r="F279" i="1"/>
  <c r="J279" i="1" s="1"/>
  <c r="M279" i="1" s="1"/>
  <c r="C279" i="1"/>
  <c r="O278" i="1"/>
  <c r="N278" i="1"/>
  <c r="J278" i="1"/>
  <c r="M278" i="1" s="1"/>
  <c r="G278" i="1"/>
  <c r="F278" i="1"/>
  <c r="C278" i="1"/>
  <c r="H278" i="1" s="1"/>
  <c r="O277" i="1"/>
  <c r="N277" i="1"/>
  <c r="H277" i="1"/>
  <c r="G277" i="1"/>
  <c r="F277" i="1"/>
  <c r="J277" i="1" s="1"/>
  <c r="M277" i="1" s="1"/>
  <c r="C277" i="1"/>
  <c r="O276" i="1"/>
  <c r="N276" i="1"/>
  <c r="J276" i="1"/>
  <c r="M276" i="1" s="1"/>
  <c r="H276" i="1"/>
  <c r="G276" i="1"/>
  <c r="F276" i="1"/>
  <c r="C276" i="1"/>
  <c r="O275" i="1"/>
  <c r="N275" i="1"/>
  <c r="H275" i="1"/>
  <c r="G275" i="1"/>
  <c r="F275" i="1"/>
  <c r="J275" i="1" s="1"/>
  <c r="M275" i="1" s="1"/>
  <c r="C275" i="1"/>
  <c r="O274" i="1"/>
  <c r="N274" i="1"/>
  <c r="J274" i="1"/>
  <c r="M274" i="1" s="1"/>
  <c r="G274" i="1"/>
  <c r="F274" i="1"/>
  <c r="C274" i="1"/>
  <c r="H274" i="1" s="1"/>
  <c r="O273" i="1"/>
  <c r="N273" i="1"/>
  <c r="H273" i="1"/>
  <c r="G273" i="1"/>
  <c r="F273" i="1"/>
  <c r="J273" i="1" s="1"/>
  <c r="M273" i="1" s="1"/>
  <c r="C273" i="1"/>
  <c r="O272" i="1"/>
  <c r="N272" i="1"/>
  <c r="J272" i="1"/>
  <c r="M272" i="1" s="1"/>
  <c r="H272" i="1"/>
  <c r="G272" i="1"/>
  <c r="F272" i="1"/>
  <c r="C272" i="1"/>
  <c r="O271" i="1"/>
  <c r="N271" i="1"/>
  <c r="H271" i="1"/>
  <c r="G271" i="1"/>
  <c r="F271" i="1"/>
  <c r="J271" i="1" s="1"/>
  <c r="M271" i="1" s="1"/>
  <c r="C271" i="1"/>
  <c r="O270" i="1"/>
  <c r="N270" i="1"/>
  <c r="G270" i="1"/>
  <c r="F270" i="1"/>
  <c r="J270" i="1" s="1"/>
  <c r="M270" i="1" s="1"/>
  <c r="C270" i="1"/>
  <c r="H270" i="1" s="1"/>
  <c r="O269" i="1"/>
  <c r="N269" i="1"/>
  <c r="H269" i="1"/>
  <c r="G269" i="1"/>
  <c r="F269" i="1"/>
  <c r="J269" i="1" s="1"/>
  <c r="M269" i="1" s="1"/>
  <c r="C269" i="1"/>
  <c r="O268" i="1"/>
  <c r="N268" i="1"/>
  <c r="J268" i="1"/>
  <c r="M268" i="1" s="1"/>
  <c r="H268" i="1"/>
  <c r="G268" i="1"/>
  <c r="F268" i="1"/>
  <c r="C268" i="1"/>
  <c r="O267" i="1"/>
  <c r="N267" i="1"/>
  <c r="H267" i="1"/>
  <c r="G267" i="1"/>
  <c r="F267" i="1"/>
  <c r="J267" i="1" s="1"/>
  <c r="M267" i="1" s="1"/>
  <c r="C267" i="1"/>
  <c r="O266" i="1"/>
  <c r="N266" i="1"/>
  <c r="G266" i="1"/>
  <c r="F266" i="1"/>
  <c r="J266" i="1" s="1"/>
  <c r="M266" i="1" s="1"/>
  <c r="C266" i="1"/>
  <c r="H266" i="1" s="1"/>
  <c r="O265" i="1"/>
  <c r="N265" i="1"/>
  <c r="M265" i="1"/>
  <c r="H265" i="1"/>
  <c r="G265" i="1"/>
  <c r="F265" i="1"/>
  <c r="J265" i="1" s="1"/>
  <c r="C265" i="1"/>
  <c r="O264" i="1"/>
  <c r="N264" i="1"/>
  <c r="J264" i="1"/>
  <c r="M264" i="1" s="1"/>
  <c r="H264" i="1"/>
  <c r="G264" i="1"/>
  <c r="F264" i="1"/>
  <c r="C264" i="1"/>
  <c r="O263" i="1"/>
  <c r="N263" i="1"/>
  <c r="H263" i="1"/>
  <c r="G263" i="1"/>
  <c r="F263" i="1"/>
  <c r="J263" i="1" s="1"/>
  <c r="M263" i="1" s="1"/>
  <c r="C263" i="1"/>
  <c r="O262" i="1"/>
  <c r="N262" i="1"/>
  <c r="J262" i="1"/>
  <c r="M262" i="1" s="1"/>
  <c r="G262" i="1"/>
  <c r="F262" i="1"/>
  <c r="C262" i="1"/>
  <c r="H262" i="1" s="1"/>
  <c r="O261" i="1"/>
  <c r="N261" i="1"/>
  <c r="H261" i="1"/>
  <c r="G261" i="1"/>
  <c r="F261" i="1"/>
  <c r="J261" i="1" s="1"/>
  <c r="M261" i="1" s="1"/>
  <c r="C261" i="1"/>
  <c r="O260" i="1"/>
  <c r="N260" i="1"/>
  <c r="J260" i="1"/>
  <c r="M260" i="1" s="1"/>
  <c r="H260" i="1"/>
  <c r="G260" i="1"/>
  <c r="F260" i="1"/>
  <c r="C260" i="1"/>
  <c r="O259" i="1"/>
  <c r="N259" i="1"/>
  <c r="H259" i="1"/>
  <c r="G259" i="1"/>
  <c r="F259" i="1"/>
  <c r="J259" i="1" s="1"/>
  <c r="M259" i="1" s="1"/>
  <c r="C259" i="1"/>
  <c r="O258" i="1"/>
  <c r="N258" i="1"/>
  <c r="G258" i="1"/>
  <c r="F258" i="1"/>
  <c r="J258" i="1" s="1"/>
  <c r="M258" i="1" s="1"/>
  <c r="C258" i="1"/>
  <c r="H258" i="1" s="1"/>
  <c r="O257" i="1"/>
  <c r="N257" i="1"/>
  <c r="M257" i="1"/>
  <c r="H257" i="1"/>
  <c r="G257" i="1"/>
  <c r="F257" i="1"/>
  <c r="J257" i="1" s="1"/>
  <c r="C257" i="1"/>
  <c r="O256" i="1"/>
  <c r="N256" i="1"/>
  <c r="J256" i="1"/>
  <c r="M256" i="1" s="1"/>
  <c r="H256" i="1"/>
  <c r="G256" i="1"/>
  <c r="F256" i="1"/>
  <c r="C256" i="1"/>
  <c r="O255" i="1"/>
  <c r="N255" i="1"/>
  <c r="H255" i="1"/>
  <c r="G255" i="1"/>
  <c r="F255" i="1"/>
  <c r="J255" i="1" s="1"/>
  <c r="M255" i="1" s="1"/>
  <c r="C255" i="1"/>
  <c r="O254" i="1"/>
  <c r="N254" i="1"/>
  <c r="J254" i="1"/>
  <c r="M254" i="1" s="1"/>
  <c r="G254" i="1"/>
  <c r="F254" i="1"/>
  <c r="C254" i="1"/>
  <c r="H254" i="1" s="1"/>
  <c r="O253" i="1"/>
  <c r="N253" i="1"/>
  <c r="H253" i="1"/>
  <c r="G253" i="1"/>
  <c r="F253" i="1"/>
  <c r="J253" i="1" s="1"/>
  <c r="M253" i="1" s="1"/>
  <c r="C253" i="1"/>
  <c r="O252" i="1"/>
  <c r="N252" i="1"/>
  <c r="J252" i="1"/>
  <c r="M252" i="1" s="1"/>
  <c r="H252" i="1"/>
  <c r="G252" i="1"/>
  <c r="F252" i="1"/>
  <c r="C252" i="1"/>
  <c r="O251" i="1"/>
  <c r="N251" i="1"/>
  <c r="H251" i="1"/>
  <c r="G251" i="1"/>
  <c r="F251" i="1"/>
  <c r="J251" i="1" s="1"/>
  <c r="M251" i="1" s="1"/>
  <c r="C251" i="1"/>
  <c r="O250" i="1"/>
  <c r="N250" i="1"/>
  <c r="G250" i="1"/>
  <c r="F250" i="1"/>
  <c r="J250" i="1" s="1"/>
  <c r="M250" i="1" s="1"/>
  <c r="C250" i="1"/>
  <c r="H250" i="1" s="1"/>
  <c r="O249" i="1"/>
  <c r="N249" i="1"/>
  <c r="M249" i="1"/>
  <c r="J249" i="1"/>
  <c r="H249" i="1"/>
  <c r="G249" i="1"/>
  <c r="F249" i="1"/>
  <c r="C249" i="1"/>
  <c r="O248" i="1"/>
  <c r="N248" i="1"/>
  <c r="G248" i="1"/>
  <c r="F248" i="1"/>
  <c r="J248" i="1" s="1"/>
  <c r="M248" i="1" s="1"/>
  <c r="C248" i="1"/>
  <c r="H248" i="1" s="1"/>
  <c r="O247" i="1"/>
  <c r="N247" i="1"/>
  <c r="M247" i="1"/>
  <c r="J247" i="1"/>
  <c r="H247" i="1"/>
  <c r="G247" i="1"/>
  <c r="F247" i="1"/>
  <c r="C247" i="1"/>
  <c r="O246" i="1"/>
  <c r="N246" i="1"/>
  <c r="G246" i="1"/>
  <c r="F246" i="1"/>
  <c r="J246" i="1" s="1"/>
  <c r="M246" i="1" s="1"/>
  <c r="C246" i="1"/>
  <c r="H246" i="1" s="1"/>
  <c r="O245" i="1"/>
  <c r="N245" i="1"/>
  <c r="M245" i="1"/>
  <c r="J245" i="1"/>
  <c r="H245" i="1"/>
  <c r="G245" i="1"/>
  <c r="F245" i="1"/>
  <c r="C245" i="1"/>
  <c r="O244" i="1"/>
  <c r="N244" i="1"/>
  <c r="G244" i="1"/>
  <c r="F244" i="1"/>
  <c r="J244" i="1" s="1"/>
  <c r="M244" i="1" s="1"/>
  <c r="C244" i="1"/>
  <c r="H244" i="1" s="1"/>
  <c r="O243" i="1"/>
  <c r="N243" i="1"/>
  <c r="M243" i="1"/>
  <c r="J243" i="1"/>
  <c r="H243" i="1"/>
  <c r="G243" i="1"/>
  <c r="F243" i="1"/>
  <c r="C243" i="1"/>
  <c r="O242" i="1"/>
  <c r="N242" i="1"/>
  <c r="G242" i="1"/>
  <c r="F242" i="1"/>
  <c r="J242" i="1" s="1"/>
  <c r="M242" i="1" s="1"/>
  <c r="C242" i="1"/>
  <c r="H242" i="1" s="1"/>
  <c r="O241" i="1"/>
  <c r="N241" i="1"/>
  <c r="M241" i="1"/>
  <c r="J241" i="1"/>
  <c r="H241" i="1"/>
  <c r="G241" i="1"/>
  <c r="F241" i="1"/>
  <c r="C241" i="1"/>
  <c r="O240" i="1"/>
  <c r="N240" i="1"/>
  <c r="G240" i="1"/>
  <c r="F240" i="1"/>
  <c r="J240" i="1" s="1"/>
  <c r="M240" i="1" s="1"/>
  <c r="C240" i="1"/>
  <c r="H240" i="1" s="1"/>
  <c r="O239" i="1"/>
  <c r="N239" i="1"/>
  <c r="M239" i="1"/>
  <c r="J239" i="1"/>
  <c r="H239" i="1"/>
  <c r="G239" i="1"/>
  <c r="F239" i="1"/>
  <c r="C239" i="1"/>
  <c r="O238" i="1"/>
  <c r="N238" i="1"/>
  <c r="G238" i="1"/>
  <c r="F238" i="1"/>
  <c r="J238" i="1" s="1"/>
  <c r="M238" i="1" s="1"/>
  <c r="C238" i="1"/>
  <c r="H238" i="1" s="1"/>
  <c r="O237" i="1"/>
  <c r="N237" i="1"/>
  <c r="M237" i="1"/>
  <c r="J237" i="1"/>
  <c r="H237" i="1"/>
  <c r="G237" i="1"/>
  <c r="F237" i="1"/>
  <c r="C237" i="1"/>
  <c r="O236" i="1"/>
  <c r="N236" i="1"/>
  <c r="G236" i="1"/>
  <c r="F236" i="1"/>
  <c r="J236" i="1" s="1"/>
  <c r="M236" i="1" s="1"/>
  <c r="C236" i="1"/>
  <c r="H236" i="1" s="1"/>
  <c r="O235" i="1"/>
  <c r="N235" i="1"/>
  <c r="M235" i="1"/>
  <c r="J235" i="1"/>
  <c r="H235" i="1"/>
  <c r="G235" i="1"/>
  <c r="F235" i="1"/>
  <c r="C235" i="1"/>
  <c r="O234" i="1"/>
  <c r="N234" i="1"/>
  <c r="G234" i="1"/>
  <c r="F234" i="1"/>
  <c r="J234" i="1" s="1"/>
  <c r="M234" i="1" s="1"/>
  <c r="C234" i="1"/>
  <c r="H234" i="1" s="1"/>
  <c r="O233" i="1"/>
  <c r="N233" i="1"/>
  <c r="M233" i="1"/>
  <c r="J233" i="1"/>
  <c r="H233" i="1"/>
  <c r="G233" i="1"/>
  <c r="F233" i="1"/>
  <c r="C233" i="1"/>
  <c r="O232" i="1"/>
  <c r="N232" i="1"/>
  <c r="G232" i="1"/>
  <c r="F232" i="1"/>
  <c r="J232" i="1" s="1"/>
  <c r="M232" i="1" s="1"/>
  <c r="C232" i="1"/>
  <c r="H232" i="1" s="1"/>
  <c r="O231" i="1"/>
  <c r="N231" i="1"/>
  <c r="M231" i="1"/>
  <c r="J231" i="1"/>
  <c r="H231" i="1"/>
  <c r="G231" i="1"/>
  <c r="F231" i="1"/>
  <c r="C231" i="1"/>
  <c r="O230" i="1"/>
  <c r="N230" i="1"/>
  <c r="G230" i="1"/>
  <c r="F230" i="1"/>
  <c r="J230" i="1" s="1"/>
  <c r="M230" i="1" s="1"/>
  <c r="C230" i="1"/>
  <c r="H230" i="1" s="1"/>
  <c r="O229" i="1"/>
  <c r="N229" i="1"/>
  <c r="M229" i="1"/>
  <c r="J229" i="1"/>
  <c r="H229" i="1"/>
  <c r="G229" i="1"/>
  <c r="F229" i="1"/>
  <c r="C229" i="1"/>
  <c r="O228" i="1"/>
  <c r="N228" i="1"/>
  <c r="G228" i="1"/>
  <c r="F228" i="1"/>
  <c r="J228" i="1" s="1"/>
  <c r="M228" i="1" s="1"/>
  <c r="C228" i="1"/>
  <c r="H228" i="1" s="1"/>
  <c r="O227" i="1"/>
  <c r="N227" i="1"/>
  <c r="M227" i="1"/>
  <c r="J227" i="1"/>
  <c r="H227" i="1"/>
  <c r="G227" i="1"/>
  <c r="F227" i="1"/>
  <c r="C227" i="1"/>
  <c r="O226" i="1"/>
  <c r="N226" i="1"/>
  <c r="G226" i="1"/>
  <c r="F226" i="1"/>
  <c r="J226" i="1" s="1"/>
  <c r="M226" i="1" s="1"/>
  <c r="C226" i="1"/>
  <c r="H226" i="1" s="1"/>
  <c r="O225" i="1"/>
  <c r="N225" i="1"/>
  <c r="J225" i="1"/>
  <c r="M225" i="1" s="1"/>
  <c r="H225" i="1"/>
  <c r="G225" i="1"/>
  <c r="F225" i="1"/>
  <c r="C225" i="1"/>
  <c r="O224" i="1"/>
  <c r="N224" i="1"/>
  <c r="H224" i="1"/>
  <c r="G224" i="1"/>
  <c r="F224" i="1"/>
  <c r="J224" i="1" s="1"/>
  <c r="M224" i="1" s="1"/>
  <c r="C224" i="1"/>
  <c r="O223" i="1"/>
  <c r="N223" i="1"/>
  <c r="J223" i="1"/>
  <c r="M223" i="1" s="1"/>
  <c r="H223" i="1"/>
  <c r="G223" i="1"/>
  <c r="F223" i="1"/>
  <c r="C223" i="1"/>
  <c r="O222" i="1"/>
  <c r="N222" i="1"/>
  <c r="H222" i="1"/>
  <c r="G222" i="1"/>
  <c r="F222" i="1"/>
  <c r="J222" i="1" s="1"/>
  <c r="M222" i="1" s="1"/>
  <c r="C222" i="1"/>
  <c r="O221" i="1"/>
  <c r="N221" i="1"/>
  <c r="J221" i="1"/>
  <c r="M221" i="1" s="1"/>
  <c r="H221" i="1"/>
  <c r="G221" i="1"/>
  <c r="F221" i="1"/>
  <c r="C221" i="1"/>
  <c r="O220" i="1"/>
  <c r="N220" i="1"/>
  <c r="H220" i="1"/>
  <c r="G220" i="1"/>
  <c r="F220" i="1"/>
  <c r="J220" i="1" s="1"/>
  <c r="M220" i="1" s="1"/>
  <c r="C220" i="1"/>
  <c r="O219" i="1"/>
  <c r="N219" i="1"/>
  <c r="J219" i="1"/>
  <c r="M219" i="1" s="1"/>
  <c r="H219" i="1"/>
  <c r="G219" i="1"/>
  <c r="F219" i="1"/>
  <c r="C219" i="1"/>
  <c r="O218" i="1"/>
  <c r="N218" i="1"/>
  <c r="H218" i="1"/>
  <c r="G218" i="1"/>
  <c r="F218" i="1"/>
  <c r="J218" i="1" s="1"/>
  <c r="M218" i="1" s="1"/>
  <c r="C218" i="1"/>
  <c r="O217" i="1"/>
  <c r="N217" i="1"/>
  <c r="J217" i="1"/>
  <c r="M217" i="1" s="1"/>
  <c r="H217" i="1"/>
  <c r="G217" i="1"/>
  <c r="F217" i="1"/>
  <c r="C217" i="1"/>
  <c r="O216" i="1"/>
  <c r="N216" i="1"/>
  <c r="H216" i="1"/>
  <c r="G216" i="1"/>
  <c r="F216" i="1"/>
  <c r="J216" i="1" s="1"/>
  <c r="M216" i="1" s="1"/>
  <c r="C216" i="1"/>
  <c r="O215" i="1"/>
  <c r="N215" i="1"/>
  <c r="J215" i="1"/>
  <c r="M215" i="1" s="1"/>
  <c r="H215" i="1"/>
  <c r="G215" i="1"/>
  <c r="F215" i="1"/>
  <c r="C215" i="1"/>
  <c r="O214" i="1"/>
  <c r="N214" i="1"/>
  <c r="H214" i="1"/>
  <c r="G214" i="1"/>
  <c r="F214" i="1"/>
  <c r="J214" i="1" s="1"/>
  <c r="M214" i="1" s="1"/>
  <c r="C214" i="1"/>
  <c r="O213" i="1"/>
  <c r="N213" i="1"/>
  <c r="J213" i="1"/>
  <c r="M213" i="1" s="1"/>
  <c r="H213" i="1"/>
  <c r="G213" i="1"/>
  <c r="F213" i="1"/>
  <c r="C213" i="1"/>
  <c r="O212" i="1"/>
  <c r="N212" i="1"/>
  <c r="H212" i="1"/>
  <c r="G212" i="1"/>
  <c r="F212" i="1"/>
  <c r="J212" i="1" s="1"/>
  <c r="M212" i="1" s="1"/>
  <c r="C212" i="1"/>
  <c r="O211" i="1"/>
  <c r="N211" i="1"/>
  <c r="J211" i="1"/>
  <c r="M211" i="1" s="1"/>
  <c r="H211" i="1"/>
  <c r="G211" i="1"/>
  <c r="F211" i="1"/>
  <c r="C211" i="1"/>
  <c r="O210" i="1"/>
  <c r="N210" i="1"/>
  <c r="H210" i="1"/>
  <c r="G210" i="1"/>
  <c r="F210" i="1"/>
  <c r="J210" i="1" s="1"/>
  <c r="M210" i="1" s="1"/>
  <c r="C210" i="1"/>
  <c r="O209" i="1"/>
  <c r="N209" i="1"/>
  <c r="J209" i="1"/>
  <c r="M209" i="1" s="1"/>
  <c r="H209" i="1"/>
  <c r="G209" i="1"/>
  <c r="F209" i="1"/>
  <c r="C209" i="1"/>
  <c r="O208" i="1"/>
  <c r="N208" i="1"/>
  <c r="H208" i="1"/>
  <c r="G208" i="1"/>
  <c r="F208" i="1"/>
  <c r="J208" i="1" s="1"/>
  <c r="M208" i="1" s="1"/>
  <c r="C208" i="1"/>
  <c r="O207" i="1"/>
  <c r="N207" i="1"/>
  <c r="J207" i="1"/>
  <c r="M207" i="1" s="1"/>
  <c r="H207" i="1"/>
  <c r="G207" i="1"/>
  <c r="F207" i="1"/>
  <c r="C207" i="1"/>
  <c r="O206" i="1"/>
  <c r="N206" i="1"/>
  <c r="H206" i="1"/>
  <c r="G206" i="1"/>
  <c r="F206" i="1"/>
  <c r="J206" i="1" s="1"/>
  <c r="M206" i="1" s="1"/>
  <c r="C206" i="1"/>
  <c r="O205" i="1"/>
  <c r="N205" i="1"/>
  <c r="J205" i="1"/>
  <c r="M205" i="1" s="1"/>
  <c r="H205" i="1"/>
  <c r="G205" i="1"/>
  <c r="F205" i="1"/>
  <c r="C205" i="1"/>
  <c r="O204" i="1"/>
  <c r="N204" i="1"/>
  <c r="H204" i="1"/>
  <c r="G204" i="1"/>
  <c r="F204" i="1"/>
  <c r="J204" i="1" s="1"/>
  <c r="M204" i="1" s="1"/>
  <c r="C204" i="1"/>
  <c r="O203" i="1"/>
  <c r="N203" i="1"/>
  <c r="J203" i="1"/>
  <c r="M203" i="1" s="1"/>
  <c r="H203" i="1"/>
  <c r="G203" i="1"/>
  <c r="F203" i="1"/>
  <c r="C203" i="1"/>
  <c r="O202" i="1"/>
  <c r="N202" i="1"/>
  <c r="H202" i="1"/>
  <c r="G202" i="1"/>
  <c r="F202" i="1"/>
  <c r="J202" i="1" s="1"/>
  <c r="M202" i="1" s="1"/>
  <c r="C202" i="1"/>
  <c r="O201" i="1"/>
  <c r="N201" i="1"/>
  <c r="J201" i="1"/>
  <c r="M201" i="1" s="1"/>
  <c r="H201" i="1"/>
  <c r="G201" i="1"/>
  <c r="F201" i="1"/>
  <c r="C201" i="1"/>
  <c r="O200" i="1"/>
  <c r="N200" i="1"/>
  <c r="H200" i="1"/>
  <c r="G200" i="1"/>
  <c r="F200" i="1"/>
  <c r="J200" i="1" s="1"/>
  <c r="M200" i="1" s="1"/>
  <c r="C200" i="1"/>
  <c r="O199" i="1"/>
  <c r="N199" i="1"/>
  <c r="J199" i="1"/>
  <c r="M199" i="1" s="1"/>
  <c r="H199" i="1"/>
  <c r="G199" i="1"/>
  <c r="F199" i="1"/>
  <c r="C199" i="1"/>
  <c r="O198" i="1"/>
  <c r="N198" i="1"/>
  <c r="H198" i="1"/>
  <c r="G198" i="1"/>
  <c r="F198" i="1"/>
  <c r="J198" i="1" s="1"/>
  <c r="M198" i="1" s="1"/>
  <c r="C198" i="1"/>
  <c r="O197" i="1"/>
  <c r="N197" i="1"/>
  <c r="J197" i="1"/>
  <c r="M197" i="1" s="1"/>
  <c r="H197" i="1"/>
  <c r="G197" i="1"/>
  <c r="F197" i="1"/>
  <c r="C197" i="1"/>
  <c r="O196" i="1"/>
  <c r="N196" i="1"/>
  <c r="H196" i="1"/>
  <c r="G196" i="1"/>
  <c r="F196" i="1"/>
  <c r="J196" i="1" s="1"/>
  <c r="M196" i="1" s="1"/>
  <c r="C196" i="1"/>
  <c r="O195" i="1"/>
  <c r="N195" i="1"/>
  <c r="J195" i="1"/>
  <c r="M195" i="1" s="1"/>
  <c r="H195" i="1"/>
  <c r="G195" i="1"/>
  <c r="F195" i="1"/>
  <c r="C195" i="1"/>
  <c r="O194" i="1"/>
  <c r="N194" i="1"/>
  <c r="H194" i="1"/>
  <c r="G194" i="1"/>
  <c r="F194" i="1"/>
  <c r="J194" i="1" s="1"/>
  <c r="M194" i="1" s="1"/>
  <c r="C194" i="1"/>
  <c r="O193" i="1"/>
  <c r="N193" i="1"/>
  <c r="J193" i="1"/>
  <c r="M193" i="1" s="1"/>
  <c r="H193" i="1"/>
  <c r="G193" i="1"/>
  <c r="F193" i="1"/>
  <c r="C193" i="1"/>
  <c r="O192" i="1"/>
  <c r="N192" i="1"/>
  <c r="H192" i="1"/>
  <c r="G192" i="1"/>
  <c r="F192" i="1"/>
  <c r="J192" i="1" s="1"/>
  <c r="M192" i="1" s="1"/>
  <c r="C192" i="1"/>
  <c r="O191" i="1"/>
  <c r="N191" i="1"/>
  <c r="J191" i="1"/>
  <c r="M191" i="1" s="1"/>
  <c r="H191" i="1"/>
  <c r="G191" i="1"/>
  <c r="F191" i="1"/>
  <c r="C191" i="1"/>
  <c r="O190" i="1"/>
  <c r="N190" i="1"/>
  <c r="H190" i="1"/>
  <c r="G190" i="1"/>
  <c r="F190" i="1"/>
  <c r="J190" i="1" s="1"/>
  <c r="M190" i="1" s="1"/>
  <c r="C190" i="1"/>
  <c r="O189" i="1"/>
  <c r="N189" i="1"/>
  <c r="J189" i="1"/>
  <c r="M189" i="1" s="1"/>
  <c r="H189" i="1"/>
  <c r="G189" i="1"/>
  <c r="F189" i="1"/>
  <c r="C189" i="1"/>
  <c r="O188" i="1"/>
  <c r="N188" i="1"/>
  <c r="H188" i="1"/>
  <c r="G188" i="1"/>
  <c r="F188" i="1"/>
  <c r="J188" i="1" s="1"/>
  <c r="M188" i="1" s="1"/>
  <c r="C188" i="1"/>
  <c r="O187" i="1"/>
  <c r="N187" i="1"/>
  <c r="J187" i="1"/>
  <c r="M187" i="1" s="1"/>
  <c r="H187" i="1"/>
  <c r="G187" i="1"/>
  <c r="F187" i="1"/>
  <c r="C187" i="1"/>
  <c r="O186" i="1"/>
  <c r="N186" i="1"/>
  <c r="H186" i="1"/>
  <c r="G186" i="1"/>
  <c r="F186" i="1"/>
  <c r="J186" i="1" s="1"/>
  <c r="M186" i="1" s="1"/>
  <c r="C186" i="1"/>
  <c r="O185" i="1"/>
  <c r="N185" i="1"/>
  <c r="J185" i="1"/>
  <c r="M185" i="1" s="1"/>
  <c r="H185" i="1"/>
  <c r="G185" i="1"/>
  <c r="F185" i="1"/>
  <c r="C185" i="1"/>
  <c r="O184" i="1"/>
  <c r="N184" i="1"/>
  <c r="H184" i="1"/>
  <c r="G184" i="1"/>
  <c r="F184" i="1"/>
  <c r="J184" i="1" s="1"/>
  <c r="M184" i="1" s="1"/>
  <c r="C184" i="1"/>
  <c r="O183" i="1"/>
  <c r="N183" i="1"/>
  <c r="J183" i="1"/>
  <c r="M183" i="1" s="1"/>
  <c r="H183" i="1"/>
  <c r="G183" i="1"/>
  <c r="F183" i="1"/>
  <c r="C183" i="1"/>
  <c r="O182" i="1"/>
  <c r="N182" i="1"/>
  <c r="H182" i="1"/>
  <c r="G182" i="1"/>
  <c r="F182" i="1"/>
  <c r="J182" i="1" s="1"/>
  <c r="M182" i="1" s="1"/>
  <c r="C182" i="1"/>
  <c r="O181" i="1"/>
  <c r="N181" i="1"/>
  <c r="J181" i="1"/>
  <c r="M181" i="1" s="1"/>
  <c r="H181" i="1"/>
  <c r="G181" i="1"/>
  <c r="F181" i="1"/>
  <c r="C181" i="1"/>
  <c r="O180" i="1"/>
  <c r="N180" i="1"/>
  <c r="H180" i="1"/>
  <c r="G180" i="1"/>
  <c r="F180" i="1"/>
  <c r="J180" i="1" s="1"/>
  <c r="M180" i="1" s="1"/>
  <c r="C180" i="1"/>
  <c r="O179" i="1"/>
  <c r="N179" i="1"/>
  <c r="J179" i="1"/>
  <c r="M179" i="1" s="1"/>
  <c r="H179" i="1"/>
  <c r="G179" i="1"/>
  <c r="F179" i="1"/>
  <c r="C179" i="1"/>
  <c r="O178" i="1"/>
  <c r="N178" i="1"/>
  <c r="H178" i="1"/>
  <c r="G178" i="1"/>
  <c r="F178" i="1"/>
  <c r="J178" i="1" s="1"/>
  <c r="M178" i="1" s="1"/>
  <c r="C178" i="1"/>
  <c r="O177" i="1"/>
  <c r="N177" i="1"/>
  <c r="J177" i="1"/>
  <c r="M177" i="1" s="1"/>
  <c r="H177" i="1"/>
  <c r="G177" i="1"/>
  <c r="F177" i="1"/>
  <c r="C177" i="1"/>
  <c r="O176" i="1"/>
  <c r="N176" i="1"/>
  <c r="H176" i="1"/>
  <c r="G176" i="1"/>
  <c r="F176" i="1"/>
  <c r="J176" i="1" s="1"/>
  <c r="M176" i="1" s="1"/>
  <c r="C176" i="1"/>
  <c r="O175" i="1"/>
  <c r="N175" i="1"/>
  <c r="H175" i="1"/>
  <c r="G175" i="1"/>
  <c r="F175" i="1"/>
  <c r="J175" i="1" s="1"/>
  <c r="M175" i="1" s="1"/>
  <c r="C175" i="1"/>
  <c r="O174" i="1"/>
  <c r="N174" i="1"/>
  <c r="H174" i="1"/>
  <c r="G174" i="1"/>
  <c r="F174" i="1"/>
  <c r="J174" i="1" s="1"/>
  <c r="M174" i="1" s="1"/>
  <c r="C174" i="1"/>
  <c r="O173" i="1"/>
  <c r="N173" i="1"/>
  <c r="J173" i="1"/>
  <c r="M173" i="1" s="1"/>
  <c r="H173" i="1"/>
  <c r="G173" i="1"/>
  <c r="F173" i="1"/>
  <c r="C173" i="1"/>
  <c r="O172" i="1"/>
  <c r="N172" i="1"/>
  <c r="H172" i="1"/>
  <c r="G172" i="1"/>
  <c r="F172" i="1"/>
  <c r="J172" i="1" s="1"/>
  <c r="M172" i="1" s="1"/>
  <c r="C172" i="1"/>
  <c r="O171" i="1"/>
  <c r="N171" i="1"/>
  <c r="H171" i="1"/>
  <c r="G171" i="1"/>
  <c r="F171" i="1"/>
  <c r="J171" i="1" s="1"/>
  <c r="M171" i="1" s="1"/>
  <c r="C171" i="1"/>
  <c r="O170" i="1"/>
  <c r="N170" i="1"/>
  <c r="H170" i="1"/>
  <c r="G170" i="1"/>
  <c r="F170" i="1"/>
  <c r="J170" i="1" s="1"/>
  <c r="M170" i="1" s="1"/>
  <c r="C170" i="1"/>
  <c r="O169" i="1"/>
  <c r="N169" i="1"/>
  <c r="J169" i="1"/>
  <c r="M169" i="1" s="1"/>
  <c r="H169" i="1"/>
  <c r="G169" i="1"/>
  <c r="F169" i="1"/>
  <c r="C169" i="1"/>
  <c r="O168" i="1"/>
  <c r="N168" i="1"/>
  <c r="H168" i="1"/>
  <c r="G168" i="1"/>
  <c r="F168" i="1"/>
  <c r="J168" i="1" s="1"/>
  <c r="M168" i="1" s="1"/>
  <c r="C168" i="1"/>
  <c r="O167" i="1"/>
  <c r="N167" i="1"/>
  <c r="H167" i="1"/>
  <c r="G167" i="1"/>
  <c r="F167" i="1"/>
  <c r="J167" i="1" s="1"/>
  <c r="M167" i="1" s="1"/>
  <c r="C167" i="1"/>
  <c r="O166" i="1"/>
  <c r="N166" i="1"/>
  <c r="H166" i="1"/>
  <c r="G166" i="1"/>
  <c r="F166" i="1"/>
  <c r="J166" i="1" s="1"/>
  <c r="M166" i="1" s="1"/>
  <c r="C166" i="1"/>
  <c r="O165" i="1"/>
  <c r="N165" i="1"/>
  <c r="J165" i="1"/>
  <c r="M165" i="1" s="1"/>
  <c r="H165" i="1"/>
  <c r="G165" i="1"/>
  <c r="F165" i="1"/>
  <c r="C165" i="1"/>
  <c r="O164" i="1"/>
  <c r="N164" i="1"/>
  <c r="H164" i="1"/>
  <c r="G164" i="1"/>
  <c r="F164" i="1"/>
  <c r="J164" i="1" s="1"/>
  <c r="M164" i="1" s="1"/>
  <c r="C164" i="1"/>
  <c r="O163" i="1"/>
  <c r="N163" i="1"/>
  <c r="H163" i="1"/>
  <c r="G163" i="1"/>
  <c r="F163" i="1"/>
  <c r="J163" i="1" s="1"/>
  <c r="M163" i="1" s="1"/>
  <c r="C163" i="1"/>
  <c r="O162" i="1"/>
  <c r="N162" i="1"/>
  <c r="H162" i="1"/>
  <c r="G162" i="1"/>
  <c r="F162" i="1"/>
  <c r="J162" i="1" s="1"/>
  <c r="M162" i="1" s="1"/>
  <c r="C162" i="1"/>
  <c r="O161" i="1"/>
  <c r="N161" i="1"/>
  <c r="J161" i="1"/>
  <c r="M161" i="1" s="1"/>
  <c r="H161" i="1"/>
  <c r="G161" i="1"/>
  <c r="F161" i="1"/>
  <c r="C161" i="1"/>
  <c r="O160" i="1"/>
  <c r="N160" i="1"/>
  <c r="H160" i="1"/>
  <c r="G160" i="1"/>
  <c r="F160" i="1"/>
  <c r="J160" i="1" s="1"/>
  <c r="M160" i="1" s="1"/>
  <c r="C160" i="1"/>
  <c r="O159" i="1"/>
  <c r="N159" i="1"/>
  <c r="H159" i="1"/>
  <c r="G159" i="1"/>
  <c r="F159" i="1"/>
  <c r="J159" i="1" s="1"/>
  <c r="M159" i="1" s="1"/>
  <c r="C159" i="1"/>
  <c r="O158" i="1"/>
  <c r="N158" i="1"/>
  <c r="H158" i="1"/>
  <c r="G158" i="1"/>
  <c r="F158" i="1"/>
  <c r="J158" i="1" s="1"/>
  <c r="M158" i="1" s="1"/>
  <c r="C158" i="1"/>
  <c r="O157" i="1"/>
  <c r="N157" i="1"/>
  <c r="J157" i="1"/>
  <c r="M157" i="1" s="1"/>
  <c r="H157" i="1"/>
  <c r="G157" i="1"/>
  <c r="F157" i="1"/>
  <c r="C157" i="1"/>
  <c r="O156" i="1"/>
  <c r="N156" i="1"/>
  <c r="H156" i="1"/>
  <c r="G156" i="1"/>
  <c r="F156" i="1"/>
  <c r="J156" i="1" s="1"/>
  <c r="M156" i="1" s="1"/>
  <c r="C156" i="1"/>
  <c r="O155" i="1"/>
  <c r="N155" i="1"/>
  <c r="H155" i="1"/>
  <c r="G155" i="1"/>
  <c r="F155" i="1"/>
  <c r="J155" i="1" s="1"/>
  <c r="M155" i="1" s="1"/>
  <c r="C155" i="1"/>
  <c r="O154" i="1"/>
  <c r="N154" i="1"/>
  <c r="H154" i="1"/>
  <c r="G154" i="1"/>
  <c r="F154" i="1"/>
  <c r="J154" i="1" s="1"/>
  <c r="M154" i="1" s="1"/>
  <c r="C154" i="1"/>
  <c r="O153" i="1"/>
  <c r="N153" i="1"/>
  <c r="J153" i="1"/>
  <c r="M153" i="1" s="1"/>
  <c r="H153" i="1"/>
  <c r="G153" i="1"/>
  <c r="F153" i="1"/>
  <c r="C153" i="1"/>
  <c r="O152" i="1"/>
  <c r="N152" i="1"/>
  <c r="H152" i="1"/>
  <c r="G152" i="1"/>
  <c r="F152" i="1"/>
  <c r="J152" i="1" s="1"/>
  <c r="M152" i="1" s="1"/>
  <c r="C152" i="1"/>
  <c r="O151" i="1"/>
  <c r="N151" i="1"/>
  <c r="H151" i="1"/>
  <c r="G151" i="1"/>
  <c r="F151" i="1"/>
  <c r="J151" i="1" s="1"/>
  <c r="M151" i="1" s="1"/>
  <c r="C151" i="1"/>
  <c r="O150" i="1"/>
  <c r="N150" i="1"/>
  <c r="H150" i="1"/>
  <c r="G150" i="1"/>
  <c r="F150" i="1"/>
  <c r="J150" i="1" s="1"/>
  <c r="M150" i="1" s="1"/>
  <c r="C150" i="1"/>
  <c r="O149" i="1"/>
  <c r="N149" i="1"/>
  <c r="J149" i="1"/>
  <c r="M149" i="1" s="1"/>
  <c r="H149" i="1"/>
  <c r="G149" i="1"/>
  <c r="F149" i="1"/>
  <c r="C149" i="1"/>
  <c r="O148" i="1"/>
  <c r="N148" i="1"/>
  <c r="H148" i="1"/>
  <c r="G148" i="1"/>
  <c r="F148" i="1"/>
  <c r="J148" i="1" s="1"/>
  <c r="M148" i="1" s="1"/>
  <c r="C148" i="1"/>
  <c r="O147" i="1"/>
  <c r="N147" i="1"/>
  <c r="H147" i="1"/>
  <c r="G147" i="1"/>
  <c r="F147" i="1"/>
  <c r="J147" i="1" s="1"/>
  <c r="M147" i="1" s="1"/>
  <c r="C147" i="1"/>
  <c r="O146" i="1"/>
  <c r="N146" i="1"/>
  <c r="H146" i="1"/>
  <c r="G146" i="1"/>
  <c r="F146" i="1"/>
  <c r="J146" i="1" s="1"/>
  <c r="M146" i="1" s="1"/>
  <c r="C146" i="1"/>
  <c r="O145" i="1"/>
  <c r="N145" i="1"/>
  <c r="J145" i="1"/>
  <c r="M145" i="1" s="1"/>
  <c r="H145" i="1"/>
  <c r="G145" i="1"/>
  <c r="F145" i="1"/>
  <c r="C145" i="1"/>
  <c r="O144" i="1"/>
  <c r="N144" i="1"/>
  <c r="H144" i="1"/>
  <c r="G144" i="1"/>
  <c r="F144" i="1"/>
  <c r="J144" i="1" s="1"/>
  <c r="M144" i="1" s="1"/>
  <c r="C144" i="1"/>
  <c r="O143" i="1"/>
  <c r="N143" i="1"/>
  <c r="H143" i="1"/>
  <c r="G143" i="1"/>
  <c r="F143" i="1"/>
  <c r="J143" i="1" s="1"/>
  <c r="M143" i="1" s="1"/>
  <c r="C143" i="1"/>
  <c r="O142" i="1"/>
  <c r="N142" i="1"/>
  <c r="H142" i="1"/>
  <c r="G142" i="1"/>
  <c r="F142" i="1"/>
  <c r="J142" i="1" s="1"/>
  <c r="M142" i="1" s="1"/>
  <c r="C142" i="1"/>
  <c r="O141" i="1"/>
  <c r="N141" i="1"/>
  <c r="J141" i="1"/>
  <c r="M141" i="1" s="1"/>
  <c r="H141" i="1"/>
  <c r="G141" i="1"/>
  <c r="F141" i="1"/>
  <c r="C141" i="1"/>
  <c r="O140" i="1"/>
  <c r="N140" i="1"/>
  <c r="H140" i="1"/>
  <c r="G140" i="1"/>
  <c r="F140" i="1"/>
  <c r="J140" i="1" s="1"/>
  <c r="M140" i="1" s="1"/>
  <c r="C140" i="1"/>
  <c r="W139" i="1"/>
  <c r="O139" i="1"/>
  <c r="N139" i="1"/>
  <c r="J139" i="1"/>
  <c r="M139" i="1" s="1"/>
  <c r="G139" i="1"/>
  <c r="F139" i="1"/>
  <c r="C139" i="1"/>
  <c r="H139" i="1" s="1"/>
  <c r="W138" i="1"/>
  <c r="O138" i="1"/>
  <c r="N138" i="1"/>
  <c r="J138" i="1"/>
  <c r="M138" i="1" s="1"/>
  <c r="G138" i="1"/>
  <c r="F138" i="1"/>
  <c r="C138" i="1"/>
  <c r="H138" i="1" s="1"/>
  <c r="W137" i="1"/>
  <c r="O137" i="1"/>
  <c r="N137" i="1"/>
  <c r="M137" i="1"/>
  <c r="J137" i="1"/>
  <c r="H137" i="1"/>
  <c r="G137" i="1"/>
  <c r="F137" i="1"/>
  <c r="C137" i="1"/>
  <c r="W136" i="1"/>
  <c r="O136" i="1"/>
  <c r="N136" i="1"/>
  <c r="H136" i="1"/>
  <c r="G136" i="1"/>
  <c r="F136" i="1"/>
  <c r="J136" i="1" s="1"/>
  <c r="M136" i="1" s="1"/>
  <c r="C136" i="1"/>
  <c r="W135" i="1"/>
  <c r="O135" i="1"/>
  <c r="N135" i="1"/>
  <c r="M135" i="1"/>
  <c r="G135" i="1"/>
  <c r="F135" i="1"/>
  <c r="J135" i="1" s="1"/>
  <c r="C135" i="1"/>
  <c r="H135" i="1" s="1"/>
  <c r="W134" i="1"/>
  <c r="O134" i="1"/>
  <c r="N134" i="1"/>
  <c r="J134" i="1"/>
  <c r="M134" i="1" s="1"/>
  <c r="H134" i="1"/>
  <c r="G134" i="1"/>
  <c r="F134" i="1"/>
  <c r="C134" i="1"/>
  <c r="W133" i="1"/>
  <c r="O133" i="1"/>
  <c r="N133" i="1"/>
  <c r="J133" i="1"/>
  <c r="M133" i="1" s="1"/>
  <c r="G133" i="1"/>
  <c r="F133" i="1"/>
  <c r="C133" i="1"/>
  <c r="H133" i="1" s="1"/>
  <c r="W132" i="1"/>
  <c r="O132" i="1"/>
  <c r="N132" i="1"/>
  <c r="H132" i="1"/>
  <c r="G132" i="1"/>
  <c r="F132" i="1"/>
  <c r="J132" i="1" s="1"/>
  <c r="M132" i="1" s="1"/>
  <c r="C132" i="1"/>
  <c r="W131" i="1"/>
  <c r="O131" i="1"/>
  <c r="N131" i="1"/>
  <c r="G131" i="1"/>
  <c r="F131" i="1"/>
  <c r="J131" i="1" s="1"/>
  <c r="M131" i="1" s="1"/>
  <c r="C131" i="1"/>
  <c r="H131" i="1" s="1"/>
  <c r="W130" i="1"/>
  <c r="O130" i="1"/>
  <c r="N130" i="1"/>
  <c r="J130" i="1"/>
  <c r="M130" i="1" s="1"/>
  <c r="H130" i="1"/>
  <c r="G130" i="1"/>
  <c r="F130" i="1"/>
  <c r="C130" i="1"/>
  <c r="W129" i="1"/>
  <c r="O129" i="1"/>
  <c r="N129" i="1"/>
  <c r="J129" i="1"/>
  <c r="M129" i="1" s="1"/>
  <c r="H129" i="1"/>
  <c r="G129" i="1"/>
  <c r="F129" i="1"/>
  <c r="C129" i="1"/>
  <c r="W128" i="1"/>
  <c r="O128" i="1"/>
  <c r="N128" i="1"/>
  <c r="H128" i="1"/>
  <c r="G128" i="1"/>
  <c r="F128" i="1"/>
  <c r="J128" i="1" s="1"/>
  <c r="M128" i="1" s="1"/>
  <c r="C128" i="1"/>
  <c r="W127" i="1"/>
  <c r="O127" i="1"/>
  <c r="N127" i="1"/>
  <c r="J127" i="1"/>
  <c r="M127" i="1" s="1"/>
  <c r="G127" i="1"/>
  <c r="F127" i="1"/>
  <c r="C127" i="1"/>
  <c r="H127" i="1" s="1"/>
  <c r="W126" i="1"/>
  <c r="O126" i="1"/>
  <c r="N126" i="1"/>
  <c r="H126" i="1"/>
  <c r="G126" i="1"/>
  <c r="F126" i="1"/>
  <c r="J126" i="1" s="1"/>
  <c r="M126" i="1" s="1"/>
  <c r="C126" i="1"/>
  <c r="W125" i="1"/>
  <c r="O125" i="1"/>
  <c r="N125" i="1"/>
  <c r="J125" i="1"/>
  <c r="M125" i="1" s="1"/>
  <c r="H125" i="1"/>
  <c r="G125" i="1"/>
  <c r="F125" i="1"/>
  <c r="C125" i="1"/>
  <c r="W124" i="1"/>
  <c r="O124" i="1"/>
  <c r="N124" i="1"/>
  <c r="H124" i="1"/>
  <c r="G124" i="1"/>
  <c r="F124" i="1"/>
  <c r="J124" i="1" s="1"/>
  <c r="M124" i="1" s="1"/>
  <c r="C124" i="1"/>
  <c r="W123" i="1"/>
  <c r="O123" i="1"/>
  <c r="N123" i="1"/>
  <c r="J123" i="1"/>
  <c r="M123" i="1" s="1"/>
  <c r="G123" i="1"/>
  <c r="F123" i="1"/>
  <c r="C123" i="1"/>
  <c r="H123" i="1" s="1"/>
  <c r="W122" i="1"/>
  <c r="O122" i="1"/>
  <c r="N122" i="1"/>
  <c r="J122" i="1"/>
  <c r="M122" i="1" s="1"/>
  <c r="G122" i="1"/>
  <c r="F122" i="1"/>
  <c r="C122" i="1"/>
  <c r="H122" i="1" s="1"/>
  <c r="W121" i="1"/>
  <c r="O121" i="1"/>
  <c r="N121" i="1"/>
  <c r="M121" i="1"/>
  <c r="J121" i="1"/>
  <c r="H121" i="1"/>
  <c r="G121" i="1"/>
  <c r="F121" i="1"/>
  <c r="C121" i="1"/>
  <c r="W120" i="1"/>
  <c r="O120" i="1"/>
  <c r="N120" i="1"/>
  <c r="H120" i="1"/>
  <c r="G120" i="1"/>
  <c r="F120" i="1"/>
  <c r="J120" i="1" s="1"/>
  <c r="M120" i="1" s="1"/>
  <c r="C120" i="1"/>
  <c r="W119" i="1"/>
  <c r="O119" i="1"/>
  <c r="N119" i="1"/>
  <c r="M119" i="1"/>
  <c r="G119" i="1"/>
  <c r="F119" i="1"/>
  <c r="J119" i="1" s="1"/>
  <c r="C119" i="1"/>
  <c r="H119" i="1" s="1"/>
  <c r="W118" i="1"/>
  <c r="O118" i="1"/>
  <c r="N118" i="1"/>
  <c r="J118" i="1"/>
  <c r="M118" i="1" s="1"/>
  <c r="G118" i="1"/>
  <c r="F118" i="1"/>
  <c r="C118" i="1"/>
  <c r="H118" i="1" s="1"/>
  <c r="W117" i="1"/>
  <c r="O117" i="1"/>
  <c r="N117" i="1"/>
  <c r="M117" i="1"/>
  <c r="J117" i="1"/>
  <c r="G117" i="1"/>
  <c r="F117" i="1"/>
  <c r="C117" i="1"/>
  <c r="H117" i="1" s="1"/>
  <c r="W116" i="1"/>
  <c r="O116" i="1"/>
  <c r="N116" i="1"/>
  <c r="H116" i="1"/>
  <c r="G116" i="1"/>
  <c r="F116" i="1"/>
  <c r="J116" i="1" s="1"/>
  <c r="M116" i="1" s="1"/>
  <c r="C116" i="1"/>
  <c r="W115" i="1"/>
  <c r="O115" i="1"/>
  <c r="N115" i="1"/>
  <c r="M115" i="1"/>
  <c r="G115" i="1"/>
  <c r="F115" i="1"/>
  <c r="J115" i="1" s="1"/>
  <c r="C115" i="1"/>
  <c r="H115" i="1" s="1"/>
  <c r="W114" i="1"/>
  <c r="O114" i="1"/>
  <c r="N114" i="1"/>
  <c r="J114" i="1"/>
  <c r="M114" i="1" s="1"/>
  <c r="H114" i="1"/>
  <c r="G114" i="1"/>
  <c r="F114" i="1"/>
  <c r="C114" i="1"/>
  <c r="W113" i="1"/>
  <c r="O113" i="1"/>
  <c r="N113" i="1"/>
  <c r="J113" i="1"/>
  <c r="M113" i="1" s="1"/>
  <c r="G113" i="1"/>
  <c r="F113" i="1"/>
  <c r="C113" i="1"/>
  <c r="H113" i="1" s="1"/>
  <c r="W112" i="1"/>
  <c r="O112" i="1"/>
  <c r="N112" i="1"/>
  <c r="M112" i="1"/>
  <c r="H112" i="1"/>
  <c r="G112" i="1"/>
  <c r="F112" i="1"/>
  <c r="J112" i="1" s="1"/>
  <c r="C112" i="1"/>
  <c r="W111" i="1"/>
  <c r="O111" i="1"/>
  <c r="N111" i="1"/>
  <c r="J111" i="1"/>
  <c r="M111" i="1" s="1"/>
  <c r="G111" i="1"/>
  <c r="F111" i="1"/>
  <c r="C111" i="1"/>
  <c r="H111" i="1" s="1"/>
  <c r="W110" i="1"/>
  <c r="O110" i="1"/>
  <c r="N110" i="1"/>
  <c r="H110" i="1"/>
  <c r="G110" i="1"/>
  <c r="F110" i="1"/>
  <c r="J110" i="1" s="1"/>
  <c r="M110" i="1" s="1"/>
  <c r="C110" i="1"/>
  <c r="W109" i="1"/>
  <c r="O109" i="1"/>
  <c r="N109" i="1"/>
  <c r="J109" i="1"/>
  <c r="M109" i="1" s="1"/>
  <c r="H109" i="1"/>
  <c r="G109" i="1"/>
  <c r="F109" i="1"/>
  <c r="C109" i="1"/>
  <c r="W108" i="1"/>
  <c r="O108" i="1"/>
  <c r="N108" i="1"/>
  <c r="H108" i="1"/>
  <c r="G108" i="1"/>
  <c r="F108" i="1"/>
  <c r="J108" i="1" s="1"/>
  <c r="M108" i="1" s="1"/>
  <c r="C108" i="1"/>
  <c r="W107" i="1"/>
  <c r="O107" i="1"/>
  <c r="N107" i="1"/>
  <c r="J107" i="1"/>
  <c r="M107" i="1" s="1"/>
  <c r="G107" i="1"/>
  <c r="F107" i="1"/>
  <c r="C107" i="1"/>
  <c r="H107" i="1" s="1"/>
  <c r="W106" i="1"/>
  <c r="O106" i="1"/>
  <c r="N106" i="1"/>
  <c r="J106" i="1"/>
  <c r="M106" i="1" s="1"/>
  <c r="G106" i="1"/>
  <c r="F106" i="1"/>
  <c r="C106" i="1"/>
  <c r="H106" i="1" s="1"/>
  <c r="W105" i="1"/>
  <c r="O105" i="1"/>
  <c r="N105" i="1"/>
  <c r="M105" i="1"/>
  <c r="J105" i="1"/>
  <c r="H105" i="1"/>
  <c r="G105" i="1"/>
  <c r="F105" i="1"/>
  <c r="C105" i="1"/>
  <c r="W104" i="1"/>
  <c r="O104" i="1"/>
  <c r="N104" i="1"/>
  <c r="H104" i="1"/>
  <c r="G104" i="1"/>
  <c r="F104" i="1"/>
  <c r="J104" i="1" s="1"/>
  <c r="M104" i="1" s="1"/>
  <c r="C104" i="1"/>
  <c r="W103" i="1"/>
  <c r="O103" i="1"/>
  <c r="N103" i="1"/>
  <c r="G103" i="1"/>
  <c r="F103" i="1"/>
  <c r="J103" i="1" s="1"/>
  <c r="M103" i="1" s="1"/>
  <c r="C103" i="1"/>
  <c r="H103" i="1" s="1"/>
  <c r="W102" i="1"/>
  <c r="O102" i="1"/>
  <c r="N102" i="1"/>
  <c r="J102" i="1"/>
  <c r="M102" i="1" s="1"/>
  <c r="H102" i="1"/>
  <c r="G102" i="1"/>
  <c r="F102" i="1"/>
  <c r="C102" i="1"/>
  <c r="W101" i="1"/>
  <c r="O101" i="1"/>
  <c r="N101" i="1"/>
  <c r="J101" i="1"/>
  <c r="M101" i="1" s="1"/>
  <c r="G101" i="1"/>
  <c r="F101" i="1"/>
  <c r="C101" i="1"/>
  <c r="H101" i="1" s="1"/>
  <c r="W100" i="1"/>
  <c r="O100" i="1"/>
  <c r="N100" i="1"/>
  <c r="H100" i="1"/>
  <c r="G100" i="1"/>
  <c r="F100" i="1"/>
  <c r="J100" i="1" s="1"/>
  <c r="M100" i="1" s="1"/>
  <c r="C100" i="1"/>
  <c r="W99" i="1"/>
  <c r="O99" i="1"/>
  <c r="N99" i="1"/>
  <c r="G99" i="1"/>
  <c r="F99" i="1"/>
  <c r="J99" i="1" s="1"/>
  <c r="M99" i="1" s="1"/>
  <c r="C99" i="1"/>
  <c r="H99" i="1" s="1"/>
  <c r="W98" i="1"/>
  <c r="O98" i="1"/>
  <c r="N98" i="1"/>
  <c r="J98" i="1"/>
  <c r="M98" i="1" s="1"/>
  <c r="H98" i="1"/>
  <c r="G98" i="1"/>
  <c r="F98" i="1"/>
  <c r="C98" i="1"/>
  <c r="W97" i="1"/>
  <c r="O97" i="1"/>
  <c r="N97" i="1"/>
  <c r="J97" i="1"/>
  <c r="M97" i="1" s="1"/>
  <c r="H97" i="1"/>
  <c r="G97" i="1"/>
  <c r="F97" i="1"/>
  <c r="C97" i="1"/>
  <c r="W96" i="1"/>
  <c r="O96" i="1"/>
  <c r="N96" i="1"/>
  <c r="H96" i="1"/>
  <c r="G96" i="1"/>
  <c r="F96" i="1"/>
  <c r="J96" i="1" s="1"/>
  <c r="M96" i="1" s="1"/>
  <c r="C96" i="1"/>
  <c r="W95" i="1"/>
  <c r="O95" i="1"/>
  <c r="N95" i="1"/>
  <c r="J95" i="1"/>
  <c r="M95" i="1" s="1"/>
  <c r="G95" i="1"/>
  <c r="F95" i="1"/>
  <c r="C95" i="1"/>
  <c r="H95" i="1" s="1"/>
  <c r="W94" i="1"/>
  <c r="O94" i="1"/>
  <c r="N94" i="1"/>
  <c r="M94" i="1"/>
  <c r="J94" i="1"/>
  <c r="H94" i="1"/>
  <c r="G94" i="1"/>
  <c r="F94" i="1"/>
  <c r="C94" i="1"/>
  <c r="W93" i="1"/>
  <c r="O93" i="1"/>
  <c r="N93" i="1"/>
  <c r="H93" i="1"/>
  <c r="G93" i="1"/>
  <c r="K93" i="1" s="1"/>
  <c r="P93" i="1" s="1"/>
  <c r="F93" i="1"/>
  <c r="J93" i="1" s="1"/>
  <c r="M93" i="1" s="1"/>
  <c r="C93" i="1"/>
  <c r="W92" i="1"/>
  <c r="O92" i="1"/>
  <c r="N92" i="1"/>
  <c r="J92" i="1"/>
  <c r="M92" i="1" s="1"/>
  <c r="G92" i="1"/>
  <c r="F92" i="1"/>
  <c r="C92" i="1"/>
  <c r="H92" i="1" s="1"/>
  <c r="W91" i="1"/>
  <c r="O91" i="1"/>
  <c r="N91" i="1"/>
  <c r="J91" i="1"/>
  <c r="M91" i="1" s="1"/>
  <c r="G91" i="1"/>
  <c r="F91" i="1"/>
  <c r="C91" i="1"/>
  <c r="H91" i="1" s="1"/>
  <c r="W90" i="1"/>
  <c r="O90" i="1"/>
  <c r="N90" i="1"/>
  <c r="M90" i="1"/>
  <c r="J90" i="1"/>
  <c r="H90" i="1"/>
  <c r="G90" i="1"/>
  <c r="F90" i="1"/>
  <c r="C90" i="1"/>
  <c r="W89" i="1"/>
  <c r="O89" i="1"/>
  <c r="N89" i="1"/>
  <c r="H89" i="1"/>
  <c r="G89" i="1"/>
  <c r="K89" i="1" s="1"/>
  <c r="F89" i="1"/>
  <c r="J89" i="1" s="1"/>
  <c r="M89" i="1" s="1"/>
  <c r="C89" i="1"/>
  <c r="W88" i="1"/>
  <c r="O88" i="1"/>
  <c r="N88" i="1"/>
  <c r="J88" i="1"/>
  <c r="M88" i="1" s="1"/>
  <c r="G88" i="1"/>
  <c r="F88" i="1"/>
  <c r="C88" i="1"/>
  <c r="H88" i="1" s="1"/>
  <c r="W87" i="1"/>
  <c r="O87" i="1"/>
  <c r="N87" i="1"/>
  <c r="J87" i="1"/>
  <c r="M87" i="1" s="1"/>
  <c r="G87" i="1"/>
  <c r="F87" i="1"/>
  <c r="C87" i="1"/>
  <c r="H87" i="1" s="1"/>
  <c r="W86" i="1"/>
  <c r="O86" i="1"/>
  <c r="N86" i="1"/>
  <c r="M86" i="1"/>
  <c r="J86" i="1"/>
  <c r="H86" i="1"/>
  <c r="G86" i="1"/>
  <c r="F86" i="1"/>
  <c r="C86" i="1"/>
  <c r="W85" i="1"/>
  <c r="O85" i="1"/>
  <c r="N85" i="1"/>
  <c r="H85" i="1"/>
  <c r="G85" i="1"/>
  <c r="K85" i="1" s="1"/>
  <c r="F85" i="1"/>
  <c r="J85" i="1" s="1"/>
  <c r="M85" i="1" s="1"/>
  <c r="C85" i="1"/>
  <c r="W84" i="1"/>
  <c r="O84" i="1"/>
  <c r="N84" i="1"/>
  <c r="J84" i="1"/>
  <c r="M84" i="1" s="1"/>
  <c r="G84" i="1"/>
  <c r="F84" i="1"/>
  <c r="C84" i="1"/>
  <c r="H84" i="1" s="1"/>
  <c r="W83" i="1"/>
  <c r="O83" i="1"/>
  <c r="N83" i="1"/>
  <c r="J83" i="1"/>
  <c r="M83" i="1" s="1"/>
  <c r="G83" i="1"/>
  <c r="F83" i="1"/>
  <c r="C83" i="1"/>
  <c r="H83" i="1" s="1"/>
  <c r="W82" i="1"/>
  <c r="O82" i="1"/>
  <c r="N82" i="1"/>
  <c r="M82" i="1"/>
  <c r="J82" i="1"/>
  <c r="H82" i="1"/>
  <c r="G82" i="1"/>
  <c r="F82" i="1"/>
  <c r="C82" i="1"/>
  <c r="W81" i="1"/>
  <c r="O81" i="1"/>
  <c r="N81" i="1"/>
  <c r="H81" i="1"/>
  <c r="G81" i="1"/>
  <c r="K81" i="1" s="1"/>
  <c r="F81" i="1"/>
  <c r="J81" i="1" s="1"/>
  <c r="M81" i="1" s="1"/>
  <c r="C81" i="1"/>
  <c r="W80" i="1"/>
  <c r="O80" i="1"/>
  <c r="N80" i="1"/>
  <c r="J80" i="1"/>
  <c r="M80" i="1" s="1"/>
  <c r="G80" i="1"/>
  <c r="F80" i="1"/>
  <c r="C80" i="1"/>
  <c r="H80" i="1" s="1"/>
  <c r="W79" i="1"/>
  <c r="O79" i="1"/>
  <c r="N79" i="1"/>
  <c r="J79" i="1"/>
  <c r="M79" i="1" s="1"/>
  <c r="G79" i="1"/>
  <c r="F79" i="1"/>
  <c r="C79" i="1"/>
  <c r="H79" i="1" s="1"/>
  <c r="W78" i="1"/>
  <c r="O78" i="1"/>
  <c r="N78" i="1"/>
  <c r="M78" i="1"/>
  <c r="J78" i="1"/>
  <c r="H78" i="1"/>
  <c r="G78" i="1"/>
  <c r="F78" i="1"/>
  <c r="C78" i="1"/>
  <c r="W77" i="1"/>
  <c r="O77" i="1"/>
  <c r="N77" i="1"/>
  <c r="H77" i="1"/>
  <c r="G77" i="1"/>
  <c r="K77" i="1" s="1"/>
  <c r="F77" i="1"/>
  <c r="J77" i="1" s="1"/>
  <c r="M77" i="1" s="1"/>
  <c r="C77" i="1"/>
  <c r="W76" i="1"/>
  <c r="O76" i="1"/>
  <c r="N76" i="1"/>
  <c r="J76" i="1"/>
  <c r="M76" i="1" s="1"/>
  <c r="G76" i="1"/>
  <c r="F76" i="1"/>
  <c r="C76" i="1"/>
  <c r="H76" i="1" s="1"/>
  <c r="W75" i="1"/>
  <c r="O75" i="1"/>
  <c r="N75" i="1"/>
  <c r="J75" i="1"/>
  <c r="M75" i="1" s="1"/>
  <c r="G75" i="1"/>
  <c r="F75" i="1"/>
  <c r="C75" i="1"/>
  <c r="H75" i="1" s="1"/>
  <c r="W74" i="1"/>
  <c r="O74" i="1"/>
  <c r="N74" i="1"/>
  <c r="M74" i="1"/>
  <c r="J74" i="1"/>
  <c r="H74" i="1"/>
  <c r="G74" i="1"/>
  <c r="F74" i="1"/>
  <c r="C74" i="1"/>
  <c r="W73" i="1"/>
  <c r="O73" i="1"/>
  <c r="N73" i="1"/>
  <c r="H73" i="1"/>
  <c r="G73" i="1"/>
  <c r="K73" i="1" s="1"/>
  <c r="F73" i="1"/>
  <c r="J73" i="1" s="1"/>
  <c r="M73" i="1" s="1"/>
  <c r="C73" i="1"/>
  <c r="W72" i="1"/>
  <c r="O72" i="1"/>
  <c r="N72" i="1"/>
  <c r="J72" i="1"/>
  <c r="M72" i="1" s="1"/>
  <c r="G72" i="1"/>
  <c r="F72" i="1"/>
  <c r="C72" i="1"/>
  <c r="H72" i="1" s="1"/>
  <c r="W71" i="1"/>
  <c r="O71" i="1"/>
  <c r="N71" i="1"/>
  <c r="J71" i="1"/>
  <c r="M71" i="1" s="1"/>
  <c r="G71" i="1"/>
  <c r="F71" i="1"/>
  <c r="C71" i="1"/>
  <c r="H71" i="1" s="1"/>
  <c r="W70" i="1"/>
  <c r="O70" i="1"/>
  <c r="N70" i="1"/>
  <c r="M70" i="1"/>
  <c r="J70" i="1"/>
  <c r="H70" i="1"/>
  <c r="G70" i="1"/>
  <c r="F70" i="1"/>
  <c r="C70" i="1"/>
  <c r="W69" i="1"/>
  <c r="O69" i="1"/>
  <c r="N69" i="1"/>
  <c r="H69" i="1"/>
  <c r="G69" i="1"/>
  <c r="K69" i="1" s="1"/>
  <c r="F69" i="1"/>
  <c r="J69" i="1" s="1"/>
  <c r="M69" i="1" s="1"/>
  <c r="C69" i="1"/>
  <c r="W68" i="1"/>
  <c r="O68" i="1"/>
  <c r="N68" i="1"/>
  <c r="J68" i="1"/>
  <c r="M68" i="1" s="1"/>
  <c r="G68" i="1"/>
  <c r="F68" i="1"/>
  <c r="C68" i="1"/>
  <c r="H68" i="1" s="1"/>
  <c r="W67" i="1"/>
  <c r="O67" i="1"/>
  <c r="N67" i="1"/>
  <c r="J67" i="1"/>
  <c r="M67" i="1" s="1"/>
  <c r="G67" i="1"/>
  <c r="F67" i="1"/>
  <c r="C67" i="1"/>
  <c r="H67" i="1" s="1"/>
  <c r="W66" i="1"/>
  <c r="O66" i="1"/>
  <c r="N66" i="1"/>
  <c r="M66" i="1"/>
  <c r="J66" i="1"/>
  <c r="H66" i="1"/>
  <c r="G66" i="1"/>
  <c r="F66" i="1"/>
  <c r="C66" i="1"/>
  <c r="W65" i="1"/>
  <c r="O65" i="1"/>
  <c r="N65" i="1"/>
  <c r="H65" i="1"/>
  <c r="G65" i="1"/>
  <c r="K65" i="1" s="1"/>
  <c r="F65" i="1"/>
  <c r="J65" i="1" s="1"/>
  <c r="M65" i="1" s="1"/>
  <c r="C65" i="1"/>
  <c r="W64" i="1"/>
  <c r="O64" i="1"/>
  <c r="N64" i="1"/>
  <c r="J64" i="1"/>
  <c r="M64" i="1" s="1"/>
  <c r="G64" i="1"/>
  <c r="F64" i="1"/>
  <c r="C64" i="1"/>
  <c r="H64" i="1" s="1"/>
  <c r="W63" i="1"/>
  <c r="O63" i="1"/>
  <c r="N63" i="1"/>
  <c r="J63" i="1"/>
  <c r="M63" i="1" s="1"/>
  <c r="G63" i="1"/>
  <c r="F63" i="1"/>
  <c r="C63" i="1"/>
  <c r="H63" i="1" s="1"/>
  <c r="W62" i="1"/>
  <c r="O62" i="1"/>
  <c r="N62" i="1"/>
  <c r="M62" i="1"/>
  <c r="J62" i="1"/>
  <c r="H62" i="1"/>
  <c r="G62" i="1"/>
  <c r="F62" i="1"/>
  <c r="C62" i="1"/>
  <c r="W61" i="1"/>
  <c r="O61" i="1"/>
  <c r="N61" i="1"/>
  <c r="H61" i="1"/>
  <c r="G61" i="1"/>
  <c r="F61" i="1"/>
  <c r="J61" i="1" s="1"/>
  <c r="M61" i="1" s="1"/>
  <c r="C61" i="1"/>
  <c r="W60" i="1"/>
  <c r="O60" i="1"/>
  <c r="N60" i="1"/>
  <c r="G60" i="1"/>
  <c r="K60" i="1" s="1"/>
  <c r="F60" i="1"/>
  <c r="J60" i="1" s="1"/>
  <c r="M60" i="1" s="1"/>
  <c r="C60" i="1"/>
  <c r="H60" i="1" s="1"/>
  <c r="W59" i="1"/>
  <c r="O59" i="1"/>
  <c r="N59" i="1"/>
  <c r="H59" i="1"/>
  <c r="G59" i="1"/>
  <c r="F59" i="1"/>
  <c r="J59" i="1" s="1"/>
  <c r="M59" i="1" s="1"/>
  <c r="C59" i="1"/>
  <c r="W58" i="1"/>
  <c r="O58" i="1"/>
  <c r="N58" i="1"/>
  <c r="J58" i="1"/>
  <c r="M58" i="1" s="1"/>
  <c r="G58" i="1"/>
  <c r="F58" i="1"/>
  <c r="C58" i="1"/>
  <c r="H58" i="1" s="1"/>
  <c r="W57" i="1"/>
  <c r="O57" i="1"/>
  <c r="N57" i="1"/>
  <c r="H57" i="1"/>
  <c r="G57" i="1"/>
  <c r="K57" i="1" s="1"/>
  <c r="F57" i="1"/>
  <c r="J57" i="1" s="1"/>
  <c r="M57" i="1" s="1"/>
  <c r="C57" i="1"/>
  <c r="W56" i="1"/>
  <c r="O56" i="1"/>
  <c r="N56" i="1"/>
  <c r="G56" i="1"/>
  <c r="F56" i="1"/>
  <c r="J56" i="1" s="1"/>
  <c r="M56" i="1" s="1"/>
  <c r="C56" i="1"/>
  <c r="H56" i="1" s="1"/>
  <c r="W55" i="1"/>
  <c r="O55" i="1"/>
  <c r="N55" i="1"/>
  <c r="J55" i="1"/>
  <c r="M55" i="1" s="1"/>
  <c r="G55" i="1"/>
  <c r="F55" i="1"/>
  <c r="C55" i="1"/>
  <c r="H55" i="1" s="1"/>
  <c r="W54" i="1"/>
  <c r="O54" i="1"/>
  <c r="N54" i="1"/>
  <c r="M54" i="1"/>
  <c r="J54" i="1"/>
  <c r="H54" i="1"/>
  <c r="G54" i="1"/>
  <c r="F54" i="1"/>
  <c r="C54" i="1"/>
  <c r="W53" i="1"/>
  <c r="O53" i="1"/>
  <c r="N53" i="1"/>
  <c r="H53" i="1"/>
  <c r="G53" i="1"/>
  <c r="K53" i="1" s="1"/>
  <c r="F53" i="1"/>
  <c r="J53" i="1" s="1"/>
  <c r="M53" i="1" s="1"/>
  <c r="C53" i="1"/>
  <c r="W52" i="1"/>
  <c r="O52" i="1"/>
  <c r="N52" i="1"/>
  <c r="J52" i="1"/>
  <c r="M52" i="1" s="1"/>
  <c r="G52" i="1"/>
  <c r="F52" i="1"/>
  <c r="C52" i="1"/>
  <c r="H52" i="1" s="1"/>
  <c r="W51" i="1"/>
  <c r="O51" i="1"/>
  <c r="N51" i="1"/>
  <c r="H51" i="1"/>
  <c r="G51" i="1"/>
  <c r="F51" i="1"/>
  <c r="J51" i="1" s="1"/>
  <c r="M51" i="1" s="1"/>
  <c r="C51" i="1"/>
  <c r="W50" i="1"/>
  <c r="O50" i="1"/>
  <c r="N50" i="1"/>
  <c r="J50" i="1"/>
  <c r="M50" i="1" s="1"/>
  <c r="G50" i="1"/>
  <c r="F50" i="1"/>
  <c r="C50" i="1"/>
  <c r="H50" i="1" s="1"/>
  <c r="W49" i="1"/>
  <c r="O49" i="1"/>
  <c r="N49" i="1"/>
  <c r="H49" i="1"/>
  <c r="G49" i="1"/>
  <c r="F49" i="1"/>
  <c r="J49" i="1" s="1"/>
  <c r="M49" i="1" s="1"/>
  <c r="C49" i="1"/>
  <c r="W48" i="1"/>
  <c r="O48" i="1"/>
  <c r="N48" i="1"/>
  <c r="H48" i="1"/>
  <c r="G48" i="1"/>
  <c r="F48" i="1"/>
  <c r="J48" i="1" s="1"/>
  <c r="M48" i="1" s="1"/>
  <c r="C48" i="1"/>
  <c r="W47" i="1"/>
  <c r="O47" i="1"/>
  <c r="N47" i="1"/>
  <c r="M47" i="1"/>
  <c r="J47" i="1"/>
  <c r="G47" i="1"/>
  <c r="K47" i="1" s="1"/>
  <c r="P47" i="1" s="1"/>
  <c r="F47" i="1"/>
  <c r="C47" i="1"/>
  <c r="H47" i="1" s="1"/>
  <c r="W46" i="1"/>
  <c r="O46" i="1"/>
  <c r="N46" i="1"/>
  <c r="H46" i="1"/>
  <c r="G46" i="1"/>
  <c r="F46" i="1"/>
  <c r="J46" i="1" s="1"/>
  <c r="M46" i="1" s="1"/>
  <c r="C46" i="1"/>
  <c r="W45" i="1"/>
  <c r="O45" i="1"/>
  <c r="N45" i="1"/>
  <c r="J45" i="1"/>
  <c r="M45" i="1" s="1"/>
  <c r="G45" i="1"/>
  <c r="K45" i="1" s="1"/>
  <c r="F45" i="1"/>
  <c r="C45" i="1"/>
  <c r="H45" i="1" s="1"/>
  <c r="W44" i="1"/>
  <c r="O44" i="1"/>
  <c r="N44" i="1"/>
  <c r="H44" i="1"/>
  <c r="G44" i="1"/>
  <c r="F44" i="1"/>
  <c r="J44" i="1" s="1"/>
  <c r="M44" i="1" s="1"/>
  <c r="C44" i="1"/>
  <c r="W43" i="1"/>
  <c r="O43" i="1"/>
  <c r="N43" i="1"/>
  <c r="M43" i="1"/>
  <c r="J43" i="1"/>
  <c r="G43" i="1"/>
  <c r="K43" i="1" s="1"/>
  <c r="P43" i="1" s="1"/>
  <c r="F43" i="1"/>
  <c r="C43" i="1"/>
  <c r="H43" i="1" s="1"/>
  <c r="W42" i="1"/>
  <c r="O42" i="1"/>
  <c r="N42" i="1"/>
  <c r="H42" i="1"/>
  <c r="G42" i="1"/>
  <c r="F42" i="1"/>
  <c r="J42" i="1" s="1"/>
  <c r="M42" i="1" s="1"/>
  <c r="C42" i="1"/>
  <c r="W41" i="1"/>
  <c r="O41" i="1"/>
  <c r="N41" i="1"/>
  <c r="J41" i="1"/>
  <c r="M41" i="1" s="1"/>
  <c r="G41" i="1"/>
  <c r="K41" i="1" s="1"/>
  <c r="F41" i="1"/>
  <c r="C41" i="1"/>
  <c r="H41" i="1" s="1"/>
  <c r="W40" i="1"/>
  <c r="O40" i="1"/>
  <c r="N40" i="1"/>
  <c r="H40" i="1"/>
  <c r="G40" i="1"/>
  <c r="F40" i="1"/>
  <c r="J40" i="1" s="1"/>
  <c r="M40" i="1" s="1"/>
  <c r="C40" i="1"/>
  <c r="W39" i="1"/>
  <c r="O39" i="1"/>
  <c r="N39" i="1"/>
  <c r="M39" i="1"/>
  <c r="J39" i="1"/>
  <c r="G39" i="1"/>
  <c r="K39" i="1" s="1"/>
  <c r="F39" i="1"/>
  <c r="C39" i="1"/>
  <c r="H39" i="1" s="1"/>
  <c r="W38" i="1"/>
  <c r="O38" i="1"/>
  <c r="N38" i="1"/>
  <c r="H38" i="1"/>
  <c r="G38" i="1"/>
  <c r="F38" i="1"/>
  <c r="J38" i="1" s="1"/>
  <c r="M38" i="1" s="1"/>
  <c r="C38" i="1"/>
  <c r="W37" i="1"/>
  <c r="O37" i="1"/>
  <c r="N37" i="1"/>
  <c r="J37" i="1"/>
  <c r="M37" i="1" s="1"/>
  <c r="G37" i="1"/>
  <c r="K37" i="1" s="1"/>
  <c r="P37" i="1" s="1"/>
  <c r="F37" i="1"/>
  <c r="C37" i="1"/>
  <c r="H37" i="1" s="1"/>
  <c r="W36" i="1"/>
  <c r="O36" i="1"/>
  <c r="N36" i="1"/>
  <c r="H36" i="1"/>
  <c r="G36" i="1"/>
  <c r="F36" i="1"/>
  <c r="J36" i="1" s="1"/>
  <c r="M36" i="1" s="1"/>
  <c r="C36" i="1"/>
  <c r="W35" i="1"/>
  <c r="O35" i="1"/>
  <c r="N35" i="1"/>
  <c r="M35" i="1"/>
  <c r="J35" i="1"/>
  <c r="G35" i="1"/>
  <c r="K35" i="1" s="1"/>
  <c r="F35" i="1"/>
  <c r="C35" i="1"/>
  <c r="H35" i="1" s="1"/>
  <c r="W34" i="1"/>
  <c r="O34" i="1"/>
  <c r="N34" i="1"/>
  <c r="H34" i="1"/>
  <c r="G34" i="1"/>
  <c r="F34" i="1"/>
  <c r="J34" i="1" s="1"/>
  <c r="M34" i="1" s="1"/>
  <c r="C34" i="1"/>
  <c r="W33" i="1"/>
  <c r="O33" i="1"/>
  <c r="N33" i="1"/>
  <c r="J33" i="1"/>
  <c r="M33" i="1" s="1"/>
  <c r="G33" i="1"/>
  <c r="K33" i="1" s="1"/>
  <c r="F33" i="1"/>
  <c r="C33" i="1"/>
  <c r="H33" i="1" s="1"/>
  <c r="W32" i="1"/>
  <c r="O32" i="1"/>
  <c r="N32" i="1"/>
  <c r="H32" i="1"/>
  <c r="G32" i="1"/>
  <c r="F32" i="1"/>
  <c r="J32" i="1" s="1"/>
  <c r="M32" i="1" s="1"/>
  <c r="C32" i="1"/>
  <c r="Z31" i="1"/>
  <c r="W31" i="1"/>
  <c r="O31" i="1"/>
  <c r="N31" i="1"/>
  <c r="H31" i="1"/>
  <c r="G31" i="1"/>
  <c r="F31" i="1"/>
  <c r="J31" i="1" s="1"/>
  <c r="M31" i="1" s="1"/>
  <c r="C31" i="1"/>
  <c r="Z30" i="1"/>
  <c r="W30" i="1"/>
  <c r="O30" i="1"/>
  <c r="N30" i="1"/>
  <c r="H30" i="1"/>
  <c r="G30" i="1"/>
  <c r="F30" i="1"/>
  <c r="J30" i="1" s="1"/>
  <c r="M30" i="1" s="1"/>
  <c r="C30" i="1"/>
  <c r="Z29" i="1"/>
  <c r="W29" i="1"/>
  <c r="O29" i="1"/>
  <c r="N29" i="1"/>
  <c r="H29" i="1"/>
  <c r="G29" i="1"/>
  <c r="F29" i="1"/>
  <c r="J29" i="1" s="1"/>
  <c r="M29" i="1" s="1"/>
  <c r="C29" i="1"/>
  <c r="Z28" i="1"/>
  <c r="W28" i="1"/>
  <c r="O28" i="1"/>
  <c r="N28" i="1"/>
  <c r="H28" i="1"/>
  <c r="G28" i="1"/>
  <c r="F28" i="1"/>
  <c r="J28" i="1" s="1"/>
  <c r="M28" i="1" s="1"/>
  <c r="C28" i="1"/>
  <c r="Z27" i="1"/>
  <c r="W27" i="1"/>
  <c r="O27" i="1"/>
  <c r="N27" i="1"/>
  <c r="H27" i="1"/>
  <c r="G27" i="1"/>
  <c r="F27" i="1"/>
  <c r="J27" i="1" s="1"/>
  <c r="M27" i="1" s="1"/>
  <c r="C27" i="1"/>
  <c r="Z26" i="1"/>
  <c r="W26" i="1"/>
  <c r="O26" i="1"/>
  <c r="N26" i="1"/>
  <c r="H26" i="1"/>
  <c r="G26" i="1"/>
  <c r="F26" i="1"/>
  <c r="J26" i="1" s="1"/>
  <c r="M26" i="1" s="1"/>
  <c r="C26" i="1"/>
  <c r="Z25" i="1"/>
  <c r="W25" i="1"/>
  <c r="O25" i="1"/>
  <c r="N25" i="1"/>
  <c r="H25" i="1"/>
  <c r="G25" i="1"/>
  <c r="F25" i="1"/>
  <c r="J25" i="1" s="1"/>
  <c r="M25" i="1" s="1"/>
  <c r="C25" i="1"/>
  <c r="Z24" i="1"/>
  <c r="W24" i="1"/>
  <c r="O24" i="1"/>
  <c r="N24" i="1"/>
  <c r="H24" i="1"/>
  <c r="G24" i="1"/>
  <c r="F24" i="1"/>
  <c r="J24" i="1" s="1"/>
  <c r="M24" i="1" s="1"/>
  <c r="C24" i="1"/>
  <c r="Z23" i="1"/>
  <c r="W23" i="1"/>
  <c r="O23" i="1"/>
  <c r="N23" i="1"/>
  <c r="H23" i="1"/>
  <c r="G23" i="1"/>
  <c r="F23" i="1"/>
  <c r="J23" i="1" s="1"/>
  <c r="M23" i="1" s="1"/>
  <c r="C23" i="1"/>
  <c r="Z22" i="1"/>
  <c r="W22" i="1"/>
  <c r="O22" i="1"/>
  <c r="N22" i="1"/>
  <c r="H22" i="1"/>
  <c r="G22" i="1"/>
  <c r="F22" i="1"/>
  <c r="J22" i="1" s="1"/>
  <c r="M22" i="1" s="1"/>
  <c r="C22" i="1"/>
  <c r="Z21" i="1"/>
  <c r="W21" i="1"/>
  <c r="O21" i="1"/>
  <c r="N21" i="1"/>
  <c r="H21" i="1"/>
  <c r="G21" i="1"/>
  <c r="F21" i="1"/>
  <c r="J21" i="1" s="1"/>
  <c r="M21" i="1" s="1"/>
  <c r="C21" i="1"/>
  <c r="Z20" i="1"/>
  <c r="W20" i="1"/>
  <c r="O20" i="1"/>
  <c r="N20" i="1"/>
  <c r="H20" i="1"/>
  <c r="G20" i="1"/>
  <c r="F20" i="1"/>
  <c r="J20" i="1" s="1"/>
  <c r="M20" i="1" s="1"/>
  <c r="C20" i="1"/>
  <c r="Z19" i="1"/>
  <c r="W19" i="1"/>
  <c r="O19" i="1"/>
  <c r="N19" i="1"/>
  <c r="H19" i="1"/>
  <c r="G19" i="1"/>
  <c r="F19" i="1"/>
  <c r="J19" i="1" s="1"/>
  <c r="M19" i="1" s="1"/>
  <c r="C19" i="1"/>
  <c r="Z18" i="1"/>
  <c r="W18" i="1"/>
  <c r="O18" i="1"/>
  <c r="N18" i="1"/>
  <c r="H18" i="1"/>
  <c r="G18" i="1"/>
  <c r="F18" i="1"/>
  <c r="J18" i="1" s="1"/>
  <c r="M18" i="1" s="1"/>
  <c r="C18" i="1"/>
  <c r="Z17" i="1"/>
  <c r="W17" i="1"/>
  <c r="O17" i="1"/>
  <c r="N17" i="1"/>
  <c r="H17" i="1"/>
  <c r="G17" i="1"/>
  <c r="F17" i="1"/>
  <c r="J17" i="1" s="1"/>
  <c r="M17" i="1" s="1"/>
  <c r="C17" i="1"/>
  <c r="Z16" i="1"/>
  <c r="W16" i="1"/>
  <c r="O16" i="1"/>
  <c r="N16" i="1"/>
  <c r="H16" i="1"/>
  <c r="G16" i="1"/>
  <c r="F16" i="1"/>
  <c r="J16" i="1" s="1"/>
  <c r="M16" i="1" s="1"/>
  <c r="C16" i="1"/>
  <c r="Z15" i="1"/>
  <c r="W15" i="1"/>
  <c r="O15" i="1"/>
  <c r="N15" i="1"/>
  <c r="H15" i="1"/>
  <c r="G15" i="1"/>
  <c r="F15" i="1"/>
  <c r="J15" i="1" s="1"/>
  <c r="M15" i="1" s="1"/>
  <c r="C15" i="1"/>
  <c r="Z14" i="1"/>
  <c r="W14" i="1"/>
  <c r="O14" i="1"/>
  <c r="N14" i="1"/>
  <c r="H14" i="1"/>
  <c r="G14" i="1"/>
  <c r="F14" i="1"/>
  <c r="J14" i="1" s="1"/>
  <c r="M14" i="1" s="1"/>
  <c r="C14" i="1"/>
  <c r="Z13" i="1"/>
  <c r="W13" i="1"/>
  <c r="O13" i="1"/>
  <c r="N13" i="1"/>
  <c r="H13" i="1"/>
  <c r="G13" i="1"/>
  <c r="F13" i="1"/>
  <c r="J13" i="1" s="1"/>
  <c r="M13" i="1" s="1"/>
  <c r="C13" i="1"/>
  <c r="Z12" i="1"/>
  <c r="W12" i="1"/>
  <c r="O12" i="1"/>
  <c r="N12" i="1"/>
  <c r="J12" i="1"/>
  <c r="M12" i="1" s="1"/>
  <c r="G12" i="1"/>
  <c r="K12" i="1" s="1"/>
  <c r="P12" i="1" s="1"/>
  <c r="F12" i="1"/>
  <c r="C12" i="1"/>
  <c r="H12" i="1" s="1"/>
  <c r="Z11" i="1"/>
  <c r="W11" i="1"/>
  <c r="O11" i="1"/>
  <c r="N11" i="1"/>
  <c r="H11" i="1"/>
  <c r="G11" i="1"/>
  <c r="F11" i="1"/>
  <c r="J11" i="1" s="1"/>
  <c r="M11" i="1" s="1"/>
  <c r="C11" i="1"/>
  <c r="Z10" i="1"/>
  <c r="W10" i="1"/>
  <c r="O10" i="1"/>
  <c r="N10" i="1"/>
  <c r="H10" i="1"/>
  <c r="G10" i="1"/>
  <c r="F10" i="1"/>
  <c r="J10" i="1" s="1"/>
  <c r="M10" i="1" s="1"/>
  <c r="C10" i="1"/>
  <c r="Z9" i="1"/>
  <c r="W9" i="1"/>
  <c r="O9" i="1"/>
  <c r="N9" i="1"/>
  <c r="H9" i="1"/>
  <c r="G9" i="1"/>
  <c r="F9" i="1"/>
  <c r="J9" i="1" s="1"/>
  <c r="M9" i="1" s="1"/>
  <c r="C9" i="1"/>
  <c r="Z8" i="1"/>
  <c r="W8" i="1"/>
  <c r="O8" i="1"/>
  <c r="N8" i="1"/>
  <c r="H8" i="1"/>
  <c r="G8" i="1"/>
  <c r="F8" i="1"/>
  <c r="J8" i="1" s="1"/>
  <c r="M8" i="1" s="1"/>
  <c r="C8" i="1"/>
  <c r="AC7" i="1"/>
  <c r="AC11" i="1" s="1"/>
  <c r="AC12" i="1" s="1"/>
  <c r="Z7" i="1"/>
  <c r="W7" i="1"/>
  <c r="O7" i="1"/>
  <c r="N7" i="1"/>
  <c r="M7" i="1"/>
  <c r="J7" i="1"/>
  <c r="G7" i="1"/>
  <c r="K7" i="1" s="1"/>
  <c r="F7" i="1"/>
  <c r="C7" i="1"/>
  <c r="H7" i="1" s="1"/>
  <c r="Z6" i="1"/>
  <c r="W6" i="1"/>
  <c r="O6" i="1"/>
  <c r="N6" i="1"/>
  <c r="M6" i="1"/>
  <c r="J6" i="1"/>
  <c r="H6" i="1"/>
  <c r="G6" i="1"/>
  <c r="K6" i="1" s="1"/>
  <c r="P6" i="1" s="1"/>
  <c r="F6" i="1"/>
  <c r="C6" i="1"/>
  <c r="Z5" i="1"/>
  <c r="W5" i="1"/>
  <c r="O5" i="1"/>
  <c r="N5" i="1"/>
  <c r="M5" i="1"/>
  <c r="J5" i="1"/>
  <c r="H5" i="1"/>
  <c r="G5" i="1"/>
  <c r="K5" i="1" s="1"/>
  <c r="P5" i="1" s="1"/>
  <c r="F5" i="1"/>
  <c r="C5" i="1"/>
  <c r="Z4" i="1"/>
  <c r="W4" i="1"/>
  <c r="O4" i="1"/>
  <c r="N4" i="1"/>
  <c r="M4" i="1"/>
  <c r="J4" i="1"/>
  <c r="H4" i="1"/>
  <c r="G4" i="1"/>
  <c r="K4" i="1" s="1"/>
  <c r="P4" i="1" s="1"/>
  <c r="F4" i="1"/>
  <c r="C4" i="1"/>
  <c r="S2" i="1"/>
  <c r="N2" i="1"/>
  <c r="K266" i="1" s="1"/>
  <c r="P266" i="1" s="1"/>
  <c r="P7" i="1" l="1"/>
  <c r="P39" i="1"/>
  <c r="P45" i="1"/>
  <c r="P33" i="1"/>
  <c r="P35" i="1"/>
  <c r="P53" i="1"/>
  <c r="P77" i="1"/>
  <c r="P57" i="1"/>
  <c r="P69" i="1"/>
  <c r="P85" i="1"/>
  <c r="P41" i="1"/>
  <c r="P60" i="1"/>
  <c r="P65" i="1"/>
  <c r="P73" i="1"/>
  <c r="P81" i="1"/>
  <c r="P89" i="1"/>
  <c r="K8" i="1"/>
  <c r="P8" i="1" s="1"/>
  <c r="K10" i="1"/>
  <c r="P10" i="1" s="1"/>
  <c r="K11" i="1"/>
  <c r="P11" i="1" s="1"/>
  <c r="K34" i="1"/>
  <c r="P34" i="1" s="1"/>
  <c r="K49" i="1"/>
  <c r="P49" i="1" s="1"/>
  <c r="K132" i="1"/>
  <c r="P132" i="1" s="1"/>
  <c r="K232" i="1"/>
  <c r="P232" i="1" s="1"/>
  <c r="K244" i="1"/>
  <c r="P244" i="1" s="1"/>
  <c r="L68" i="3"/>
  <c r="K52" i="1"/>
  <c r="P52" i="1" s="1"/>
  <c r="K61" i="1"/>
  <c r="P61" i="1" s="1"/>
  <c r="K62" i="1"/>
  <c r="P62" i="1" s="1"/>
  <c r="K63" i="1"/>
  <c r="P63" i="1" s="1"/>
  <c r="K96" i="1"/>
  <c r="P96" i="1" s="1"/>
  <c r="K106" i="1"/>
  <c r="P106" i="1" s="1"/>
  <c r="K108" i="1"/>
  <c r="P108" i="1" s="1"/>
  <c r="K109" i="1"/>
  <c r="P109" i="1" s="1"/>
  <c r="K123" i="1"/>
  <c r="P123" i="1" s="1"/>
  <c r="K142" i="1"/>
  <c r="P142" i="1" s="1"/>
  <c r="K143" i="1"/>
  <c r="P143" i="1" s="1"/>
  <c r="K146" i="1"/>
  <c r="P146" i="1" s="1"/>
  <c r="K147" i="1"/>
  <c r="P147" i="1" s="1"/>
  <c r="K150" i="1"/>
  <c r="P150" i="1" s="1"/>
  <c r="K151" i="1"/>
  <c r="P151" i="1" s="1"/>
  <c r="K154" i="1"/>
  <c r="P154" i="1" s="1"/>
  <c r="K155" i="1"/>
  <c r="P155" i="1" s="1"/>
  <c r="K158" i="1"/>
  <c r="P158" i="1" s="1"/>
  <c r="K159" i="1"/>
  <c r="P159" i="1" s="1"/>
  <c r="K162" i="1"/>
  <c r="P162" i="1" s="1"/>
  <c r="K163" i="1"/>
  <c r="P163" i="1" s="1"/>
  <c r="K166" i="1"/>
  <c r="P166" i="1" s="1"/>
  <c r="K167" i="1"/>
  <c r="P167" i="1" s="1"/>
  <c r="K170" i="1"/>
  <c r="P170" i="1" s="1"/>
  <c r="K171" i="1"/>
  <c r="P171" i="1" s="1"/>
  <c r="K174" i="1"/>
  <c r="P174" i="1" s="1"/>
  <c r="K175" i="1"/>
  <c r="P175" i="1" s="1"/>
  <c r="K182" i="1"/>
  <c r="P182" i="1" s="1"/>
  <c r="K190" i="1"/>
  <c r="P190" i="1" s="1"/>
  <c r="K198" i="1"/>
  <c r="P198" i="1" s="1"/>
  <c r="K206" i="1"/>
  <c r="P206" i="1" s="1"/>
  <c r="K214" i="1"/>
  <c r="P214" i="1" s="1"/>
  <c r="K222" i="1"/>
  <c r="P222" i="1" s="1"/>
  <c r="K251" i="1"/>
  <c r="P251" i="1" s="1"/>
  <c r="K259" i="1"/>
  <c r="P259" i="1" s="1"/>
  <c r="K267" i="1"/>
  <c r="P267" i="1" s="1"/>
  <c r="L24" i="3"/>
  <c r="L126" i="3"/>
  <c r="K9" i="1"/>
  <c r="P9" i="1" s="1"/>
  <c r="K42" i="1"/>
  <c r="P42" i="1" s="1"/>
  <c r="K46" i="1"/>
  <c r="P46" i="1" s="1"/>
  <c r="K50" i="1"/>
  <c r="P50" i="1" s="1"/>
  <c r="K107" i="1"/>
  <c r="P107" i="1" s="1"/>
  <c r="K120" i="1"/>
  <c r="P120" i="1" s="1"/>
  <c r="K135" i="1"/>
  <c r="P135" i="1" s="1"/>
  <c r="K200" i="1"/>
  <c r="P200" i="1" s="1"/>
  <c r="K216" i="1"/>
  <c r="P216" i="1" s="1"/>
  <c r="K224" i="1"/>
  <c r="P224" i="1" s="1"/>
  <c r="K236" i="1"/>
  <c r="P236" i="1" s="1"/>
  <c r="K248" i="1"/>
  <c r="P248" i="1" s="1"/>
  <c r="K14" i="1"/>
  <c r="P14" i="1" s="1"/>
  <c r="K17" i="1"/>
  <c r="P17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36" i="1"/>
  <c r="P36" i="1" s="1"/>
  <c r="K40" i="1"/>
  <c r="P40" i="1" s="1"/>
  <c r="K44" i="1"/>
  <c r="P44" i="1" s="1"/>
  <c r="K48" i="1"/>
  <c r="P48" i="1" s="1"/>
  <c r="K58" i="1"/>
  <c r="P58" i="1" s="1"/>
  <c r="K59" i="1"/>
  <c r="P59" i="1" s="1"/>
  <c r="K64" i="1"/>
  <c r="P64" i="1" s="1"/>
  <c r="K68" i="1"/>
  <c r="P68" i="1" s="1"/>
  <c r="K72" i="1"/>
  <c r="P72" i="1" s="1"/>
  <c r="K76" i="1"/>
  <c r="P76" i="1" s="1"/>
  <c r="K80" i="1"/>
  <c r="P80" i="1" s="1"/>
  <c r="K84" i="1"/>
  <c r="P84" i="1" s="1"/>
  <c r="K88" i="1"/>
  <c r="P88" i="1" s="1"/>
  <c r="K92" i="1"/>
  <c r="P92" i="1" s="1"/>
  <c r="K95" i="1"/>
  <c r="P95" i="1" s="1"/>
  <c r="K99" i="1"/>
  <c r="P99" i="1" s="1"/>
  <c r="K100" i="1"/>
  <c r="P100" i="1" s="1"/>
  <c r="K103" i="1"/>
  <c r="P103" i="1" s="1"/>
  <c r="K105" i="1"/>
  <c r="P105" i="1" s="1"/>
  <c r="K112" i="1"/>
  <c r="P112" i="1" s="1"/>
  <c r="K122" i="1"/>
  <c r="P122" i="1" s="1"/>
  <c r="K124" i="1"/>
  <c r="P124" i="1" s="1"/>
  <c r="K125" i="1"/>
  <c r="P125" i="1" s="1"/>
  <c r="K180" i="1"/>
  <c r="P180" i="1" s="1"/>
  <c r="K188" i="1"/>
  <c r="P188" i="1" s="1"/>
  <c r="K196" i="1"/>
  <c r="P196" i="1" s="1"/>
  <c r="K204" i="1"/>
  <c r="P204" i="1" s="1"/>
  <c r="K212" i="1"/>
  <c r="P212" i="1" s="1"/>
  <c r="K220" i="1"/>
  <c r="P220" i="1" s="1"/>
  <c r="K226" i="1"/>
  <c r="P226" i="1" s="1"/>
  <c r="K230" i="1"/>
  <c r="P230" i="1" s="1"/>
  <c r="K234" i="1"/>
  <c r="P234" i="1" s="1"/>
  <c r="K238" i="1"/>
  <c r="P238" i="1" s="1"/>
  <c r="K242" i="1"/>
  <c r="P242" i="1" s="1"/>
  <c r="K246" i="1"/>
  <c r="P246" i="1" s="1"/>
  <c r="K250" i="1"/>
  <c r="P250" i="1" s="1"/>
  <c r="K258" i="1"/>
  <c r="P258" i="1" s="1"/>
  <c r="K300" i="1"/>
  <c r="P300" i="1" s="1"/>
  <c r="K296" i="1"/>
  <c r="P296" i="1" s="1"/>
  <c r="K292" i="1"/>
  <c r="P292" i="1" s="1"/>
  <c r="K288" i="1"/>
  <c r="P288" i="1" s="1"/>
  <c r="K284" i="1"/>
  <c r="P284" i="1" s="1"/>
  <c r="K280" i="1"/>
  <c r="P280" i="1" s="1"/>
  <c r="K276" i="1"/>
  <c r="P276" i="1" s="1"/>
  <c r="I1" i="3"/>
  <c r="K272" i="1"/>
  <c r="P272" i="1" s="1"/>
  <c r="K268" i="1"/>
  <c r="P268" i="1" s="1"/>
  <c r="K264" i="1"/>
  <c r="P264" i="1" s="1"/>
  <c r="K260" i="1"/>
  <c r="P260" i="1" s="1"/>
  <c r="K256" i="1"/>
  <c r="P256" i="1" s="1"/>
  <c r="K252" i="1"/>
  <c r="P252" i="1" s="1"/>
  <c r="K303" i="1"/>
  <c r="P303" i="1" s="1"/>
  <c r="K302" i="1"/>
  <c r="P302" i="1" s="1"/>
  <c r="K299" i="1"/>
  <c r="P299" i="1" s="1"/>
  <c r="K298" i="1"/>
  <c r="P298" i="1" s="1"/>
  <c r="K295" i="1"/>
  <c r="P295" i="1" s="1"/>
  <c r="K294" i="1"/>
  <c r="P294" i="1" s="1"/>
  <c r="K291" i="1"/>
  <c r="P291" i="1" s="1"/>
  <c r="K290" i="1"/>
  <c r="P290" i="1" s="1"/>
  <c r="K287" i="1"/>
  <c r="P287" i="1" s="1"/>
  <c r="K286" i="1"/>
  <c r="P286" i="1" s="1"/>
  <c r="K283" i="1"/>
  <c r="P283" i="1" s="1"/>
  <c r="K282" i="1"/>
  <c r="P282" i="1" s="1"/>
  <c r="K279" i="1"/>
  <c r="P279" i="1" s="1"/>
  <c r="K278" i="1"/>
  <c r="P278" i="1" s="1"/>
  <c r="K275" i="1"/>
  <c r="P275" i="1" s="1"/>
  <c r="K274" i="1"/>
  <c r="P274" i="1" s="1"/>
  <c r="K225" i="1"/>
  <c r="P225" i="1" s="1"/>
  <c r="K223" i="1"/>
  <c r="P223" i="1" s="1"/>
  <c r="K221" i="1"/>
  <c r="P221" i="1" s="1"/>
  <c r="K219" i="1"/>
  <c r="P219" i="1" s="1"/>
  <c r="K217" i="1"/>
  <c r="P217" i="1" s="1"/>
  <c r="K215" i="1"/>
  <c r="P215" i="1" s="1"/>
  <c r="K213" i="1"/>
  <c r="P213" i="1" s="1"/>
  <c r="K211" i="1"/>
  <c r="P211" i="1" s="1"/>
  <c r="K209" i="1"/>
  <c r="P209" i="1" s="1"/>
  <c r="K207" i="1"/>
  <c r="P207" i="1" s="1"/>
  <c r="K205" i="1"/>
  <c r="P205" i="1" s="1"/>
  <c r="K203" i="1"/>
  <c r="P203" i="1" s="1"/>
  <c r="K201" i="1"/>
  <c r="P201" i="1" s="1"/>
  <c r="K199" i="1"/>
  <c r="P199" i="1" s="1"/>
  <c r="K197" i="1"/>
  <c r="P197" i="1" s="1"/>
  <c r="K195" i="1"/>
  <c r="P195" i="1" s="1"/>
  <c r="K193" i="1"/>
  <c r="P193" i="1" s="1"/>
  <c r="K191" i="1"/>
  <c r="P191" i="1" s="1"/>
  <c r="K189" i="1"/>
  <c r="P189" i="1" s="1"/>
  <c r="K187" i="1"/>
  <c r="P187" i="1" s="1"/>
  <c r="K185" i="1"/>
  <c r="P185" i="1" s="1"/>
  <c r="K183" i="1"/>
  <c r="P183" i="1" s="1"/>
  <c r="K181" i="1"/>
  <c r="P181" i="1" s="1"/>
  <c r="K179" i="1"/>
  <c r="P179" i="1" s="1"/>
  <c r="K177" i="1"/>
  <c r="P177" i="1" s="1"/>
  <c r="K130" i="1"/>
  <c r="P130" i="1" s="1"/>
  <c r="K114" i="1"/>
  <c r="P114" i="1" s="1"/>
  <c r="K98" i="1"/>
  <c r="P98" i="1" s="1"/>
  <c r="K271" i="1"/>
  <c r="P271" i="1" s="1"/>
  <c r="K270" i="1"/>
  <c r="P270" i="1" s="1"/>
  <c r="K263" i="1"/>
  <c r="P263" i="1" s="1"/>
  <c r="K262" i="1"/>
  <c r="P262" i="1" s="1"/>
  <c r="K255" i="1"/>
  <c r="P255" i="1" s="1"/>
  <c r="K254" i="1"/>
  <c r="P254" i="1" s="1"/>
  <c r="K173" i="1"/>
  <c r="P173" i="1" s="1"/>
  <c r="K169" i="1"/>
  <c r="P169" i="1" s="1"/>
  <c r="K165" i="1"/>
  <c r="P165" i="1" s="1"/>
  <c r="K161" i="1"/>
  <c r="P161" i="1" s="1"/>
  <c r="K157" i="1"/>
  <c r="P157" i="1" s="1"/>
  <c r="K153" i="1"/>
  <c r="P153" i="1" s="1"/>
  <c r="K149" i="1"/>
  <c r="P149" i="1" s="1"/>
  <c r="K145" i="1"/>
  <c r="P145" i="1" s="1"/>
  <c r="K141" i="1"/>
  <c r="P141" i="1" s="1"/>
  <c r="K134" i="1"/>
  <c r="P134" i="1" s="1"/>
  <c r="K118" i="1"/>
  <c r="P118" i="1" s="1"/>
  <c r="K102" i="1"/>
  <c r="P102" i="1" s="1"/>
  <c r="K91" i="1"/>
  <c r="P91" i="1" s="1"/>
  <c r="K87" i="1"/>
  <c r="P87" i="1" s="1"/>
  <c r="K83" i="1"/>
  <c r="P83" i="1" s="1"/>
  <c r="K79" i="1"/>
  <c r="P79" i="1" s="1"/>
  <c r="K75" i="1"/>
  <c r="P75" i="1" s="1"/>
  <c r="K71" i="1"/>
  <c r="P71" i="1" s="1"/>
  <c r="K67" i="1"/>
  <c r="P67" i="1" s="1"/>
  <c r="K138" i="1"/>
  <c r="P138" i="1" s="1"/>
  <c r="K136" i="1"/>
  <c r="P136" i="1" s="1"/>
  <c r="K38" i="1"/>
  <c r="P38" i="1" s="1"/>
  <c r="K51" i="1"/>
  <c r="P51" i="1" s="1"/>
  <c r="K56" i="1"/>
  <c r="P56" i="1" s="1"/>
  <c r="K126" i="1"/>
  <c r="P126" i="1" s="1"/>
  <c r="K127" i="1"/>
  <c r="P127" i="1" s="1"/>
  <c r="K131" i="1"/>
  <c r="P131" i="1" s="1"/>
  <c r="K140" i="1"/>
  <c r="P140" i="1" s="1"/>
  <c r="K144" i="1"/>
  <c r="P144" i="1" s="1"/>
  <c r="K148" i="1"/>
  <c r="P148" i="1" s="1"/>
  <c r="K152" i="1"/>
  <c r="P152" i="1" s="1"/>
  <c r="K156" i="1"/>
  <c r="P156" i="1" s="1"/>
  <c r="K160" i="1"/>
  <c r="P160" i="1" s="1"/>
  <c r="K164" i="1"/>
  <c r="P164" i="1" s="1"/>
  <c r="K168" i="1"/>
  <c r="P168" i="1" s="1"/>
  <c r="K172" i="1"/>
  <c r="P172" i="1" s="1"/>
  <c r="K176" i="1"/>
  <c r="P176" i="1" s="1"/>
  <c r="K184" i="1"/>
  <c r="P184" i="1" s="1"/>
  <c r="K192" i="1"/>
  <c r="P192" i="1" s="1"/>
  <c r="K208" i="1"/>
  <c r="P208" i="1" s="1"/>
  <c r="K228" i="1"/>
  <c r="P228" i="1" s="1"/>
  <c r="K240" i="1"/>
  <c r="P240" i="1" s="1"/>
  <c r="L67" i="3"/>
  <c r="K13" i="1"/>
  <c r="P13" i="1" s="1"/>
  <c r="K15" i="1"/>
  <c r="P15" i="1" s="1"/>
  <c r="K16" i="1"/>
  <c r="P16" i="1" s="1"/>
  <c r="K18" i="1"/>
  <c r="P18" i="1" s="1"/>
  <c r="K19" i="1"/>
  <c r="P19" i="1" s="1"/>
  <c r="K20" i="1"/>
  <c r="P20" i="1" s="1"/>
  <c r="K54" i="1"/>
  <c r="P54" i="1" s="1"/>
  <c r="K55" i="1"/>
  <c r="P55" i="1" s="1"/>
  <c r="K66" i="1"/>
  <c r="P66" i="1" s="1"/>
  <c r="K70" i="1"/>
  <c r="P70" i="1" s="1"/>
  <c r="K74" i="1"/>
  <c r="P74" i="1" s="1"/>
  <c r="K78" i="1"/>
  <c r="P78" i="1" s="1"/>
  <c r="K82" i="1"/>
  <c r="P82" i="1" s="1"/>
  <c r="K86" i="1"/>
  <c r="P86" i="1" s="1"/>
  <c r="K90" i="1"/>
  <c r="P90" i="1" s="1"/>
  <c r="K94" i="1"/>
  <c r="P94" i="1" s="1"/>
  <c r="K104" i="1"/>
  <c r="P104" i="1" s="1"/>
  <c r="K110" i="1"/>
  <c r="P110" i="1" s="1"/>
  <c r="K111" i="1"/>
  <c r="P111" i="1" s="1"/>
  <c r="K115" i="1"/>
  <c r="P115" i="1" s="1"/>
  <c r="K116" i="1"/>
  <c r="P116" i="1" s="1"/>
  <c r="K119" i="1"/>
  <c r="P119" i="1" s="1"/>
  <c r="K121" i="1"/>
  <c r="P121" i="1" s="1"/>
  <c r="K128" i="1"/>
  <c r="P128" i="1" s="1"/>
  <c r="K139" i="1"/>
  <c r="P139" i="1" s="1"/>
  <c r="K178" i="1"/>
  <c r="P178" i="1" s="1"/>
  <c r="K186" i="1"/>
  <c r="P186" i="1" s="1"/>
  <c r="K194" i="1"/>
  <c r="P194" i="1" s="1"/>
  <c r="K202" i="1"/>
  <c r="P202" i="1" s="1"/>
  <c r="K210" i="1"/>
  <c r="P210" i="1" s="1"/>
  <c r="K218" i="1"/>
  <c r="P218" i="1" s="1"/>
  <c r="L37" i="3"/>
  <c r="L38" i="3"/>
  <c r="L39" i="3"/>
  <c r="K137" i="1"/>
  <c r="P137" i="1" s="1"/>
  <c r="K253" i="1"/>
  <c r="P253" i="1" s="1"/>
  <c r="K261" i="1"/>
  <c r="P261" i="1" s="1"/>
  <c r="K269" i="1"/>
  <c r="P269" i="1" s="1"/>
  <c r="K277" i="1"/>
  <c r="P277" i="1" s="1"/>
  <c r="L10" i="3"/>
  <c r="L14" i="3"/>
  <c r="L19" i="3"/>
  <c r="L23" i="3"/>
  <c r="L33" i="3"/>
  <c r="L53" i="3"/>
  <c r="L54" i="3"/>
  <c r="L55" i="3"/>
  <c r="L78" i="3"/>
  <c r="L83" i="3"/>
  <c r="L84" i="3"/>
  <c r="L97" i="3"/>
  <c r="L117" i="3"/>
  <c r="L130" i="3"/>
  <c r="L149" i="3"/>
  <c r="L158" i="3"/>
  <c r="L162" i="3"/>
  <c r="L216" i="3"/>
  <c r="L221" i="3"/>
  <c r="L223" i="3"/>
  <c r="K101" i="1"/>
  <c r="P101" i="1" s="1"/>
  <c r="K117" i="1"/>
  <c r="P117" i="1" s="1"/>
  <c r="K133" i="1"/>
  <c r="P133" i="1" s="1"/>
  <c r="K227" i="1"/>
  <c r="P227" i="1" s="1"/>
  <c r="K229" i="1"/>
  <c r="P229" i="1" s="1"/>
  <c r="K231" i="1"/>
  <c r="P231" i="1" s="1"/>
  <c r="K233" i="1"/>
  <c r="P233" i="1" s="1"/>
  <c r="K235" i="1"/>
  <c r="P235" i="1" s="1"/>
  <c r="K237" i="1"/>
  <c r="P237" i="1" s="1"/>
  <c r="K239" i="1"/>
  <c r="P239" i="1" s="1"/>
  <c r="K241" i="1"/>
  <c r="P241" i="1" s="1"/>
  <c r="K243" i="1"/>
  <c r="P243" i="1" s="1"/>
  <c r="K245" i="1"/>
  <c r="P245" i="1" s="1"/>
  <c r="K247" i="1"/>
  <c r="P247" i="1" s="1"/>
  <c r="K249" i="1"/>
  <c r="P249" i="1" s="1"/>
  <c r="L2" i="3"/>
  <c r="L11" i="3"/>
  <c r="L15" i="3"/>
  <c r="L30" i="3"/>
  <c r="L35" i="3"/>
  <c r="L36" i="3"/>
  <c r="L49" i="3"/>
  <c r="L69" i="3"/>
  <c r="L70" i="3"/>
  <c r="L71" i="3"/>
  <c r="L94" i="3"/>
  <c r="L99" i="3"/>
  <c r="L100" i="3"/>
  <c r="L133" i="3"/>
  <c r="L145" i="3"/>
  <c r="L174" i="3"/>
  <c r="L211" i="3"/>
  <c r="K97" i="1"/>
  <c r="P97" i="1" s="1"/>
  <c r="K113" i="1"/>
  <c r="P113" i="1" s="1"/>
  <c r="K129" i="1"/>
  <c r="P129" i="1" s="1"/>
  <c r="R225" i="1"/>
  <c r="K257" i="1"/>
  <c r="P257" i="1" s="1"/>
  <c r="K265" i="1"/>
  <c r="P265" i="1" s="1"/>
  <c r="K273" i="1"/>
  <c r="P273" i="1" s="1"/>
  <c r="K281" i="1"/>
  <c r="P281" i="1" s="1"/>
  <c r="L3" i="3"/>
  <c r="L7" i="3"/>
  <c r="L12" i="3"/>
  <c r="L16" i="3"/>
  <c r="L26" i="3"/>
  <c r="L46" i="3"/>
  <c r="L51" i="3"/>
  <c r="L52" i="3"/>
  <c r="L65" i="3"/>
  <c r="L85" i="3"/>
  <c r="L86" i="3"/>
  <c r="L87" i="3"/>
  <c r="L110" i="3"/>
  <c r="L137" i="3"/>
  <c r="L138" i="3"/>
  <c r="L142" i="3"/>
  <c r="L146" i="3"/>
  <c r="L155" i="3"/>
  <c r="L165" i="3"/>
  <c r="L189" i="3"/>
  <c r="L190" i="3"/>
  <c r="L204" i="3"/>
  <c r="L205" i="3"/>
  <c r="K285" i="1"/>
  <c r="P285" i="1" s="1"/>
  <c r="K289" i="1"/>
  <c r="P289" i="1" s="1"/>
  <c r="K293" i="1"/>
  <c r="P293" i="1" s="1"/>
  <c r="K297" i="1"/>
  <c r="P297" i="1" s="1"/>
  <c r="K301" i="1"/>
  <c r="P301" i="1" s="1"/>
  <c r="K5" i="3"/>
  <c r="L5" i="3" s="1"/>
  <c r="K9" i="3"/>
  <c r="L9" i="3" s="1"/>
  <c r="K21" i="3"/>
  <c r="L21" i="3" s="1"/>
  <c r="K25" i="3"/>
  <c r="L25" i="3" s="1"/>
  <c r="L109" i="3"/>
  <c r="L121" i="3"/>
  <c r="L122" i="3"/>
  <c r="L129" i="3"/>
  <c r="L135" i="3"/>
  <c r="L139" i="3"/>
  <c r="L147" i="3"/>
  <c r="L173" i="3"/>
  <c r="L185" i="3"/>
  <c r="L186" i="3"/>
  <c r="L193" i="3"/>
  <c r="L198" i="3"/>
  <c r="L199" i="3"/>
  <c r="L200" i="3"/>
  <c r="L206" i="3"/>
  <c r="L212" i="3"/>
  <c r="L213" i="3"/>
  <c r="K6" i="3"/>
  <c r="L6" i="3" s="1"/>
  <c r="K22" i="3"/>
  <c r="L22" i="3" s="1"/>
  <c r="L27" i="3"/>
  <c r="K34" i="3"/>
  <c r="L34" i="3" s="1"/>
  <c r="L42" i="3"/>
  <c r="L43" i="3"/>
  <c r="K50" i="3"/>
  <c r="L50" i="3" s="1"/>
  <c r="L58" i="3"/>
  <c r="L59" i="3"/>
  <c r="K66" i="3"/>
  <c r="L66" i="3" s="1"/>
  <c r="L74" i="3"/>
  <c r="L75" i="3"/>
  <c r="K82" i="3"/>
  <c r="L82" i="3" s="1"/>
  <c r="L90" i="3"/>
  <c r="L91" i="3"/>
  <c r="K98" i="3"/>
  <c r="L98" i="3" s="1"/>
  <c r="L105" i="3"/>
  <c r="L106" i="3"/>
  <c r="L113" i="3"/>
  <c r="L119" i="3"/>
  <c r="L123" i="3"/>
  <c r="L131" i="3"/>
  <c r="L157" i="3"/>
  <c r="L169" i="3"/>
  <c r="L170" i="3"/>
  <c r="L177" i="3"/>
  <c r="L183" i="3"/>
  <c r="L187" i="3"/>
  <c r="L195" i="3"/>
  <c r="L202" i="3"/>
  <c r="L207" i="3"/>
  <c r="L218" i="3"/>
  <c r="L28" i="3"/>
  <c r="L32" i="3"/>
  <c r="L44" i="3"/>
  <c r="L48" i="3"/>
  <c r="L60" i="3"/>
  <c r="L64" i="3"/>
  <c r="L76" i="3"/>
  <c r="L80" i="3"/>
  <c r="L92" i="3"/>
  <c r="L96" i="3"/>
  <c r="L103" i="3"/>
  <c r="L107" i="3"/>
  <c r="L115" i="3"/>
  <c r="L141" i="3"/>
  <c r="L153" i="3"/>
  <c r="L154" i="3"/>
  <c r="L161" i="3"/>
  <c r="L167" i="3"/>
  <c r="L171" i="3"/>
  <c r="L179" i="3"/>
  <c r="L208" i="3"/>
  <c r="L210" i="3"/>
  <c r="L219" i="3"/>
  <c r="K41" i="3"/>
  <c r="L41" i="3" s="1"/>
  <c r="K57" i="3"/>
  <c r="L57" i="3" s="1"/>
  <c r="K73" i="3"/>
  <c r="L73" i="3" s="1"/>
  <c r="K89" i="3"/>
  <c r="L89" i="3" s="1"/>
  <c r="L214" i="3"/>
  <c r="L220" i="3"/>
  <c r="K13" i="3"/>
  <c r="L13" i="3" s="1"/>
  <c r="K29" i="3"/>
  <c r="L29" i="3" s="1"/>
  <c r="K45" i="3"/>
  <c r="L45" i="3" s="1"/>
  <c r="K61" i="3"/>
  <c r="L61" i="3" s="1"/>
  <c r="K77" i="3"/>
  <c r="L77" i="3" s="1"/>
  <c r="K93" i="3"/>
  <c r="L93" i="3" s="1"/>
  <c r="K104" i="3"/>
  <c r="L104" i="3" s="1"/>
  <c r="K108" i="3"/>
  <c r="L108" i="3" s="1"/>
  <c r="K120" i="3"/>
  <c r="L120" i="3" s="1"/>
  <c r="K124" i="3"/>
  <c r="L124" i="3" s="1"/>
  <c r="K136" i="3"/>
  <c r="L136" i="3" s="1"/>
  <c r="K140" i="3"/>
  <c r="L140" i="3" s="1"/>
  <c r="K152" i="3"/>
  <c r="L152" i="3" s="1"/>
  <c r="K156" i="3"/>
  <c r="L156" i="3" s="1"/>
  <c r="K168" i="3"/>
  <c r="L168" i="3" s="1"/>
  <c r="K172" i="3"/>
  <c r="L172" i="3" s="1"/>
  <c r="K184" i="3"/>
  <c r="L184" i="3" s="1"/>
  <c r="K188" i="3"/>
  <c r="L188" i="3" s="1"/>
  <c r="L196" i="3"/>
  <c r="L203" i="3"/>
  <c r="L222" i="3"/>
  <c r="K112" i="3"/>
  <c r="L112" i="3" s="1"/>
  <c r="K128" i="3"/>
  <c r="L128" i="3" s="1"/>
  <c r="K144" i="3"/>
  <c r="L144" i="3" s="1"/>
  <c r="K160" i="3"/>
  <c r="L160" i="3" s="1"/>
  <c r="K176" i="3"/>
  <c r="L176" i="3" s="1"/>
  <c r="K192" i="3"/>
  <c r="L192" i="3" s="1"/>
  <c r="L217" i="3" l="1"/>
  <c r="L209" i="3"/>
  <c r="L215" i="3"/>
  <c r="L166" i="3"/>
  <c r="L164" i="3"/>
  <c r="L143" i="3"/>
  <c r="L102" i="3"/>
  <c r="L201" i="3"/>
  <c r="L182" i="3"/>
  <c r="L180" i="3"/>
  <c r="L159" i="3"/>
  <c r="L118" i="3"/>
  <c r="L116" i="3"/>
  <c r="L197" i="3"/>
  <c r="L175" i="3"/>
  <c r="L134" i="3"/>
  <c r="L132" i="3"/>
  <c r="L111" i="3"/>
  <c r="L178" i="3"/>
  <c r="L127" i="3"/>
  <c r="L79" i="3"/>
  <c r="L40" i="3"/>
  <c r="L20" i="3"/>
  <c r="L191" i="3"/>
  <c r="L88" i="3"/>
  <c r="L63" i="3"/>
  <c r="L148" i="3"/>
  <c r="L72" i="3"/>
  <c r="L47" i="3"/>
  <c r="L8" i="3"/>
  <c r="L4" i="3"/>
  <c r="L31" i="3"/>
  <c r="L150" i="3"/>
  <c r="L114" i="3"/>
  <c r="L95" i="3"/>
  <c r="L56" i="3"/>
  <c r="L163" i="3"/>
  <c r="L125" i="3"/>
  <c r="L18" i="3"/>
  <c r="L151" i="3"/>
  <c r="L101" i="3"/>
  <c r="L17" i="3"/>
  <c r="L81" i="3"/>
  <c r="L181" i="3"/>
  <c r="L62" i="3"/>
  <c r="L194" i="3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<sst xmlns="http://schemas.openxmlformats.org/spreadsheetml/2006/main" count="40" uniqueCount="33">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</sst>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zoomScale="85" zoomScaleNormal="85" workbookViewId="0">
      <selection activeCell="S11" sqref="S11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-0.49557000000000001</v>
      </c>
      <c r="AC3" t="s">
        <v>24</v>
      </c>
    </row>
    <row r="4" spans="1:29" x14ac:dyDescent="0.3">
      <c r="A4">
        <v>5.6458800000000003E-2</v>
      </c>
      <c r="B4">
        <v>0.95376000000000005</v>
      </c>
      <c r="C4">
        <f t="shared" ref="C4:C67" si="0">A4*B4</f>
        <v>5.3848145088000003E-2</v>
      </c>
      <c r="D4">
        <v>1.7100000000000001E-2</v>
      </c>
      <c r="E4">
        <v>3.8999999999999998E-3</v>
      </c>
      <c r="F4">
        <f t="shared" ref="F4:F67" si="1">A4*200</f>
        <v>11.29176</v>
      </c>
      <c r="G4">
        <f t="shared" ref="G4:G67" si="2">-B4</f>
        <v>-0.95376000000000005</v>
      </c>
      <c r="H4">
        <f t="shared" ref="H4:H67" si="3">-C4*200</f>
        <v>-10.7696290176</v>
      </c>
      <c r="I4">
        <v>1</v>
      </c>
      <c r="J4">
        <f t="shared" ref="J4:J67" si="4">LN(F4/1000)</f>
        <v>-4.4836820228018857</v>
      </c>
      <c r="K4">
        <f t="shared" ref="K4:K67" si="5">((-G4)-$N$2)</f>
        <v>-0.2679651517752174</v>
      </c>
      <c r="L4">
        <v>1</v>
      </c>
      <c r="M4">
        <f t="shared" ref="M4:M67" si="6">-1*($S$4+($S$5*J4))</f>
        <v>0.32796497818172271</v>
      </c>
      <c r="N4">
        <f t="shared" ref="N4:N67" si="7">D4*A4</f>
        <v>9.6544548000000014E-4</v>
      </c>
      <c r="O4">
        <f t="shared" ref="O4:O67" si="8">E4*A4</f>
        <v>2.2018932E-4</v>
      </c>
      <c r="P4">
        <f t="shared" ref="P4:P67" si="9">-K4-M4-N4-O4</f>
        <v>-6.1185461206505309E-2</v>
      </c>
      <c r="R4" s="2" t="s">
        <v>25</v>
      </c>
      <c r="S4">
        <v>-0.60685</v>
      </c>
      <c r="V4">
        <v>-6</v>
      </c>
      <c r="W4">
        <f t="shared" ref="W4:W35" si="10">V4*$S$5+$S$4</f>
        <v>-0.23365000000000002</v>
      </c>
      <c r="Y4">
        <v>0</v>
      </c>
      <c r="Z4">
        <f t="shared" ref="Z4:Z31" si="11">$AB$4*Y4+$AB$3</f>
        <v>-0.49557000000000001</v>
      </c>
      <c r="AB4">
        <v>13.90432</v>
      </c>
      <c r="AC4" t="s">
        <v>26</v>
      </c>
    </row>
    <row r="5" spans="1:29" x14ac:dyDescent="0.3">
      <c r="A5">
        <v>0.10686795</v>
      </c>
      <c r="B5">
        <v>0.86148999999999998</v>
      </c>
      <c r="C5">
        <f t="shared" si="0"/>
        <v>9.2065670245499998E-2</v>
      </c>
      <c r="D5">
        <v>1.7100000000000001E-2</v>
      </c>
      <c r="E5">
        <v>3.8999999999999998E-3</v>
      </c>
      <c r="F5">
        <f t="shared" si="1"/>
        <v>21.37359</v>
      </c>
      <c r="G5">
        <f t="shared" si="2"/>
        <v>-0.86148999999999998</v>
      </c>
      <c r="H5">
        <f t="shared" si="3"/>
        <v>-18.413134049099998</v>
      </c>
      <c r="I5">
        <v>1</v>
      </c>
      <c r="J5">
        <f t="shared" si="4"/>
        <v>-3.8455992312473741</v>
      </c>
      <c r="K5">
        <f t="shared" si="5"/>
        <v>-0.36023515177521748</v>
      </c>
      <c r="L5">
        <v>1</v>
      </c>
      <c r="M5">
        <f t="shared" si="6"/>
        <v>0.36765372781641337</v>
      </c>
      <c r="N5">
        <f t="shared" si="7"/>
        <v>1.8274419450000001E-3</v>
      </c>
      <c r="O5">
        <f t="shared" si="8"/>
        <v>4.1678500500000001E-4</v>
      </c>
      <c r="P5">
        <f t="shared" si="9"/>
        <v>-9.6628029911958908E-3</v>
      </c>
      <c r="R5" s="2" t="s">
        <v>27</v>
      </c>
      <c r="S5">
        <v>-6.2199999999999998E-2</v>
      </c>
      <c r="V5">
        <v>-5.9</v>
      </c>
      <c r="W5">
        <f t="shared" si="10"/>
        <v>-0.23986999999999997</v>
      </c>
      <c r="Y5">
        <v>0.01</v>
      </c>
      <c r="Z5">
        <f t="shared" si="11"/>
        <v>-0.35652680000000003</v>
      </c>
    </row>
    <row r="6" spans="1:29" x14ac:dyDescent="0.3">
      <c r="A6">
        <v>0.15931385000000001</v>
      </c>
      <c r="B6">
        <v>0.82933999999999997</v>
      </c>
      <c r="C6">
        <f t="shared" si="0"/>
        <v>0.132125348359</v>
      </c>
      <c r="D6">
        <v>1.7100000000000001E-2</v>
      </c>
      <c r="E6">
        <v>3.8999999999999998E-3</v>
      </c>
      <c r="F6">
        <f t="shared" si="1"/>
        <v>31.862770000000001</v>
      </c>
      <c r="G6">
        <f t="shared" si="2"/>
        <v>-0.82933999999999997</v>
      </c>
      <c r="H6">
        <f t="shared" si="3"/>
        <v>-26.425069671799999</v>
      </c>
      <c r="I6">
        <v>1</v>
      </c>
      <c r="J6">
        <f t="shared" si="4"/>
        <v>-3.4463170354044688</v>
      </c>
      <c r="K6">
        <f t="shared" si="5"/>
        <v>-0.39238515177521749</v>
      </c>
      <c r="L6">
        <v>1</v>
      </c>
      <c r="M6">
        <f t="shared" si="6"/>
        <v>0.39248908039784203</v>
      </c>
      <c r="N6">
        <f t="shared" si="7"/>
        <v>2.7242668350000001E-3</v>
      </c>
      <c r="O6">
        <f t="shared" si="8"/>
        <v>6.2132401499999997E-4</v>
      </c>
      <c r="P6">
        <f t="shared" si="9"/>
        <v>-3.4495194726245383E-3</v>
      </c>
      <c r="V6">
        <v>-5.8</v>
      </c>
      <c r="W6">
        <f t="shared" si="10"/>
        <v>-0.24609000000000003</v>
      </c>
      <c r="Y6">
        <v>0.02</v>
      </c>
      <c r="Z6">
        <f t="shared" si="11"/>
        <v>-0.2174836</v>
      </c>
      <c r="AB6" t="s">
        <v>28</v>
      </c>
    </row>
    <row r="7" spans="1:29" x14ac:dyDescent="0.3">
      <c r="A7">
        <v>0.2117597</v>
      </c>
      <c r="B7">
        <v>0.81110000000000004</v>
      </c>
      <c r="C7">
        <f t="shared" si="0"/>
        <v>0.17175829267000001</v>
      </c>
      <c r="D7">
        <v>1.7100000000000001E-2</v>
      </c>
      <c r="E7">
        <v>3.8999999999999998E-3</v>
      </c>
      <c r="F7">
        <f t="shared" si="1"/>
        <v>42.351939999999999</v>
      </c>
      <c r="G7">
        <f t="shared" si="2"/>
        <v>-0.81110000000000004</v>
      </c>
      <c r="H7">
        <f t="shared" si="3"/>
        <v>-34.351658534000002</v>
      </c>
      <c r="I7">
        <v>1</v>
      </c>
      <c r="J7">
        <f t="shared" si="4"/>
        <v>-3.1617410501965439</v>
      </c>
      <c r="K7">
        <f t="shared" si="5"/>
        <v>-0.41062515177521741</v>
      </c>
      <c r="L7">
        <v>1</v>
      </c>
      <c r="M7">
        <f t="shared" si="6"/>
        <v>0.41018970667777499</v>
      </c>
      <c r="N7">
        <f t="shared" si="7"/>
        <v>3.62109087E-3</v>
      </c>
      <c r="O7">
        <f t="shared" si="8"/>
        <v>8.2586282999999995E-4</v>
      </c>
      <c r="P7">
        <f t="shared" si="9"/>
        <v>-4.0115086025575781E-3</v>
      </c>
      <c r="V7">
        <v>-5.7</v>
      </c>
      <c r="W7">
        <f t="shared" si="10"/>
        <v>-0.25230999999999998</v>
      </c>
      <c r="Y7">
        <v>0.03</v>
      </c>
      <c r="Z7">
        <f t="shared" si="11"/>
        <v>-7.8440400000000021E-2</v>
      </c>
      <c r="AB7" t="s">
        <v>29</v>
      </c>
      <c r="AC7">
        <f>-AB3/AB4</f>
        <v>3.5641440933465281E-2</v>
      </c>
    </row>
    <row r="8" spans="1:29" x14ac:dyDescent="0.3">
      <c r="A8">
        <v>0.26267805</v>
      </c>
      <c r="B8">
        <v>0.79810000000000003</v>
      </c>
      <c r="C8">
        <f t="shared" si="0"/>
        <v>0.20964335170500001</v>
      </c>
      <c r="D8">
        <v>1.7100000000000001E-2</v>
      </c>
      <c r="E8">
        <v>3.8999999999999998E-3</v>
      </c>
      <c r="F8">
        <f t="shared" si="1"/>
        <v>52.535609999999998</v>
      </c>
      <c r="G8">
        <f t="shared" si="2"/>
        <v>-0.79810000000000003</v>
      </c>
      <c r="H8">
        <f t="shared" si="3"/>
        <v>-41.928670341</v>
      </c>
      <c r="I8">
        <v>1</v>
      </c>
      <c r="J8">
        <f t="shared" si="4"/>
        <v>-2.9462640536020612</v>
      </c>
      <c r="K8">
        <f t="shared" si="5"/>
        <v>-0.42362515177521742</v>
      </c>
      <c r="L8">
        <v>1</v>
      </c>
      <c r="M8">
        <f t="shared" si="6"/>
        <v>0.42359237586595178</v>
      </c>
      <c r="N8">
        <f t="shared" si="7"/>
        <v>4.4917946549999999E-3</v>
      </c>
      <c r="O8">
        <f t="shared" si="8"/>
        <v>1.0244443949999999E-3</v>
      </c>
      <c r="P8">
        <f t="shared" si="9"/>
        <v>-5.4834631407343522E-3</v>
      </c>
      <c r="V8">
        <v>-5.6</v>
      </c>
      <c r="W8">
        <f t="shared" si="10"/>
        <v>-0.25853000000000004</v>
      </c>
      <c r="Y8">
        <v>0.04</v>
      </c>
      <c r="Z8">
        <f t="shared" si="11"/>
        <v>6.0602800000000012E-2</v>
      </c>
    </row>
    <row r="9" spans="1:29" x14ac:dyDescent="0.3">
      <c r="A9">
        <v>0.31359635000000002</v>
      </c>
      <c r="B9">
        <v>0.78847999999999996</v>
      </c>
      <c r="C9">
        <f t="shared" si="0"/>
        <v>0.24726445004800002</v>
      </c>
      <c r="D9">
        <v>1.7100000000000001E-2</v>
      </c>
      <c r="E9">
        <v>3.8999999999999998E-3</v>
      </c>
      <c r="F9">
        <f t="shared" si="1"/>
        <v>62.719270000000002</v>
      </c>
      <c r="G9">
        <f t="shared" si="2"/>
        <v>-0.78847999999999996</v>
      </c>
      <c r="H9">
        <f t="shared" si="3"/>
        <v>-49.452890009600004</v>
      </c>
      <c r="I9">
        <v>1</v>
      </c>
      <c r="J9">
        <f t="shared" si="4"/>
        <v>-2.7690865420383308</v>
      </c>
      <c r="K9">
        <f t="shared" si="5"/>
        <v>-0.4332451517752175</v>
      </c>
      <c r="L9">
        <v>1</v>
      </c>
      <c r="M9">
        <f t="shared" si="6"/>
        <v>0.43461281708521582</v>
      </c>
      <c r="N9">
        <f t="shared" si="7"/>
        <v>5.3624975850000006E-3</v>
      </c>
      <c r="O9">
        <f t="shared" si="8"/>
        <v>1.223025765E-3</v>
      </c>
      <c r="P9">
        <f t="shared" si="9"/>
        <v>-7.9531886599983233E-3</v>
      </c>
      <c r="V9">
        <v>-5.5</v>
      </c>
      <c r="W9">
        <f t="shared" si="10"/>
        <v>-0.26474999999999999</v>
      </c>
      <c r="Y9">
        <v>0.05</v>
      </c>
      <c r="Z9">
        <f t="shared" si="11"/>
        <v>0.19964600000000005</v>
      </c>
      <c r="AB9" t="s">
        <v>30</v>
      </c>
      <c r="AC9">
        <v>3.4259999999999999E-2</v>
      </c>
    </row>
    <row r="10" spans="1:29" x14ac:dyDescent="0.3">
      <c r="A10">
        <v>0.36502390000000001</v>
      </c>
      <c r="B10">
        <v>0.77853000000000006</v>
      </c>
      <c r="C10">
        <f t="shared" si="0"/>
        <v>0.28418205686700004</v>
      </c>
      <c r="D10">
        <v>1.7100000000000001E-2</v>
      </c>
      <c r="E10">
        <v>3.8999999999999998E-3</v>
      </c>
      <c r="F10">
        <f t="shared" si="1"/>
        <v>73.004779999999997</v>
      </c>
      <c r="G10">
        <f t="shared" si="2"/>
        <v>-0.77853000000000006</v>
      </c>
      <c r="H10">
        <f t="shared" si="3"/>
        <v>-56.836411373400011</v>
      </c>
      <c r="I10">
        <v>1</v>
      </c>
      <c r="J10">
        <f t="shared" si="4"/>
        <v>-2.6172303605253768</v>
      </c>
      <c r="K10">
        <f t="shared" si="5"/>
        <v>-0.4431951517752174</v>
      </c>
      <c r="L10">
        <v>1</v>
      </c>
      <c r="M10">
        <f t="shared" si="6"/>
        <v>0.44405827157532157</v>
      </c>
      <c r="N10">
        <f t="shared" si="7"/>
        <v>6.2419086900000007E-3</v>
      </c>
      <c r="O10">
        <f t="shared" si="8"/>
        <v>1.4235932099999999E-3</v>
      </c>
      <c r="P10">
        <f t="shared" si="9"/>
        <v>-8.5286217001041727E-3</v>
      </c>
      <c r="V10">
        <v>-5.4</v>
      </c>
      <c r="W10">
        <f t="shared" si="10"/>
        <v>-0.27096999999999999</v>
      </c>
      <c r="Y10">
        <v>0.06</v>
      </c>
      <c r="Z10">
        <f t="shared" si="11"/>
        <v>0.33868919999999997</v>
      </c>
    </row>
    <row r="11" spans="1:29" x14ac:dyDescent="0.3">
      <c r="A11">
        <v>0.41645140000000003</v>
      </c>
      <c r="B11">
        <v>0.77081999999999995</v>
      </c>
      <c r="C11">
        <f t="shared" si="0"/>
        <v>0.32100906814800001</v>
      </c>
      <c r="D11">
        <v>1.7100000000000001E-2</v>
      </c>
      <c r="E11">
        <v>3.8999999999999998E-3</v>
      </c>
      <c r="F11">
        <f t="shared" si="1"/>
        <v>83.29028000000001</v>
      </c>
      <c r="G11">
        <f t="shared" si="2"/>
        <v>-0.77081999999999995</v>
      </c>
      <c r="H11">
        <f t="shared" si="3"/>
        <v>-64.201813629599997</v>
      </c>
      <c r="I11">
        <v>1</v>
      </c>
      <c r="J11">
        <f t="shared" si="4"/>
        <v>-2.4854234232924295</v>
      </c>
      <c r="K11">
        <f t="shared" si="5"/>
        <v>-0.45090515177521751</v>
      </c>
      <c r="L11">
        <v>1</v>
      </c>
      <c r="M11">
        <f t="shared" si="6"/>
        <v>0.45225666307121093</v>
      </c>
      <c r="N11">
        <f t="shared" si="7"/>
        <v>7.1213189400000003E-3</v>
      </c>
      <c r="O11">
        <f t="shared" si="8"/>
        <v>1.62416046E-3</v>
      </c>
      <c r="P11">
        <f t="shared" si="9"/>
        <v>-1.0096990695993423E-2</v>
      </c>
      <c r="V11">
        <v>-5.3</v>
      </c>
      <c r="W11">
        <f t="shared" si="10"/>
        <v>-0.27719000000000005</v>
      </c>
      <c r="Y11">
        <v>7.0000000000000007E-2</v>
      </c>
      <c r="Z11">
        <f t="shared" si="11"/>
        <v>0.47773240000000011</v>
      </c>
      <c r="AB11" t="s">
        <v>31</v>
      </c>
      <c r="AC11">
        <f>AC7-AC9</f>
        <v>1.3814409334652819E-3</v>
      </c>
    </row>
    <row r="12" spans="1:29" x14ac:dyDescent="0.3">
      <c r="A12">
        <v>0.4673697</v>
      </c>
      <c r="B12">
        <v>0.76356000000000002</v>
      </c>
      <c r="C12">
        <f t="shared" si="0"/>
        <v>0.356864808132</v>
      </c>
      <c r="D12">
        <v>1.7100000000000001E-2</v>
      </c>
      <c r="E12">
        <v>3.8999999999999998E-3</v>
      </c>
      <c r="F12">
        <f t="shared" si="1"/>
        <v>93.473939999999999</v>
      </c>
      <c r="G12">
        <f t="shared" si="2"/>
        <v>-0.76356000000000002</v>
      </c>
      <c r="H12">
        <f t="shared" si="3"/>
        <v>-71.372961626399999</v>
      </c>
      <c r="I12">
        <v>1</v>
      </c>
      <c r="J12">
        <f t="shared" si="4"/>
        <v>-2.3700725981137198</v>
      </c>
      <c r="K12">
        <f t="shared" si="5"/>
        <v>-0.45816515177521744</v>
      </c>
      <c r="L12">
        <v>1</v>
      </c>
      <c r="M12">
        <f t="shared" si="6"/>
        <v>0.45943148439732662</v>
      </c>
      <c r="N12">
        <f t="shared" si="7"/>
        <v>7.9920218700000011E-3</v>
      </c>
      <c r="O12">
        <f t="shared" si="8"/>
        <v>1.8227418299999998E-3</v>
      </c>
      <c r="P12">
        <f t="shared" si="9"/>
        <v>-1.108109632210918E-2</v>
      </c>
      <c r="V12">
        <v>-5.2</v>
      </c>
      <c r="W12">
        <f t="shared" si="10"/>
        <v>-0.28341</v>
      </c>
      <c r="Y12">
        <v>0.08</v>
      </c>
      <c r="Z12">
        <f t="shared" si="11"/>
        <v>0.61677559999999998</v>
      </c>
      <c r="AC12">
        <f>AC11*3</f>
        <v>4.1443228003958457E-3</v>
      </c>
    </row>
    <row r="13" spans="1:29" x14ac:dyDescent="0.3">
      <c r="A13">
        <v>0.51828810000000003</v>
      </c>
      <c r="B13">
        <v>0.75665000000000004</v>
      </c>
      <c r="C13">
        <f t="shared" si="0"/>
        <v>0.39216269086500005</v>
      </c>
      <c r="D13">
        <v>1.7100000000000001E-2</v>
      </c>
      <c r="E13">
        <v>3.8999999999999998E-3</v>
      </c>
      <c r="F13">
        <f t="shared" si="1"/>
        <v>103.65762000000001</v>
      </c>
      <c r="G13">
        <f t="shared" si="2"/>
        <v>-0.75665000000000004</v>
      </c>
      <c r="H13">
        <f t="shared" si="3"/>
        <v>-78.432538173000012</v>
      </c>
      <c r="I13">
        <v>1</v>
      </c>
      <c r="J13">
        <f t="shared" si="4"/>
        <v>-2.2666619261600172</v>
      </c>
      <c r="K13">
        <f t="shared" si="5"/>
        <v>-0.46507515177521741</v>
      </c>
      <c r="L13">
        <v>1</v>
      </c>
      <c r="M13">
        <f t="shared" si="6"/>
        <v>0.46586362819284693</v>
      </c>
      <c r="N13">
        <f t="shared" si="7"/>
        <v>8.8627265100000002E-3</v>
      </c>
      <c r="O13">
        <f t="shared" si="8"/>
        <v>2.02132359E-3</v>
      </c>
      <c r="P13">
        <f t="shared" si="9"/>
        <v>-1.1672526517629525E-2</v>
      </c>
      <c r="V13">
        <v>-5.0999999999999996</v>
      </c>
      <c r="W13">
        <f t="shared" si="10"/>
        <v>-0.28963000000000005</v>
      </c>
      <c r="Y13">
        <v>0.09</v>
      </c>
      <c r="Z13">
        <f t="shared" si="11"/>
        <v>0.7558187999999999</v>
      </c>
    </row>
    <row r="14" spans="1:29" x14ac:dyDescent="0.3">
      <c r="A14">
        <v>0.57480745</v>
      </c>
      <c r="B14">
        <v>0.75021000000000004</v>
      </c>
      <c r="C14">
        <f t="shared" si="0"/>
        <v>0.4312262970645</v>
      </c>
      <c r="D14">
        <v>1.7100000000000001E-2</v>
      </c>
      <c r="E14">
        <v>3.8999999999999998E-3</v>
      </c>
      <c r="F14">
        <f t="shared" si="1"/>
        <v>114.96149</v>
      </c>
      <c r="G14">
        <f t="shared" si="2"/>
        <v>-0.75021000000000004</v>
      </c>
      <c r="H14">
        <f t="shared" si="3"/>
        <v>-86.245259412899998</v>
      </c>
      <c r="I14">
        <v>1</v>
      </c>
      <c r="J14">
        <f t="shared" si="4"/>
        <v>-2.1631580762654377</v>
      </c>
      <c r="K14">
        <f t="shared" si="5"/>
        <v>-0.47151515177521741</v>
      </c>
      <c r="L14">
        <v>1</v>
      </c>
      <c r="M14">
        <f t="shared" si="6"/>
        <v>0.47230156765628978</v>
      </c>
      <c r="N14">
        <f t="shared" si="7"/>
        <v>9.829207395000001E-3</v>
      </c>
      <c r="O14">
        <f t="shared" si="8"/>
        <v>2.2417490549999997E-3</v>
      </c>
      <c r="P14">
        <f t="shared" si="9"/>
        <v>-1.2857372331072366E-2</v>
      </c>
      <c r="V14">
        <v>-5</v>
      </c>
      <c r="W14">
        <f t="shared" si="10"/>
        <v>-0.29585</v>
      </c>
      <c r="Y14">
        <v>0.1</v>
      </c>
      <c r="Z14">
        <f t="shared" si="11"/>
        <v>0.89486200000000005</v>
      </c>
    </row>
    <row r="15" spans="1:29" x14ac:dyDescent="0.3">
      <c r="A15">
        <v>0.62521654999999998</v>
      </c>
      <c r="B15">
        <v>0.74433000000000005</v>
      </c>
      <c r="C15">
        <f t="shared" si="0"/>
        <v>0.46536743466149999</v>
      </c>
      <c r="D15">
        <v>1.7100000000000001E-2</v>
      </c>
      <c r="E15">
        <v>3.8999999999999998E-3</v>
      </c>
      <c r="F15">
        <f t="shared" si="1"/>
        <v>125.04330999999999</v>
      </c>
      <c r="G15">
        <f t="shared" si="2"/>
        <v>-0.74433000000000005</v>
      </c>
      <c r="H15">
        <f t="shared" si="3"/>
        <v>-93.0734869323</v>
      </c>
      <c r="I15">
        <v>1</v>
      </c>
      <c r="J15">
        <f t="shared" si="4"/>
        <v>-2.0790951216901701</v>
      </c>
      <c r="K15">
        <f t="shared" si="5"/>
        <v>-0.47739515177521741</v>
      </c>
      <c r="L15">
        <v>1</v>
      </c>
      <c r="M15">
        <f t="shared" si="6"/>
        <v>0.47753028343087145</v>
      </c>
      <c r="N15">
        <f t="shared" si="7"/>
        <v>1.0691203005E-2</v>
      </c>
      <c r="O15">
        <f t="shared" si="8"/>
        <v>2.4383445449999998E-3</v>
      </c>
      <c r="P15">
        <f t="shared" si="9"/>
        <v>-1.3264679205654042E-2</v>
      </c>
      <c r="V15">
        <v>-4.9000000000000004</v>
      </c>
      <c r="W15">
        <f t="shared" si="10"/>
        <v>-0.30207000000000001</v>
      </c>
      <c r="Y15">
        <v>0.11</v>
      </c>
      <c r="Z15">
        <f t="shared" si="11"/>
        <v>1.0339052</v>
      </c>
    </row>
    <row r="16" spans="1:29" x14ac:dyDescent="0.3">
      <c r="A16">
        <v>0.67715325000000004</v>
      </c>
      <c r="B16">
        <v>0.73782000000000003</v>
      </c>
      <c r="C16">
        <f t="shared" si="0"/>
        <v>0.49961721091500005</v>
      </c>
      <c r="D16">
        <v>1.7100000000000001E-2</v>
      </c>
      <c r="E16">
        <v>3.8999999999999998E-3</v>
      </c>
      <c r="F16">
        <f t="shared" si="1"/>
        <v>135.43065000000001</v>
      </c>
      <c r="G16">
        <f t="shared" si="2"/>
        <v>-0.73782000000000003</v>
      </c>
      <c r="H16">
        <f t="shared" si="3"/>
        <v>-99.923442183000006</v>
      </c>
      <c r="I16">
        <v>1</v>
      </c>
      <c r="J16">
        <f t="shared" si="4"/>
        <v>-1.9992955777989436</v>
      </c>
      <c r="K16">
        <f t="shared" si="5"/>
        <v>-0.48390515177521742</v>
      </c>
      <c r="L16">
        <v>1</v>
      </c>
      <c r="M16">
        <f t="shared" si="6"/>
        <v>0.48249381506090572</v>
      </c>
      <c r="N16">
        <f t="shared" si="7"/>
        <v>1.1579320575000001E-2</v>
      </c>
      <c r="O16">
        <f t="shared" si="8"/>
        <v>2.640897675E-3</v>
      </c>
      <c r="P16">
        <f t="shared" si="9"/>
        <v>-1.2808881535688295E-2</v>
      </c>
      <c r="V16">
        <v>-4.8</v>
      </c>
      <c r="W16">
        <f t="shared" si="10"/>
        <v>-0.30829000000000001</v>
      </c>
      <c r="Y16">
        <v>0.12</v>
      </c>
      <c r="Z16">
        <f t="shared" si="11"/>
        <v>1.1729483999999999</v>
      </c>
    </row>
    <row r="17" spans="1:26" x14ac:dyDescent="0.3">
      <c r="A17">
        <v>0.72807160000000004</v>
      </c>
      <c r="B17">
        <v>0.73179000000000005</v>
      </c>
      <c r="C17">
        <f t="shared" si="0"/>
        <v>0.53279551616400012</v>
      </c>
      <c r="D17">
        <v>1.7100000000000001E-2</v>
      </c>
      <c r="E17">
        <v>3.8999999999999998E-3</v>
      </c>
      <c r="F17">
        <f t="shared" si="1"/>
        <v>145.61432000000002</v>
      </c>
      <c r="G17">
        <f t="shared" si="2"/>
        <v>-0.73179000000000005</v>
      </c>
      <c r="H17">
        <f t="shared" si="3"/>
        <v>-106.55910323280003</v>
      </c>
      <c r="I17">
        <v>1</v>
      </c>
      <c r="J17">
        <f t="shared" si="4"/>
        <v>-1.926793796407406</v>
      </c>
      <c r="K17">
        <f t="shared" si="5"/>
        <v>-0.4899351517752174</v>
      </c>
      <c r="L17">
        <v>1</v>
      </c>
      <c r="M17">
        <f t="shared" si="6"/>
        <v>0.48700342586345935</v>
      </c>
      <c r="N17">
        <f t="shared" si="7"/>
        <v>1.2450024360000001E-2</v>
      </c>
      <c r="O17">
        <f t="shared" si="8"/>
        <v>2.8394792400000001E-3</v>
      </c>
      <c r="P17">
        <f t="shared" si="9"/>
        <v>-1.2357777688241946E-2</v>
      </c>
      <c r="V17">
        <v>-4.7</v>
      </c>
      <c r="W17">
        <f t="shared" si="10"/>
        <v>-0.31451000000000001</v>
      </c>
      <c r="Y17">
        <v>0.13</v>
      </c>
      <c r="Z17">
        <f t="shared" si="11"/>
        <v>1.3119916</v>
      </c>
    </row>
    <row r="18" spans="1:26" x14ac:dyDescent="0.3">
      <c r="A18">
        <v>0.7794991</v>
      </c>
      <c r="B18">
        <v>0.72614000000000001</v>
      </c>
      <c r="C18">
        <f t="shared" si="0"/>
        <v>0.56602547647400003</v>
      </c>
      <c r="D18">
        <v>1.7100000000000001E-2</v>
      </c>
      <c r="E18">
        <v>3.8999999999999998E-3</v>
      </c>
      <c r="F18">
        <f t="shared" si="1"/>
        <v>155.89982000000001</v>
      </c>
      <c r="G18">
        <f t="shared" si="2"/>
        <v>-0.72614000000000001</v>
      </c>
      <c r="H18">
        <f t="shared" si="3"/>
        <v>-113.2050952948</v>
      </c>
      <c r="I18">
        <v>1</v>
      </c>
      <c r="J18">
        <f t="shared" si="4"/>
        <v>-1.8585416575053459</v>
      </c>
      <c r="K18">
        <f t="shared" si="5"/>
        <v>-0.49558515177521745</v>
      </c>
      <c r="L18">
        <v>1</v>
      </c>
      <c r="M18">
        <f t="shared" si="6"/>
        <v>0.49124870890316752</v>
      </c>
      <c r="N18">
        <f t="shared" si="7"/>
        <v>1.3329434610000001E-2</v>
      </c>
      <c r="O18">
        <f t="shared" si="8"/>
        <v>3.04004649E-3</v>
      </c>
      <c r="P18">
        <f t="shared" si="9"/>
        <v>-1.2033038227950073E-2</v>
      </c>
      <c r="V18">
        <v>-4.5999999999999996</v>
      </c>
      <c r="W18">
        <f t="shared" si="10"/>
        <v>-0.32073000000000002</v>
      </c>
      <c r="Y18">
        <v>0.14000000000000001</v>
      </c>
      <c r="Z18">
        <f t="shared" si="11"/>
        <v>1.4510348000000002</v>
      </c>
    </row>
    <row r="19" spans="1:26" x14ac:dyDescent="0.3">
      <c r="A19">
        <v>0.83041735000000005</v>
      </c>
      <c r="B19">
        <v>0.72080999999999995</v>
      </c>
      <c r="C19">
        <f t="shared" si="0"/>
        <v>0.59857313005349999</v>
      </c>
      <c r="D19">
        <v>1.7100000000000001E-2</v>
      </c>
      <c r="E19">
        <v>3.8999999999999998E-3</v>
      </c>
      <c r="F19">
        <f t="shared" si="1"/>
        <v>166.08347000000001</v>
      </c>
      <c r="G19">
        <f t="shared" si="2"/>
        <v>-0.72080999999999995</v>
      </c>
      <c r="H19">
        <f t="shared" si="3"/>
        <v>-119.7146260107</v>
      </c>
      <c r="I19">
        <v>1</v>
      </c>
      <c r="J19">
        <f t="shared" si="4"/>
        <v>-1.7952647856776009</v>
      </c>
      <c r="K19">
        <f t="shared" si="5"/>
        <v>-0.5009151517752175</v>
      </c>
      <c r="L19">
        <v>1</v>
      </c>
      <c r="M19">
        <f t="shared" si="6"/>
        <v>0.49518453033085319</v>
      </c>
      <c r="N19">
        <f t="shared" si="7"/>
        <v>1.4200136685000002E-2</v>
      </c>
      <c r="O19">
        <f t="shared" si="8"/>
        <v>3.2386276649999999E-3</v>
      </c>
      <c r="P19">
        <f t="shared" si="9"/>
        <v>-1.1708142905635687E-2</v>
      </c>
      <c r="V19">
        <v>-4.5000000000000098</v>
      </c>
      <c r="W19">
        <f t="shared" si="10"/>
        <v>-0.32694999999999941</v>
      </c>
      <c r="Y19">
        <v>0.15</v>
      </c>
      <c r="Z19">
        <f t="shared" si="11"/>
        <v>1.5900779999999999</v>
      </c>
    </row>
    <row r="20" spans="1:26" x14ac:dyDescent="0.3">
      <c r="A20">
        <v>0.88439080000000003</v>
      </c>
      <c r="B20">
        <v>0.71582999999999997</v>
      </c>
      <c r="C20">
        <f t="shared" si="0"/>
        <v>0.63307346636399997</v>
      </c>
      <c r="D20">
        <v>1.7100000000000001E-2</v>
      </c>
      <c r="E20">
        <v>3.8999999999999998E-3</v>
      </c>
      <c r="F20">
        <f t="shared" si="1"/>
        <v>176.87816000000001</v>
      </c>
      <c r="G20">
        <f t="shared" si="2"/>
        <v>-0.71582999999999997</v>
      </c>
      <c r="H20">
        <f t="shared" si="3"/>
        <v>-126.6146932728</v>
      </c>
      <c r="I20">
        <v>1</v>
      </c>
      <c r="J20">
        <f t="shared" si="4"/>
        <v>-1.7322941450198435</v>
      </c>
      <c r="K20">
        <f t="shared" si="5"/>
        <v>-0.50589515177521749</v>
      </c>
      <c r="L20">
        <v>1</v>
      </c>
      <c r="M20">
        <f t="shared" si="6"/>
        <v>0.49910130417976573</v>
      </c>
      <c r="N20">
        <f t="shared" si="7"/>
        <v>1.512308268E-2</v>
      </c>
      <c r="O20">
        <f t="shared" si="8"/>
        <v>3.44912412E-3</v>
      </c>
      <c r="P20">
        <f t="shared" si="9"/>
        <v>-1.1778359204548238E-2</v>
      </c>
      <c r="V20">
        <v>-4.4000000000000101</v>
      </c>
      <c r="W20">
        <f t="shared" si="10"/>
        <v>-0.33316999999999936</v>
      </c>
      <c r="Y20">
        <v>0.16</v>
      </c>
      <c r="Z20">
        <f t="shared" si="11"/>
        <v>1.7291212</v>
      </c>
    </row>
    <row r="21" spans="1:26" x14ac:dyDescent="0.3">
      <c r="A21">
        <v>0.93530919999999995</v>
      </c>
      <c r="B21">
        <v>0.71077000000000001</v>
      </c>
      <c r="C21">
        <f t="shared" si="0"/>
        <v>0.66478972008399995</v>
      </c>
      <c r="D21">
        <v>1.7100000000000001E-2</v>
      </c>
      <c r="E21">
        <v>3.8999999999999998E-3</v>
      </c>
      <c r="F21">
        <f t="shared" si="1"/>
        <v>187.06183999999999</v>
      </c>
      <c r="G21">
        <f t="shared" si="2"/>
        <v>-0.71077000000000001</v>
      </c>
      <c r="H21">
        <f t="shared" si="3"/>
        <v>-132.95794401679998</v>
      </c>
      <c r="I21">
        <v>1</v>
      </c>
      <c r="J21">
        <f t="shared" si="4"/>
        <v>-1.6763160216079862</v>
      </c>
      <c r="K21">
        <f t="shared" si="5"/>
        <v>-0.51095515177521744</v>
      </c>
      <c r="L21">
        <v>1</v>
      </c>
      <c r="M21">
        <f t="shared" si="6"/>
        <v>0.50258314345598332</v>
      </c>
      <c r="N21">
        <f t="shared" si="7"/>
        <v>1.5993787320000001E-2</v>
      </c>
      <c r="O21">
        <f t="shared" si="8"/>
        <v>3.6477058799999997E-3</v>
      </c>
      <c r="P21">
        <f t="shared" si="9"/>
        <v>-1.1269484880765875E-2</v>
      </c>
      <c r="V21">
        <v>-4.3000000000000096</v>
      </c>
      <c r="W21">
        <f t="shared" si="10"/>
        <v>-0.33938999999999941</v>
      </c>
      <c r="Y21">
        <v>0.17</v>
      </c>
      <c r="Z21">
        <f t="shared" si="11"/>
        <v>1.8681644000000002</v>
      </c>
    </row>
    <row r="22" spans="1:26" x14ac:dyDescent="0.3">
      <c r="A22">
        <v>0.98775500000000005</v>
      </c>
      <c r="B22">
        <v>0.70545999999999998</v>
      </c>
      <c r="C22">
        <f t="shared" si="0"/>
        <v>0.69682164229999999</v>
      </c>
      <c r="D22">
        <v>1.7100000000000001E-2</v>
      </c>
      <c r="E22">
        <v>3.8999999999999998E-3</v>
      </c>
      <c r="F22">
        <f t="shared" si="1"/>
        <v>197.55100000000002</v>
      </c>
      <c r="G22">
        <f t="shared" si="2"/>
        <v>-0.70545999999999998</v>
      </c>
      <c r="H22">
        <f t="shared" si="3"/>
        <v>-139.36432846</v>
      </c>
      <c r="I22">
        <v>1</v>
      </c>
      <c r="J22">
        <f t="shared" si="4"/>
        <v>-1.6217585001279313</v>
      </c>
      <c r="K22">
        <f t="shared" si="5"/>
        <v>-0.51626515177521748</v>
      </c>
      <c r="L22">
        <v>1</v>
      </c>
      <c r="M22">
        <f t="shared" si="6"/>
        <v>0.50597662129204268</v>
      </c>
      <c r="N22">
        <f t="shared" si="7"/>
        <v>1.68906105E-2</v>
      </c>
      <c r="O22">
        <f t="shared" si="8"/>
        <v>3.8522445000000001E-3</v>
      </c>
      <c r="P22">
        <f t="shared" si="9"/>
        <v>-1.0454324516825205E-2</v>
      </c>
      <c r="V22">
        <v>-4.2000000000000099</v>
      </c>
      <c r="W22">
        <f t="shared" si="10"/>
        <v>-0.34560999999999936</v>
      </c>
      <c r="Y22">
        <v>0.18</v>
      </c>
      <c r="Z22">
        <f t="shared" si="11"/>
        <v>2.0072076000000001</v>
      </c>
    </row>
    <row r="23" spans="1:26" x14ac:dyDescent="0.3">
      <c r="A23">
        <v>1.0396917999999999</v>
      </c>
      <c r="B23">
        <v>0.70065</v>
      </c>
      <c r="C23">
        <f t="shared" si="0"/>
        <v>0.72846005966999994</v>
      </c>
      <c r="D23">
        <v>1.7100000000000001E-2</v>
      </c>
      <c r="E23">
        <v>3.8999999999999998E-3</v>
      </c>
      <c r="F23">
        <f t="shared" si="1"/>
        <v>207.93835999999999</v>
      </c>
      <c r="G23">
        <f t="shared" si="2"/>
        <v>-0.70065</v>
      </c>
      <c r="H23">
        <f t="shared" si="3"/>
        <v>-145.69201193399999</v>
      </c>
      <c r="I23">
        <v>1</v>
      </c>
      <c r="J23">
        <f t="shared" si="4"/>
        <v>-1.5705135893538638</v>
      </c>
      <c r="K23">
        <f t="shared" si="5"/>
        <v>-0.52107515177521746</v>
      </c>
      <c r="L23">
        <v>1</v>
      </c>
      <c r="M23">
        <f t="shared" si="6"/>
        <v>0.50916405474218962</v>
      </c>
      <c r="N23">
        <f t="shared" si="7"/>
        <v>1.7778729779999999E-2</v>
      </c>
      <c r="O23">
        <f t="shared" si="8"/>
        <v>4.05479802E-3</v>
      </c>
      <c r="P23">
        <f t="shared" si="9"/>
        <v>-9.9224307669721588E-3</v>
      </c>
      <c r="V23">
        <v>-4.1000000000000103</v>
      </c>
      <c r="W23">
        <f t="shared" si="10"/>
        <v>-0.35182999999999937</v>
      </c>
      <c r="Y23">
        <v>0.19</v>
      </c>
      <c r="Z23">
        <f t="shared" si="11"/>
        <v>2.1462508000000002</v>
      </c>
    </row>
    <row r="24" spans="1:26" x14ac:dyDescent="0.3">
      <c r="A24">
        <v>1.090101</v>
      </c>
      <c r="B24">
        <v>0.69637000000000004</v>
      </c>
      <c r="C24">
        <f t="shared" si="0"/>
        <v>0.75911363337000004</v>
      </c>
      <c r="D24">
        <v>1.7100000000000001E-2</v>
      </c>
      <c r="E24">
        <v>3.8999999999999998E-3</v>
      </c>
      <c r="F24">
        <f t="shared" si="1"/>
        <v>218.02019999999999</v>
      </c>
      <c r="G24">
        <f t="shared" si="2"/>
        <v>-0.69637000000000004</v>
      </c>
      <c r="H24">
        <f t="shared" si="3"/>
        <v>-151.82272667399999</v>
      </c>
      <c r="I24">
        <v>1</v>
      </c>
      <c r="J24">
        <f t="shared" si="4"/>
        <v>-1.5231675599353129</v>
      </c>
      <c r="K24">
        <f t="shared" si="5"/>
        <v>-0.52535515177521741</v>
      </c>
      <c r="L24">
        <v>1</v>
      </c>
      <c r="M24">
        <f t="shared" si="6"/>
        <v>0.51210897777202358</v>
      </c>
      <c r="N24">
        <f t="shared" si="7"/>
        <v>1.8640727100000001E-2</v>
      </c>
      <c r="O24">
        <f t="shared" si="8"/>
        <v>4.2513938999999999E-3</v>
      </c>
      <c r="P24">
        <f t="shared" si="9"/>
        <v>-9.6459469968061679E-3</v>
      </c>
      <c r="V24">
        <v>-4.0000000000000098</v>
      </c>
      <c r="W24">
        <f t="shared" si="10"/>
        <v>-0.35804999999999942</v>
      </c>
      <c r="Y24">
        <v>0.2</v>
      </c>
      <c r="Z24">
        <f t="shared" si="11"/>
        <v>2.2852940000000004</v>
      </c>
    </row>
    <row r="25" spans="1:26" x14ac:dyDescent="0.3">
      <c r="A25">
        <v>1.1415284000000001</v>
      </c>
      <c r="B25">
        <v>0.69157999999999997</v>
      </c>
      <c r="C25">
        <f t="shared" si="0"/>
        <v>0.78945821087200008</v>
      </c>
      <c r="D25">
        <v>1.7100000000000001E-2</v>
      </c>
      <c r="E25">
        <v>3.8999999999999998E-3</v>
      </c>
      <c r="F25">
        <f t="shared" si="1"/>
        <v>228.30568000000002</v>
      </c>
      <c r="G25">
        <f t="shared" si="2"/>
        <v>-0.69157999999999997</v>
      </c>
      <c r="H25">
        <f t="shared" si="3"/>
        <v>-157.8916421744</v>
      </c>
      <c r="I25">
        <v>1</v>
      </c>
      <c r="J25">
        <f t="shared" si="4"/>
        <v>-1.4770698462114189</v>
      </c>
      <c r="K25">
        <f t="shared" si="5"/>
        <v>-0.53014515177521748</v>
      </c>
      <c r="L25">
        <v>1</v>
      </c>
      <c r="M25">
        <f t="shared" si="6"/>
        <v>0.51497625556564974</v>
      </c>
      <c r="N25">
        <f t="shared" si="7"/>
        <v>1.9520135640000002E-2</v>
      </c>
      <c r="O25">
        <f t="shared" si="8"/>
        <v>4.45196076E-3</v>
      </c>
      <c r="P25">
        <f t="shared" si="9"/>
        <v>-8.8032001904322626E-3</v>
      </c>
      <c r="V25">
        <v>-3.9000000000000101</v>
      </c>
      <c r="W25">
        <f t="shared" si="10"/>
        <v>-0.36426999999999937</v>
      </c>
      <c r="Y25">
        <v>0.21</v>
      </c>
      <c r="Z25">
        <f t="shared" si="11"/>
        <v>2.4243372000000001</v>
      </c>
    </row>
    <row r="26" spans="1:26" x14ac:dyDescent="0.3">
      <c r="A26">
        <v>1.1939742</v>
      </c>
      <c r="B26">
        <v>0.68725000000000003</v>
      </c>
      <c r="C26">
        <f t="shared" si="0"/>
        <v>0.82055876895000002</v>
      </c>
      <c r="D26">
        <v>1.7100000000000001E-2</v>
      </c>
      <c r="E26">
        <v>3.8999999999999998E-3</v>
      </c>
      <c r="F26">
        <f t="shared" si="1"/>
        <v>238.79483999999999</v>
      </c>
      <c r="G26">
        <f t="shared" si="2"/>
        <v>-0.68725000000000003</v>
      </c>
      <c r="H26">
        <f t="shared" si="3"/>
        <v>-164.11175378999999</v>
      </c>
      <c r="I26">
        <v>1</v>
      </c>
      <c r="J26">
        <f t="shared" si="4"/>
        <v>-1.4321505057373483</v>
      </c>
      <c r="K26">
        <f t="shared" si="5"/>
        <v>-0.53447515177521743</v>
      </c>
      <c r="L26">
        <v>1</v>
      </c>
      <c r="M26">
        <f t="shared" si="6"/>
        <v>0.51777023854313697</v>
      </c>
      <c r="N26">
        <f t="shared" si="7"/>
        <v>2.0416958820000001E-2</v>
      </c>
      <c r="O26">
        <f t="shared" si="8"/>
        <v>4.6564993799999999E-3</v>
      </c>
      <c r="P26">
        <f t="shared" si="9"/>
        <v>-8.3685449679195469E-3</v>
      </c>
      <c r="V26">
        <v>-3.80000000000001</v>
      </c>
      <c r="W26">
        <f t="shared" si="10"/>
        <v>-0.37048999999999938</v>
      </c>
      <c r="Y26">
        <v>0.22</v>
      </c>
      <c r="Z26">
        <f t="shared" si="11"/>
        <v>2.5633804000000002</v>
      </c>
    </row>
    <row r="27" spans="1:26" x14ac:dyDescent="0.3">
      <c r="A27">
        <v>1.2448927000000001</v>
      </c>
      <c r="B27">
        <v>0.68296999999999997</v>
      </c>
      <c r="C27">
        <f t="shared" si="0"/>
        <v>0.85022436731899997</v>
      </c>
      <c r="D27">
        <v>1.7100000000000001E-2</v>
      </c>
      <c r="E27">
        <v>3.8999999999999998E-3</v>
      </c>
      <c r="F27">
        <f t="shared" si="1"/>
        <v>248.97854000000001</v>
      </c>
      <c r="G27">
        <f t="shared" si="2"/>
        <v>-0.68296999999999997</v>
      </c>
      <c r="H27">
        <f t="shared" si="3"/>
        <v>-170.0448734638</v>
      </c>
      <c r="I27">
        <v>1</v>
      </c>
      <c r="J27">
        <f t="shared" si="4"/>
        <v>-1.3903885709705033</v>
      </c>
      <c r="K27">
        <f t="shared" si="5"/>
        <v>-0.53875515177521749</v>
      </c>
      <c r="L27">
        <v>1</v>
      </c>
      <c r="M27">
        <f t="shared" si="6"/>
        <v>0.52036783088563465</v>
      </c>
      <c r="N27">
        <f t="shared" si="7"/>
        <v>2.1287665170000001E-2</v>
      </c>
      <c r="O27">
        <f t="shared" si="8"/>
        <v>4.8550815300000003E-3</v>
      </c>
      <c r="P27">
        <f t="shared" si="9"/>
        <v>-7.7554258104171646E-3</v>
      </c>
      <c r="V27">
        <v>-3.7000000000000099</v>
      </c>
      <c r="W27">
        <f t="shared" si="10"/>
        <v>-0.37670999999999938</v>
      </c>
      <c r="Y27">
        <v>0.23</v>
      </c>
      <c r="Z27">
        <f t="shared" si="11"/>
        <v>2.7024236000000004</v>
      </c>
    </row>
    <row r="28" spans="1:26" x14ac:dyDescent="0.3">
      <c r="A28">
        <v>1.2998845000000001</v>
      </c>
      <c r="B28">
        <v>0.67903999999999998</v>
      </c>
      <c r="C28">
        <f t="shared" si="0"/>
        <v>0.88267357088000009</v>
      </c>
      <c r="D28">
        <v>1.7100000000000001E-2</v>
      </c>
      <c r="E28">
        <v>3.8999999999999998E-3</v>
      </c>
      <c r="F28">
        <f t="shared" si="1"/>
        <v>259.9769</v>
      </c>
      <c r="G28">
        <f t="shared" si="2"/>
        <v>-0.67903999999999998</v>
      </c>
      <c r="H28">
        <f t="shared" si="3"/>
        <v>-176.53471417600002</v>
      </c>
      <c r="I28">
        <v>1</v>
      </c>
      <c r="J28">
        <f t="shared" si="4"/>
        <v>-1.3471624980675088</v>
      </c>
      <c r="K28">
        <f t="shared" si="5"/>
        <v>-0.54268515177521748</v>
      </c>
      <c r="L28">
        <v>1</v>
      </c>
      <c r="M28">
        <f t="shared" si="6"/>
        <v>0.52305649262020093</v>
      </c>
      <c r="N28">
        <f t="shared" si="7"/>
        <v>2.2228024950000001E-2</v>
      </c>
      <c r="O28">
        <f t="shared" si="8"/>
        <v>5.06954955E-3</v>
      </c>
      <c r="P28">
        <f t="shared" si="9"/>
        <v>-7.6689153449834534E-3</v>
      </c>
      <c r="V28">
        <v>-3.6000000000000099</v>
      </c>
      <c r="W28">
        <f t="shared" si="10"/>
        <v>-0.38292999999999938</v>
      </c>
      <c r="Y28">
        <v>0.24</v>
      </c>
      <c r="Z28">
        <f t="shared" si="11"/>
        <v>2.8414668000000001</v>
      </c>
    </row>
    <row r="29" spans="1:26" x14ac:dyDescent="0.3">
      <c r="A29">
        <v>1.3523303</v>
      </c>
      <c r="B29">
        <v>0.67425999999999997</v>
      </c>
      <c r="C29">
        <f t="shared" si="0"/>
        <v>0.91182222807799995</v>
      </c>
      <c r="D29">
        <v>1.7100000000000001E-2</v>
      </c>
      <c r="E29">
        <v>3.8999999999999998E-3</v>
      </c>
      <c r="F29">
        <f t="shared" si="1"/>
        <v>270.46605999999997</v>
      </c>
      <c r="G29">
        <f t="shared" si="2"/>
        <v>-0.67425999999999997</v>
      </c>
      <c r="H29">
        <f t="shared" si="3"/>
        <v>-182.3644456156</v>
      </c>
      <c r="I29">
        <v>1</v>
      </c>
      <c r="J29">
        <f t="shared" si="4"/>
        <v>-1.3076086599171424</v>
      </c>
      <c r="K29">
        <f t="shared" si="5"/>
        <v>-0.54746515177521748</v>
      </c>
      <c r="L29">
        <v>1</v>
      </c>
      <c r="M29">
        <f t="shared" si="6"/>
        <v>0.52551674135315374</v>
      </c>
      <c r="N29">
        <f t="shared" si="7"/>
        <v>2.312484813E-2</v>
      </c>
      <c r="O29">
        <f t="shared" si="8"/>
        <v>5.2740881699999999E-3</v>
      </c>
      <c r="P29">
        <f t="shared" si="9"/>
        <v>-6.4505258779362536E-3</v>
      </c>
      <c r="V29">
        <v>-3.5000000000000102</v>
      </c>
      <c r="W29">
        <f t="shared" si="10"/>
        <v>-0.38914999999999933</v>
      </c>
      <c r="Y29">
        <v>0.25</v>
      </c>
      <c r="Z29">
        <f t="shared" si="11"/>
        <v>2.9805100000000002</v>
      </c>
    </row>
    <row r="30" spans="1:26" x14ac:dyDescent="0.3">
      <c r="A30">
        <v>1.4027395</v>
      </c>
      <c r="B30">
        <v>0.66996999999999995</v>
      </c>
      <c r="C30">
        <f t="shared" si="0"/>
        <v>0.93979338281499991</v>
      </c>
      <c r="D30">
        <v>1.7100000000000001E-2</v>
      </c>
      <c r="E30">
        <v>3.8999999999999998E-3</v>
      </c>
      <c r="F30">
        <f t="shared" si="1"/>
        <v>280.54790000000003</v>
      </c>
      <c r="G30">
        <f t="shared" si="2"/>
        <v>-0.66996999999999995</v>
      </c>
      <c r="H30">
        <f t="shared" si="3"/>
        <v>-187.95867656299998</v>
      </c>
      <c r="I30">
        <v>1</v>
      </c>
      <c r="J30">
        <f t="shared" si="4"/>
        <v>-1.2710108021099096</v>
      </c>
      <c r="K30">
        <f t="shared" si="5"/>
        <v>-0.5517551517752175</v>
      </c>
      <c r="L30">
        <v>1</v>
      </c>
      <c r="M30">
        <f t="shared" si="6"/>
        <v>0.52779312810876367</v>
      </c>
      <c r="N30">
        <f t="shared" si="7"/>
        <v>2.3986845450000002E-2</v>
      </c>
      <c r="O30">
        <f t="shared" si="8"/>
        <v>5.4706840499999998E-3</v>
      </c>
      <c r="P30">
        <f t="shared" si="9"/>
        <v>-5.4955058335461665E-3</v>
      </c>
      <c r="V30">
        <v>-3.4000000000000101</v>
      </c>
      <c r="W30">
        <f t="shared" si="10"/>
        <v>-0.39536999999999939</v>
      </c>
      <c r="Y30">
        <v>0.26</v>
      </c>
      <c r="Z30">
        <f t="shared" si="11"/>
        <v>3.1195532000000004</v>
      </c>
    </row>
    <row r="31" spans="1:26" x14ac:dyDescent="0.3">
      <c r="A31">
        <v>1.4531487000000001</v>
      </c>
      <c r="B31">
        <v>0.66620999999999997</v>
      </c>
      <c r="C31">
        <f t="shared" si="0"/>
        <v>0.96810219542700005</v>
      </c>
      <c r="D31">
        <v>1.7100000000000001E-2</v>
      </c>
      <c r="E31">
        <v>3.8999999999999998E-3</v>
      </c>
      <c r="F31">
        <f t="shared" si="1"/>
        <v>290.62974000000003</v>
      </c>
      <c r="G31">
        <f t="shared" si="2"/>
        <v>-0.66620999999999997</v>
      </c>
      <c r="H31">
        <f t="shared" si="3"/>
        <v>-193.62043908540002</v>
      </c>
      <c r="I31">
        <v>1</v>
      </c>
      <c r="J31">
        <f t="shared" si="4"/>
        <v>-1.2357051930960983</v>
      </c>
      <c r="K31">
        <f t="shared" si="5"/>
        <v>-0.55551515177521749</v>
      </c>
      <c r="L31">
        <v>1</v>
      </c>
      <c r="M31">
        <f t="shared" si="6"/>
        <v>0.52998913698942274</v>
      </c>
      <c r="N31">
        <f t="shared" si="7"/>
        <v>2.4848842770000001E-2</v>
      </c>
      <c r="O31">
        <f t="shared" si="8"/>
        <v>5.6672799299999996E-3</v>
      </c>
      <c r="P31">
        <f t="shared" si="9"/>
        <v>-4.990107914205252E-3</v>
      </c>
      <c r="V31">
        <v>-3.30000000000001</v>
      </c>
      <c r="W31">
        <f t="shared" si="10"/>
        <v>-0.40158999999999939</v>
      </c>
      <c r="Y31">
        <v>0.27</v>
      </c>
      <c r="Z31">
        <f t="shared" si="11"/>
        <v>3.2585964000000005</v>
      </c>
    </row>
    <row r="32" spans="1:26" x14ac:dyDescent="0.3">
      <c r="A32">
        <v>1.5050853</v>
      </c>
      <c r="B32">
        <v>0.66217999999999999</v>
      </c>
      <c r="C32">
        <f t="shared" si="0"/>
        <v>0.99663738395399992</v>
      </c>
      <c r="D32">
        <v>1.7100000000000001E-2</v>
      </c>
      <c r="E32">
        <v>3.8999999999999998E-3</v>
      </c>
      <c r="F32">
        <f t="shared" si="1"/>
        <v>301.01706000000001</v>
      </c>
      <c r="G32">
        <f t="shared" si="2"/>
        <v>-0.66217999999999999</v>
      </c>
      <c r="H32">
        <f t="shared" si="3"/>
        <v>-199.32747679079998</v>
      </c>
      <c r="I32">
        <v>1</v>
      </c>
      <c r="J32">
        <f t="shared" si="4"/>
        <v>-1.2005883380985201</v>
      </c>
      <c r="K32">
        <f t="shared" si="5"/>
        <v>-0.55954515177521746</v>
      </c>
      <c r="L32">
        <v>1</v>
      </c>
      <c r="M32">
        <f t="shared" si="6"/>
        <v>0.53217340537027202</v>
      </c>
      <c r="N32">
        <f t="shared" si="7"/>
        <v>2.5736958630000001E-2</v>
      </c>
      <c r="O32">
        <f t="shared" si="8"/>
        <v>5.8698326699999992E-3</v>
      </c>
      <c r="P32">
        <f t="shared" si="9"/>
        <v>-4.2350448950545594E-3</v>
      </c>
      <c r="V32">
        <v>-3.2000000000000099</v>
      </c>
      <c r="W32">
        <f t="shared" si="10"/>
        <v>-0.4078099999999994</v>
      </c>
    </row>
    <row r="33" spans="1:23" x14ac:dyDescent="0.3">
      <c r="A33">
        <v>1.5570219999999999</v>
      </c>
      <c r="B33">
        <v>0.65827999999999998</v>
      </c>
      <c r="C33">
        <f t="shared" si="0"/>
        <v>1.0249564421599999</v>
      </c>
      <c r="D33">
        <v>1.7100000000000001E-2</v>
      </c>
      <c r="E33">
        <v>3.8999999999999998E-3</v>
      </c>
      <c r="F33">
        <f t="shared" si="1"/>
        <v>311.40440000000001</v>
      </c>
      <c r="G33">
        <f t="shared" si="2"/>
        <v>-0.65827999999999998</v>
      </c>
      <c r="H33">
        <f t="shared" si="3"/>
        <v>-204.99128843199998</v>
      </c>
      <c r="I33">
        <v>1</v>
      </c>
      <c r="J33">
        <f t="shared" si="4"/>
        <v>-1.1666628899453897</v>
      </c>
      <c r="K33">
        <f t="shared" si="5"/>
        <v>-0.56344515177521748</v>
      </c>
      <c r="L33">
        <v>1</v>
      </c>
      <c r="M33">
        <f t="shared" si="6"/>
        <v>0.5342835682453968</v>
      </c>
      <c r="N33">
        <f t="shared" si="7"/>
        <v>2.66250762E-2</v>
      </c>
      <c r="O33">
        <f t="shared" si="8"/>
        <v>6.072385799999999E-3</v>
      </c>
      <c r="P33">
        <f t="shared" si="9"/>
        <v>-3.5358784701793209E-3</v>
      </c>
      <c r="V33">
        <v>-3.1000000000000099</v>
      </c>
      <c r="W33">
        <f t="shared" si="10"/>
        <v>-0.4140299999999994</v>
      </c>
    </row>
    <row r="34" spans="1:23" x14ac:dyDescent="0.3">
      <c r="A34">
        <v>1.6074310000000001</v>
      </c>
      <c r="B34">
        <v>0.65464</v>
      </c>
      <c r="C34">
        <f t="shared" si="0"/>
        <v>1.05228862984</v>
      </c>
      <c r="D34">
        <v>1.7100000000000001E-2</v>
      </c>
      <c r="E34">
        <v>3.8999999999999998E-3</v>
      </c>
      <c r="F34">
        <f t="shared" si="1"/>
        <v>321.4862</v>
      </c>
      <c r="G34">
        <f t="shared" si="2"/>
        <v>-0.65464</v>
      </c>
      <c r="H34">
        <f t="shared" si="3"/>
        <v>-210.45772596800001</v>
      </c>
      <c r="I34">
        <v>1</v>
      </c>
      <c r="J34">
        <f t="shared" si="4"/>
        <v>-1.1348006600204277</v>
      </c>
      <c r="K34">
        <f t="shared" si="5"/>
        <v>-0.56708515177521746</v>
      </c>
      <c r="L34">
        <v>1</v>
      </c>
      <c r="M34">
        <f t="shared" si="6"/>
        <v>0.53626539894672942</v>
      </c>
      <c r="N34">
        <f t="shared" si="7"/>
        <v>2.74870701E-2</v>
      </c>
      <c r="O34">
        <f t="shared" si="8"/>
        <v>6.2689809000000003E-3</v>
      </c>
      <c r="P34">
        <f t="shared" si="9"/>
        <v>-2.9362981715119665E-3</v>
      </c>
      <c r="V34">
        <v>-3.0000000000000102</v>
      </c>
      <c r="W34">
        <f t="shared" si="10"/>
        <v>-0.42024999999999935</v>
      </c>
    </row>
    <row r="35" spans="1:23" x14ac:dyDescent="0.3">
      <c r="A35">
        <v>1.6588585</v>
      </c>
      <c r="B35">
        <v>0.65059</v>
      </c>
      <c r="C35">
        <f t="shared" si="0"/>
        <v>1.0792367515150001</v>
      </c>
      <c r="D35">
        <v>1.7100000000000001E-2</v>
      </c>
      <c r="E35">
        <v>3.8999999999999998E-3</v>
      </c>
      <c r="F35">
        <f t="shared" si="1"/>
        <v>331.77170000000001</v>
      </c>
      <c r="G35">
        <f t="shared" si="2"/>
        <v>-0.65059</v>
      </c>
      <c r="H35">
        <f t="shared" si="3"/>
        <v>-215.84735030300001</v>
      </c>
      <c r="I35">
        <v>1</v>
      </c>
      <c r="J35">
        <f t="shared" si="4"/>
        <v>-1.1033081972081777</v>
      </c>
      <c r="K35">
        <f t="shared" si="5"/>
        <v>-0.57113515177521745</v>
      </c>
      <c r="L35">
        <v>1</v>
      </c>
      <c r="M35">
        <f t="shared" si="6"/>
        <v>0.53822423013365139</v>
      </c>
      <c r="N35">
        <f t="shared" si="7"/>
        <v>2.8366480350000001E-2</v>
      </c>
      <c r="O35">
        <f t="shared" si="8"/>
        <v>6.4695481499999997E-3</v>
      </c>
      <c r="P35">
        <f t="shared" si="9"/>
        <v>-1.9251068584339405E-3</v>
      </c>
      <c r="V35">
        <v>-2.9000000000000101</v>
      </c>
      <c r="W35">
        <f t="shared" si="10"/>
        <v>-0.42646999999999935</v>
      </c>
    </row>
    <row r="36" spans="1:23" x14ac:dyDescent="0.3">
      <c r="A36">
        <v>1.7092677000000001</v>
      </c>
      <c r="B36">
        <v>0.64703999999999995</v>
      </c>
      <c r="C36">
        <f t="shared" si="0"/>
        <v>1.1059645726079999</v>
      </c>
      <c r="D36">
        <v>1.7100000000000001E-2</v>
      </c>
      <c r="E36">
        <v>3.8999999999999998E-3</v>
      </c>
      <c r="F36">
        <f t="shared" si="1"/>
        <v>341.85354000000001</v>
      </c>
      <c r="G36">
        <f t="shared" si="2"/>
        <v>-0.64703999999999995</v>
      </c>
      <c r="H36">
        <f t="shared" si="3"/>
        <v>-221.19291452159996</v>
      </c>
      <c r="I36">
        <v>1</v>
      </c>
      <c r="J36">
        <f t="shared" si="4"/>
        <v>-1.0733728792569075</v>
      </c>
      <c r="K36">
        <f t="shared" si="5"/>
        <v>-0.57468515177521751</v>
      </c>
      <c r="L36">
        <v>1</v>
      </c>
      <c r="M36">
        <f t="shared" si="6"/>
        <v>0.54008620691022036</v>
      </c>
      <c r="N36">
        <f t="shared" si="7"/>
        <v>2.9228477670000003E-2</v>
      </c>
      <c r="O36">
        <f t="shared" si="8"/>
        <v>6.6661440299999996E-3</v>
      </c>
      <c r="P36">
        <f t="shared" si="9"/>
        <v>-1.2956768350028524E-3</v>
      </c>
      <c r="V36">
        <v>-2.80000000000001</v>
      </c>
      <c r="W36">
        <f t="shared" ref="W36:W67" si="12">V36*$S$5+$S$4</f>
        <v>-0.43268999999999935</v>
      </c>
    </row>
    <row r="37" spans="1:23" x14ac:dyDescent="0.3">
      <c r="A37">
        <v>1.7596769000000001</v>
      </c>
      <c r="B37">
        <v>0.64390999999999998</v>
      </c>
      <c r="C37">
        <f t="shared" si="0"/>
        <v>1.1330735526790001</v>
      </c>
      <c r="D37">
        <v>1.7100000000000001E-2</v>
      </c>
      <c r="E37">
        <v>3.8999999999999998E-3</v>
      </c>
      <c r="F37">
        <f t="shared" si="1"/>
        <v>351.93538000000001</v>
      </c>
      <c r="G37">
        <f t="shared" si="2"/>
        <v>-0.64390999999999998</v>
      </c>
      <c r="H37">
        <f t="shared" si="3"/>
        <v>-226.61471053580001</v>
      </c>
      <c r="I37">
        <v>1</v>
      </c>
      <c r="J37">
        <f t="shared" si="4"/>
        <v>-1.0443076997822818</v>
      </c>
      <c r="K37">
        <f t="shared" si="5"/>
        <v>-0.57781515177521747</v>
      </c>
      <c r="L37">
        <v>1</v>
      </c>
      <c r="M37">
        <f t="shared" si="6"/>
        <v>0.5418940610735421</v>
      </c>
      <c r="N37">
        <f t="shared" si="7"/>
        <v>3.0090474990000001E-2</v>
      </c>
      <c r="O37">
        <f t="shared" si="8"/>
        <v>6.8627399100000003E-3</v>
      </c>
      <c r="P37">
        <f t="shared" si="9"/>
        <v>-1.0321241983246281E-3</v>
      </c>
      <c r="V37">
        <v>-2.7000000000000099</v>
      </c>
      <c r="W37">
        <f t="shared" si="12"/>
        <v>-0.43890999999999936</v>
      </c>
    </row>
    <row r="38" spans="1:23" x14ac:dyDescent="0.3">
      <c r="A38">
        <v>1.8116136</v>
      </c>
      <c r="B38">
        <v>0.64032999999999995</v>
      </c>
      <c r="C38">
        <f t="shared" si="0"/>
        <v>1.1600305364879999</v>
      </c>
      <c r="D38">
        <v>1.7100000000000001E-2</v>
      </c>
      <c r="E38">
        <v>3.8999999999999998E-3</v>
      </c>
      <c r="F38">
        <f t="shared" si="1"/>
        <v>362.32272</v>
      </c>
      <c r="G38">
        <f t="shared" si="2"/>
        <v>-0.64032999999999995</v>
      </c>
      <c r="H38">
        <f t="shared" si="3"/>
        <v>-232.00610729759998</v>
      </c>
      <c r="I38">
        <v>1</v>
      </c>
      <c r="J38">
        <f t="shared" si="4"/>
        <v>-1.0152199725863804</v>
      </c>
      <c r="K38">
        <f t="shared" si="5"/>
        <v>-0.5813951517752175</v>
      </c>
      <c r="L38">
        <v>1</v>
      </c>
      <c r="M38">
        <f t="shared" si="6"/>
        <v>0.54370331770512714</v>
      </c>
      <c r="N38">
        <f t="shared" si="7"/>
        <v>3.097859256E-2</v>
      </c>
      <c r="O38">
        <f t="shared" si="8"/>
        <v>7.0652930400000001E-3</v>
      </c>
      <c r="P38">
        <f t="shared" si="9"/>
        <v>-3.52051529909643E-4</v>
      </c>
      <c r="V38">
        <v>-2.6000000000000099</v>
      </c>
      <c r="W38">
        <f t="shared" si="12"/>
        <v>-0.44512999999999936</v>
      </c>
    </row>
    <row r="39" spans="1:23" x14ac:dyDescent="0.3">
      <c r="A39">
        <v>1.8625320000000001</v>
      </c>
      <c r="B39">
        <v>0.63639999999999997</v>
      </c>
      <c r="C39">
        <f t="shared" si="0"/>
        <v>1.1853153647999999</v>
      </c>
      <c r="D39">
        <v>1.7100000000000001E-2</v>
      </c>
      <c r="E39">
        <v>3.8999999999999998E-3</v>
      </c>
      <c r="F39">
        <f t="shared" si="1"/>
        <v>372.50640000000004</v>
      </c>
      <c r="G39">
        <f t="shared" si="2"/>
        <v>-0.63639999999999997</v>
      </c>
      <c r="H39">
        <f t="shared" si="3"/>
        <v>-237.06307295999997</v>
      </c>
      <c r="I39">
        <v>1</v>
      </c>
      <c r="J39">
        <f t="shared" si="4"/>
        <v>-0.9875010601020644</v>
      </c>
      <c r="K39">
        <f t="shared" si="5"/>
        <v>-0.58532515177521749</v>
      </c>
      <c r="L39">
        <v>1</v>
      </c>
      <c r="M39">
        <f t="shared" si="6"/>
        <v>0.54542743406165162</v>
      </c>
      <c r="N39">
        <f t="shared" si="7"/>
        <v>3.1849297200000001E-2</v>
      </c>
      <c r="O39">
        <f t="shared" si="8"/>
        <v>7.2638748000000003E-3</v>
      </c>
      <c r="P39">
        <f t="shared" si="9"/>
        <v>7.8454571356587066E-4</v>
      </c>
      <c r="V39">
        <v>-2.5000000000000102</v>
      </c>
      <c r="W39">
        <f t="shared" si="12"/>
        <v>-0.45134999999999936</v>
      </c>
    </row>
    <row r="40" spans="1:23" x14ac:dyDescent="0.3">
      <c r="A40">
        <v>1.9139595</v>
      </c>
      <c r="B40">
        <v>0.63288999999999995</v>
      </c>
      <c r="C40">
        <f t="shared" si="0"/>
        <v>1.2113258279549999</v>
      </c>
      <c r="D40">
        <v>1.7100000000000001E-2</v>
      </c>
      <c r="E40">
        <v>3.8999999999999998E-3</v>
      </c>
      <c r="F40">
        <f t="shared" si="1"/>
        <v>382.7919</v>
      </c>
      <c r="G40">
        <f t="shared" si="2"/>
        <v>-0.63288999999999995</v>
      </c>
      <c r="H40">
        <f t="shared" si="3"/>
        <v>-242.26516559099997</v>
      </c>
      <c r="I40">
        <v>1</v>
      </c>
      <c r="J40">
        <f t="shared" si="4"/>
        <v>-0.96026377950181929</v>
      </c>
      <c r="K40">
        <f t="shared" si="5"/>
        <v>-0.5888351517752175</v>
      </c>
      <c r="L40">
        <v>1</v>
      </c>
      <c r="M40">
        <f t="shared" si="6"/>
        <v>0.54712159291498685</v>
      </c>
      <c r="N40">
        <f t="shared" si="7"/>
        <v>3.2728707450000005E-2</v>
      </c>
      <c r="O40">
        <f t="shared" si="8"/>
        <v>7.4644420499999998E-3</v>
      </c>
      <c r="P40">
        <f t="shared" si="9"/>
        <v>1.5204093602306434E-3</v>
      </c>
      <c r="V40">
        <v>-2.4000000000000101</v>
      </c>
      <c r="W40">
        <f t="shared" si="12"/>
        <v>-0.45756999999999937</v>
      </c>
    </row>
    <row r="41" spans="1:23" x14ac:dyDescent="0.3">
      <c r="A41">
        <v>1.9643685</v>
      </c>
      <c r="B41">
        <v>0.62924000000000002</v>
      </c>
      <c r="C41">
        <f t="shared" si="0"/>
        <v>1.2360592349399999</v>
      </c>
      <c r="D41">
        <v>1.7100000000000001E-2</v>
      </c>
      <c r="E41">
        <v>3.8999999999999998E-3</v>
      </c>
      <c r="F41">
        <f t="shared" si="1"/>
        <v>392.87369999999999</v>
      </c>
      <c r="G41">
        <f t="shared" si="2"/>
        <v>-0.62924000000000002</v>
      </c>
      <c r="H41">
        <f t="shared" si="3"/>
        <v>-247.21184698799999</v>
      </c>
      <c r="I41">
        <v>1</v>
      </c>
      <c r="J41">
        <f t="shared" si="4"/>
        <v>-0.93426709281038267</v>
      </c>
      <c r="K41">
        <f t="shared" si="5"/>
        <v>-0.59248515177521743</v>
      </c>
      <c r="L41">
        <v>1</v>
      </c>
      <c r="M41">
        <f t="shared" si="6"/>
        <v>0.54873858682719423</v>
      </c>
      <c r="N41">
        <f t="shared" si="7"/>
        <v>3.3590701350000002E-2</v>
      </c>
      <c r="O41">
        <f t="shared" si="8"/>
        <v>7.6610371499999993E-3</v>
      </c>
      <c r="P41">
        <f t="shared" si="9"/>
        <v>2.4948264480232022E-3</v>
      </c>
      <c r="V41">
        <v>-2.30000000000001</v>
      </c>
      <c r="W41">
        <f t="shared" si="12"/>
        <v>-0.46378999999999937</v>
      </c>
    </row>
    <row r="42" spans="1:23" x14ac:dyDescent="0.3">
      <c r="A42">
        <v>2.0163053</v>
      </c>
      <c r="B42">
        <v>0.62585999999999997</v>
      </c>
      <c r="C42">
        <f t="shared" si="0"/>
        <v>1.2619248350579999</v>
      </c>
      <c r="D42">
        <v>1.7100000000000001E-2</v>
      </c>
      <c r="E42">
        <v>3.8999999999999998E-3</v>
      </c>
      <c r="F42">
        <f t="shared" si="1"/>
        <v>403.26105999999999</v>
      </c>
      <c r="G42">
        <f t="shared" si="2"/>
        <v>-0.62585999999999997</v>
      </c>
      <c r="H42">
        <f t="shared" si="3"/>
        <v>-252.38496701159997</v>
      </c>
      <c r="I42">
        <v>1</v>
      </c>
      <c r="J42">
        <f t="shared" si="4"/>
        <v>-0.90817113519856563</v>
      </c>
      <c r="K42">
        <f t="shared" si="5"/>
        <v>-0.59586515177521748</v>
      </c>
      <c r="L42">
        <v>1</v>
      </c>
      <c r="M42">
        <f t="shared" si="6"/>
        <v>0.55036175539064924</v>
      </c>
      <c r="N42">
        <f t="shared" si="7"/>
        <v>3.4478820630000004E-2</v>
      </c>
      <c r="O42">
        <f t="shared" si="8"/>
        <v>7.8635906700000001E-3</v>
      </c>
      <c r="P42">
        <f t="shared" si="9"/>
        <v>3.1609850845682359E-3</v>
      </c>
      <c r="V42">
        <v>-2.2000000000000099</v>
      </c>
      <c r="W42">
        <f t="shared" si="12"/>
        <v>-0.47000999999999937</v>
      </c>
    </row>
    <row r="43" spans="1:23" x14ac:dyDescent="0.3">
      <c r="A43">
        <v>2.0682418999999999</v>
      </c>
      <c r="B43">
        <v>0.62251999999999996</v>
      </c>
      <c r="C43">
        <f t="shared" si="0"/>
        <v>1.2875219475879998</v>
      </c>
      <c r="D43">
        <v>1.7100000000000001E-2</v>
      </c>
      <c r="E43">
        <v>3.8999999999999998E-3</v>
      </c>
      <c r="F43">
        <f t="shared" si="1"/>
        <v>413.64837999999997</v>
      </c>
      <c r="G43">
        <f t="shared" si="2"/>
        <v>-0.62251999999999996</v>
      </c>
      <c r="H43">
        <f t="shared" si="3"/>
        <v>-257.50438951759998</v>
      </c>
      <c r="I43">
        <v>1</v>
      </c>
      <c r="J43">
        <f t="shared" si="4"/>
        <v>-0.88273898970802001</v>
      </c>
      <c r="K43">
        <f t="shared" si="5"/>
        <v>-0.59920515177521749</v>
      </c>
      <c r="L43">
        <v>1</v>
      </c>
      <c r="M43">
        <f t="shared" si="6"/>
        <v>0.55194363484016118</v>
      </c>
      <c r="N43">
        <f t="shared" si="7"/>
        <v>3.5366936490000001E-2</v>
      </c>
      <c r="O43">
        <f t="shared" si="8"/>
        <v>8.0661434099999988E-3</v>
      </c>
      <c r="P43">
        <f t="shared" si="9"/>
        <v>3.8284370350563143E-3</v>
      </c>
      <c r="V43">
        <v>-2.1000000000000099</v>
      </c>
      <c r="W43">
        <f t="shared" si="12"/>
        <v>-0.47622999999999938</v>
      </c>
    </row>
    <row r="44" spans="1:23" x14ac:dyDescent="0.3">
      <c r="A44">
        <v>2.1191604000000002</v>
      </c>
      <c r="B44">
        <v>0.61895</v>
      </c>
      <c r="C44">
        <f t="shared" si="0"/>
        <v>1.3116543295800001</v>
      </c>
      <c r="D44">
        <v>1.7100000000000001E-2</v>
      </c>
      <c r="E44">
        <v>3.8999999999999998E-3</v>
      </c>
      <c r="F44">
        <f t="shared" si="1"/>
        <v>423.83208000000002</v>
      </c>
      <c r="G44">
        <f t="shared" si="2"/>
        <v>-0.61895</v>
      </c>
      <c r="H44">
        <f t="shared" si="3"/>
        <v>-262.33086591599999</v>
      </c>
      <c r="I44">
        <v>1</v>
      </c>
      <c r="J44">
        <f t="shared" si="4"/>
        <v>-0.85841793992968418</v>
      </c>
      <c r="K44">
        <f t="shared" si="5"/>
        <v>-0.60277515177521745</v>
      </c>
      <c r="L44">
        <v>1</v>
      </c>
      <c r="M44">
        <f t="shared" si="6"/>
        <v>0.55345640413637365</v>
      </c>
      <c r="N44">
        <f t="shared" si="7"/>
        <v>3.6237642840000008E-2</v>
      </c>
      <c r="O44">
        <f t="shared" si="8"/>
        <v>8.26472556E-3</v>
      </c>
      <c r="P44">
        <f t="shared" si="9"/>
        <v>4.8163792388437997E-3</v>
      </c>
      <c r="V44">
        <v>-2.0000000000000102</v>
      </c>
      <c r="W44">
        <f t="shared" si="12"/>
        <v>-0.48244999999999938</v>
      </c>
    </row>
    <row r="45" spans="1:23" x14ac:dyDescent="0.3">
      <c r="A45">
        <v>2.1700789</v>
      </c>
      <c r="B45">
        <v>0.61570999999999998</v>
      </c>
      <c r="C45">
        <f t="shared" si="0"/>
        <v>1.3361392795189999</v>
      </c>
      <c r="D45">
        <v>1.7100000000000001E-2</v>
      </c>
      <c r="E45">
        <v>3.8999999999999998E-3</v>
      </c>
      <c r="F45">
        <f t="shared" si="1"/>
        <v>434.01578000000001</v>
      </c>
      <c r="G45">
        <f t="shared" si="2"/>
        <v>-0.61570999999999998</v>
      </c>
      <c r="H45">
        <f t="shared" si="3"/>
        <v>-267.22785590379999</v>
      </c>
      <c r="I45">
        <v>1</v>
      </c>
      <c r="J45">
        <f t="shared" si="4"/>
        <v>-0.8346743860957162</v>
      </c>
      <c r="K45">
        <f t="shared" si="5"/>
        <v>-0.60601515177521748</v>
      </c>
      <c r="L45">
        <v>1</v>
      </c>
      <c r="M45">
        <f t="shared" si="6"/>
        <v>0.55493325318484643</v>
      </c>
      <c r="N45">
        <f t="shared" si="7"/>
        <v>3.7108349190000001E-2</v>
      </c>
      <c r="O45">
        <f t="shared" si="8"/>
        <v>8.4633077099999995E-3</v>
      </c>
      <c r="P45">
        <f t="shared" si="9"/>
        <v>5.5102416903710441E-3</v>
      </c>
      <c r="V45">
        <v>-1.9000000000000099</v>
      </c>
      <c r="W45">
        <f t="shared" si="12"/>
        <v>-0.48866999999999938</v>
      </c>
    </row>
    <row r="46" spans="1:23" x14ac:dyDescent="0.3">
      <c r="A46">
        <v>2.2225247000000001</v>
      </c>
      <c r="B46">
        <v>0.61253999999999997</v>
      </c>
      <c r="C46">
        <f t="shared" si="0"/>
        <v>1.3613852797379999</v>
      </c>
      <c r="D46">
        <v>1.7100000000000001E-2</v>
      </c>
      <c r="E46">
        <v>3.8999999999999998E-3</v>
      </c>
      <c r="F46">
        <f t="shared" si="1"/>
        <v>444.50494000000003</v>
      </c>
      <c r="G46">
        <f t="shared" si="2"/>
        <v>-0.61253999999999997</v>
      </c>
      <c r="H46">
        <f t="shared" si="3"/>
        <v>-272.27705594759999</v>
      </c>
      <c r="I46">
        <v>1</v>
      </c>
      <c r="J46">
        <f t="shared" si="4"/>
        <v>-0.81079411047913486</v>
      </c>
      <c r="K46">
        <f t="shared" si="5"/>
        <v>-0.60918515177521748</v>
      </c>
      <c r="L46">
        <v>1</v>
      </c>
      <c r="M46">
        <f t="shared" si="6"/>
        <v>0.55641860632819784</v>
      </c>
      <c r="N46">
        <f t="shared" si="7"/>
        <v>3.8005172370000007E-2</v>
      </c>
      <c r="O46">
        <f t="shared" si="8"/>
        <v>8.6678463299999994E-3</v>
      </c>
      <c r="P46">
        <f t="shared" si="9"/>
        <v>6.0935267470196355E-3</v>
      </c>
      <c r="V46">
        <v>-1.80000000000001</v>
      </c>
      <c r="W46">
        <f t="shared" si="12"/>
        <v>-0.49488999999999939</v>
      </c>
    </row>
    <row r="47" spans="1:23" x14ac:dyDescent="0.3">
      <c r="A47">
        <v>2.2734431000000002</v>
      </c>
      <c r="B47">
        <v>0.60902000000000001</v>
      </c>
      <c r="C47">
        <f t="shared" si="0"/>
        <v>1.3845723167620001</v>
      </c>
      <c r="D47">
        <v>1.7100000000000001E-2</v>
      </c>
      <c r="E47">
        <v>3.8999999999999998E-3</v>
      </c>
      <c r="F47">
        <f t="shared" si="1"/>
        <v>454.68862000000001</v>
      </c>
      <c r="G47">
        <f t="shared" si="2"/>
        <v>-0.60902000000000001</v>
      </c>
      <c r="H47">
        <f t="shared" si="3"/>
        <v>-276.91446335240005</v>
      </c>
      <c r="I47">
        <v>1</v>
      </c>
      <c r="J47">
        <f t="shared" si="4"/>
        <v>-0.78814244595501826</v>
      </c>
      <c r="K47">
        <f t="shared" si="5"/>
        <v>-0.61270515177521745</v>
      </c>
      <c r="L47">
        <v>1</v>
      </c>
      <c r="M47">
        <f t="shared" si="6"/>
        <v>0.55782753986159783</v>
      </c>
      <c r="N47">
        <f t="shared" si="7"/>
        <v>3.8875877010000004E-2</v>
      </c>
      <c r="O47">
        <f t="shared" si="8"/>
        <v>8.8664280899999996E-3</v>
      </c>
      <c r="P47">
        <f t="shared" si="9"/>
        <v>7.1353068136196136E-3</v>
      </c>
      <c r="V47">
        <v>-1.7000000000000199</v>
      </c>
      <c r="W47">
        <f t="shared" si="12"/>
        <v>-0.50110999999999872</v>
      </c>
    </row>
    <row r="48" spans="1:23" x14ac:dyDescent="0.3">
      <c r="A48">
        <v>2.3248704</v>
      </c>
      <c r="B48">
        <v>0.60577999999999999</v>
      </c>
      <c r="C48">
        <f t="shared" si="0"/>
        <v>1.4083599909119999</v>
      </c>
      <c r="D48">
        <v>1.7100000000000001E-2</v>
      </c>
      <c r="E48">
        <v>3.8999999999999998E-3</v>
      </c>
      <c r="F48">
        <f t="shared" si="1"/>
        <v>464.97408000000001</v>
      </c>
      <c r="G48">
        <f t="shared" si="2"/>
        <v>-0.60577999999999999</v>
      </c>
      <c r="H48">
        <f t="shared" si="3"/>
        <v>-281.67199818239999</v>
      </c>
      <c r="I48">
        <v>1</v>
      </c>
      <c r="J48">
        <f t="shared" si="4"/>
        <v>-0.765773616883904</v>
      </c>
      <c r="K48">
        <f t="shared" si="5"/>
        <v>-0.61594515177521747</v>
      </c>
      <c r="L48">
        <v>1</v>
      </c>
      <c r="M48">
        <f t="shared" si="6"/>
        <v>0.5592188810298212</v>
      </c>
      <c r="N48">
        <f t="shared" si="7"/>
        <v>3.9755283840000002E-2</v>
      </c>
      <c r="O48">
        <f t="shared" si="8"/>
        <v>9.0669945599999996E-3</v>
      </c>
      <c r="P48">
        <f t="shared" si="9"/>
        <v>7.9039923453962657E-3</v>
      </c>
      <c r="V48">
        <v>-1.6000000000000201</v>
      </c>
      <c r="W48">
        <f t="shared" si="12"/>
        <v>-0.50732999999999873</v>
      </c>
    </row>
    <row r="49" spans="1:23" x14ac:dyDescent="0.3">
      <c r="A49">
        <v>2.3752795</v>
      </c>
      <c r="B49">
        <v>0.60284000000000004</v>
      </c>
      <c r="C49">
        <f t="shared" si="0"/>
        <v>1.43191349378</v>
      </c>
      <c r="D49">
        <v>1.7100000000000001E-2</v>
      </c>
      <c r="E49">
        <v>3.8999999999999998E-3</v>
      </c>
      <c r="F49">
        <f t="shared" si="1"/>
        <v>475.05590000000001</v>
      </c>
      <c r="G49">
        <f t="shared" si="2"/>
        <v>-0.60284000000000004</v>
      </c>
      <c r="H49">
        <f t="shared" si="3"/>
        <v>-286.38269875600002</v>
      </c>
      <c r="I49">
        <v>1</v>
      </c>
      <c r="J49">
        <f t="shared" si="4"/>
        <v>-0.7443227976612129</v>
      </c>
      <c r="K49">
        <f t="shared" si="5"/>
        <v>-0.61888515177521741</v>
      </c>
      <c r="L49">
        <v>1</v>
      </c>
      <c r="M49">
        <f t="shared" si="6"/>
        <v>0.56055312198547258</v>
      </c>
      <c r="N49">
        <f t="shared" si="7"/>
        <v>4.0617279450000002E-2</v>
      </c>
      <c r="O49">
        <f t="shared" si="8"/>
        <v>9.2635900499999993E-3</v>
      </c>
      <c r="P49">
        <f t="shared" si="9"/>
        <v>8.4511602897448315E-3</v>
      </c>
      <c r="V49">
        <v>-1.50000000000002</v>
      </c>
      <c r="W49">
        <f t="shared" si="12"/>
        <v>-0.51354999999999873</v>
      </c>
    </row>
    <row r="50" spans="1:23" x14ac:dyDescent="0.3">
      <c r="A50">
        <v>2.4272163</v>
      </c>
      <c r="B50">
        <v>0.59957000000000005</v>
      </c>
      <c r="C50">
        <f t="shared" si="0"/>
        <v>1.4552860769910001</v>
      </c>
      <c r="D50">
        <v>1.7100000000000001E-2</v>
      </c>
      <c r="E50">
        <v>3.8999999999999998E-3</v>
      </c>
      <c r="F50">
        <f t="shared" si="1"/>
        <v>485.44326000000001</v>
      </c>
      <c r="G50">
        <f t="shared" si="2"/>
        <v>-0.59957000000000005</v>
      </c>
      <c r="H50">
        <f t="shared" si="3"/>
        <v>-291.05721539820001</v>
      </c>
      <c r="I50">
        <v>1</v>
      </c>
      <c r="J50">
        <f t="shared" si="4"/>
        <v>-0.72269286728749849</v>
      </c>
      <c r="K50">
        <f t="shared" si="5"/>
        <v>-0.62215515177521741</v>
      </c>
      <c r="L50">
        <v>1</v>
      </c>
      <c r="M50">
        <f t="shared" si="6"/>
        <v>0.56189850365471761</v>
      </c>
      <c r="N50">
        <f t="shared" si="7"/>
        <v>4.1505398730000004E-2</v>
      </c>
      <c r="O50">
        <f t="shared" si="8"/>
        <v>9.4661435700000001E-3</v>
      </c>
      <c r="P50">
        <f t="shared" si="9"/>
        <v>9.2851058204997967E-3</v>
      </c>
      <c r="V50">
        <v>-1.4000000000000199</v>
      </c>
      <c r="W50">
        <f t="shared" si="12"/>
        <v>-0.51976999999999873</v>
      </c>
    </row>
    <row r="51" spans="1:23" x14ac:dyDescent="0.3">
      <c r="A51">
        <v>2.4776254999999998</v>
      </c>
      <c r="B51">
        <v>0.59614999999999996</v>
      </c>
      <c r="C51">
        <f t="shared" si="0"/>
        <v>1.4770364418249997</v>
      </c>
      <c r="D51">
        <v>1.7100000000000001E-2</v>
      </c>
      <c r="E51">
        <v>3.8999999999999998E-3</v>
      </c>
      <c r="F51">
        <f t="shared" si="1"/>
        <v>495.52509999999995</v>
      </c>
      <c r="G51">
        <f t="shared" si="2"/>
        <v>-0.59614999999999996</v>
      </c>
      <c r="H51">
        <f t="shared" si="3"/>
        <v>-295.40728836499994</v>
      </c>
      <c r="I51">
        <v>1</v>
      </c>
      <c r="J51">
        <f t="shared" si="4"/>
        <v>-0.70213727059193332</v>
      </c>
      <c r="K51">
        <f t="shared" si="5"/>
        <v>-0.6255751517752175</v>
      </c>
      <c r="L51">
        <v>1</v>
      </c>
      <c r="M51">
        <f t="shared" si="6"/>
        <v>0.56317706176918181</v>
      </c>
      <c r="N51">
        <f t="shared" si="7"/>
        <v>4.2367396049999999E-2</v>
      </c>
      <c r="O51">
        <f t="shared" si="8"/>
        <v>9.6627394499999991E-3</v>
      </c>
      <c r="P51">
        <f t="shared" si="9"/>
        <v>1.0367954506035691E-2</v>
      </c>
      <c r="V51">
        <v>-1.30000000000002</v>
      </c>
      <c r="W51">
        <f t="shared" si="12"/>
        <v>-0.52598999999999874</v>
      </c>
    </row>
    <row r="52" spans="1:23" x14ac:dyDescent="0.3">
      <c r="A52">
        <v>2.5295619999999999</v>
      </c>
      <c r="B52">
        <v>0.59309999999999996</v>
      </c>
      <c r="C52">
        <f t="shared" si="0"/>
        <v>1.5002832221999998</v>
      </c>
      <c r="D52">
        <v>1.7100000000000001E-2</v>
      </c>
      <c r="E52">
        <v>3.8999999999999998E-3</v>
      </c>
      <c r="F52">
        <f t="shared" si="1"/>
        <v>505.91239999999999</v>
      </c>
      <c r="G52">
        <f t="shared" si="2"/>
        <v>-0.59309999999999996</v>
      </c>
      <c r="H52">
        <f t="shared" si="3"/>
        <v>-300.05664443999996</v>
      </c>
      <c r="I52">
        <v>1</v>
      </c>
      <c r="J52">
        <f t="shared" si="4"/>
        <v>-0.68139174721175066</v>
      </c>
      <c r="K52">
        <f t="shared" si="5"/>
        <v>-0.62862515177521749</v>
      </c>
      <c r="L52">
        <v>1</v>
      </c>
      <c r="M52">
        <f t="shared" si="6"/>
        <v>0.56446743332342908</v>
      </c>
      <c r="N52">
        <f t="shared" si="7"/>
        <v>4.32555102E-2</v>
      </c>
      <c r="O52">
        <f t="shared" si="8"/>
        <v>9.8652917999999985E-3</v>
      </c>
      <c r="P52">
        <f t="shared" si="9"/>
        <v>1.1036916451788416E-2</v>
      </c>
      <c r="V52">
        <v>-1.2000000000000199</v>
      </c>
      <c r="W52">
        <f t="shared" si="12"/>
        <v>-0.53220999999999874</v>
      </c>
    </row>
    <row r="53" spans="1:23" x14ac:dyDescent="0.3">
      <c r="A53">
        <v>2.5840447000000002</v>
      </c>
      <c r="B53">
        <v>0.58977999999999997</v>
      </c>
      <c r="C53">
        <f t="shared" si="0"/>
        <v>1.5240178831660001</v>
      </c>
      <c r="D53">
        <v>1.7100000000000001E-2</v>
      </c>
      <c r="E53">
        <v>3.8999999999999998E-3</v>
      </c>
      <c r="F53">
        <f t="shared" si="1"/>
        <v>516.80894000000001</v>
      </c>
      <c r="G53">
        <f t="shared" si="2"/>
        <v>-0.58977999999999997</v>
      </c>
      <c r="H53">
        <f t="shared" si="3"/>
        <v>-304.80357663320001</v>
      </c>
      <c r="I53">
        <v>1</v>
      </c>
      <c r="J53">
        <f t="shared" si="4"/>
        <v>-0.66008202790175696</v>
      </c>
      <c r="K53">
        <f t="shared" si="5"/>
        <v>-0.63194515177521748</v>
      </c>
      <c r="L53">
        <v>1</v>
      </c>
      <c r="M53">
        <f t="shared" si="6"/>
        <v>0.5657928978645107</v>
      </c>
      <c r="N53">
        <f t="shared" si="7"/>
        <v>4.4187164370000004E-2</v>
      </c>
      <c r="O53">
        <f t="shared" si="8"/>
        <v>1.0077774330000001E-2</v>
      </c>
      <c r="P53">
        <f t="shared" si="9"/>
        <v>1.1887315210706777E-2</v>
      </c>
      <c r="V53">
        <v>-1.1000000000000201</v>
      </c>
      <c r="W53">
        <f t="shared" si="12"/>
        <v>-0.53842999999999874</v>
      </c>
    </row>
    <row r="54" spans="1:23" x14ac:dyDescent="0.3">
      <c r="A54">
        <v>2.6400549</v>
      </c>
      <c r="B54">
        <v>0.58667999999999998</v>
      </c>
      <c r="C54">
        <f t="shared" si="0"/>
        <v>1.548867408732</v>
      </c>
      <c r="D54">
        <v>1.7100000000000001E-2</v>
      </c>
      <c r="E54">
        <v>3.8999999999999998E-3</v>
      </c>
      <c r="F54">
        <f t="shared" si="1"/>
        <v>528.01098000000002</v>
      </c>
      <c r="G54">
        <f t="shared" si="2"/>
        <v>-0.58667999999999998</v>
      </c>
      <c r="H54">
        <f t="shared" si="3"/>
        <v>-309.77348174640002</v>
      </c>
      <c r="I54">
        <v>1</v>
      </c>
      <c r="J54">
        <f t="shared" si="4"/>
        <v>-0.63863820003755256</v>
      </c>
      <c r="K54">
        <f t="shared" si="5"/>
        <v>-0.63504515177521748</v>
      </c>
      <c r="L54">
        <v>1</v>
      </c>
      <c r="M54">
        <f t="shared" si="6"/>
        <v>0.56712670395766418</v>
      </c>
      <c r="N54">
        <f t="shared" si="7"/>
        <v>4.5144938789999998E-2</v>
      </c>
      <c r="O54">
        <f t="shared" si="8"/>
        <v>1.029621411E-2</v>
      </c>
      <c r="P54">
        <f t="shared" si="9"/>
        <v>1.2477294917553297E-2</v>
      </c>
      <c r="V54">
        <v>-1.00000000000002</v>
      </c>
      <c r="W54">
        <f t="shared" si="12"/>
        <v>-0.54464999999999875</v>
      </c>
    </row>
    <row r="55" spans="1:23" x14ac:dyDescent="0.3">
      <c r="A55">
        <v>2.6904640999999998</v>
      </c>
      <c r="B55">
        <v>0.58311000000000002</v>
      </c>
      <c r="C55">
        <f t="shared" si="0"/>
        <v>1.5688365213509998</v>
      </c>
      <c r="D55">
        <v>1.7100000000000001E-2</v>
      </c>
      <c r="E55">
        <v>3.8999999999999998E-3</v>
      </c>
      <c r="F55">
        <f t="shared" si="1"/>
        <v>538.09281999999996</v>
      </c>
      <c r="G55">
        <f t="shared" si="2"/>
        <v>-0.58311000000000002</v>
      </c>
      <c r="H55">
        <f t="shared" si="3"/>
        <v>-313.76730427019999</v>
      </c>
      <c r="I55">
        <v>1</v>
      </c>
      <c r="J55">
        <f t="shared" si="4"/>
        <v>-0.61972420582053522</v>
      </c>
      <c r="K55">
        <f t="shared" si="5"/>
        <v>-0.63861515177521744</v>
      </c>
      <c r="L55">
        <v>1</v>
      </c>
      <c r="M55">
        <f t="shared" si="6"/>
        <v>0.56830315439796275</v>
      </c>
      <c r="N55">
        <f t="shared" si="7"/>
        <v>4.600693611E-2</v>
      </c>
      <c r="O55">
        <f t="shared" si="8"/>
        <v>1.0492809989999999E-2</v>
      </c>
      <c r="P55">
        <f t="shared" si="9"/>
        <v>1.3812251277254687E-2</v>
      </c>
      <c r="V55">
        <v>-0.90000000000002001</v>
      </c>
      <c r="W55">
        <f t="shared" si="12"/>
        <v>-0.55086999999999875</v>
      </c>
    </row>
    <row r="56" spans="1:23" x14ac:dyDescent="0.3">
      <c r="A56">
        <v>2.7449465000000002</v>
      </c>
      <c r="B56">
        <v>0.58042000000000005</v>
      </c>
      <c r="C56">
        <f t="shared" si="0"/>
        <v>1.5932218475300002</v>
      </c>
      <c r="D56">
        <v>1.7100000000000001E-2</v>
      </c>
      <c r="E56">
        <v>3.8999999999999998E-3</v>
      </c>
      <c r="F56">
        <f t="shared" si="1"/>
        <v>548.98930000000007</v>
      </c>
      <c r="G56">
        <f t="shared" si="2"/>
        <v>-0.58042000000000005</v>
      </c>
      <c r="H56">
        <f t="shared" si="3"/>
        <v>-318.64436950600003</v>
      </c>
      <c r="I56">
        <v>1</v>
      </c>
      <c r="J56">
        <f t="shared" si="4"/>
        <v>-0.59967632764432344</v>
      </c>
      <c r="K56">
        <f t="shared" si="5"/>
        <v>-0.64130515177521741</v>
      </c>
      <c r="L56">
        <v>1</v>
      </c>
      <c r="M56">
        <f t="shared" si="6"/>
        <v>0.5695501324205231</v>
      </c>
      <c r="N56">
        <f t="shared" si="7"/>
        <v>4.6938585150000003E-2</v>
      </c>
      <c r="O56">
        <f t="shared" si="8"/>
        <v>1.070529135E-2</v>
      </c>
      <c r="P56">
        <f t="shared" si="9"/>
        <v>1.4111142854694302E-2</v>
      </c>
      <c r="V56">
        <v>-0.80000000000002003</v>
      </c>
      <c r="W56">
        <f t="shared" si="12"/>
        <v>-0.55708999999999875</v>
      </c>
    </row>
    <row r="57" spans="1:23" x14ac:dyDescent="0.3">
      <c r="A57">
        <v>2.7953557</v>
      </c>
      <c r="B57">
        <v>0.57716000000000001</v>
      </c>
      <c r="C57">
        <f t="shared" si="0"/>
        <v>1.6133674958120001</v>
      </c>
      <c r="D57">
        <v>1.7100000000000001E-2</v>
      </c>
      <c r="E57">
        <v>3.8999999999999998E-3</v>
      </c>
      <c r="F57">
        <f t="shared" si="1"/>
        <v>559.07114000000001</v>
      </c>
      <c r="G57">
        <f t="shared" si="2"/>
        <v>-0.57716000000000001</v>
      </c>
      <c r="H57">
        <f t="shared" si="3"/>
        <v>-322.67349916240005</v>
      </c>
      <c r="I57">
        <v>1</v>
      </c>
      <c r="J57">
        <f t="shared" si="4"/>
        <v>-0.58147855095469403</v>
      </c>
      <c r="K57">
        <f t="shared" si="5"/>
        <v>-0.64456515177521745</v>
      </c>
      <c r="L57">
        <v>1</v>
      </c>
      <c r="M57">
        <f t="shared" si="6"/>
        <v>0.57068203413061802</v>
      </c>
      <c r="N57">
        <f t="shared" si="7"/>
        <v>4.7800582469999998E-2</v>
      </c>
      <c r="O57">
        <f t="shared" si="8"/>
        <v>1.0901887229999999E-2</v>
      </c>
      <c r="P57">
        <f t="shared" si="9"/>
        <v>1.518064794459943E-2</v>
      </c>
      <c r="V57">
        <v>-0.70000000000002005</v>
      </c>
      <c r="W57">
        <f t="shared" si="12"/>
        <v>-0.56330999999999876</v>
      </c>
    </row>
    <row r="58" spans="1:23" x14ac:dyDescent="0.3">
      <c r="A58">
        <v>2.8478015000000001</v>
      </c>
      <c r="B58">
        <v>0.57418000000000002</v>
      </c>
      <c r="C58">
        <f t="shared" si="0"/>
        <v>1.6351506652700001</v>
      </c>
      <c r="D58">
        <v>1.7100000000000001E-2</v>
      </c>
      <c r="E58">
        <v>3.8999999999999998E-3</v>
      </c>
      <c r="F58">
        <f t="shared" si="1"/>
        <v>569.56029999999998</v>
      </c>
      <c r="G58">
        <f t="shared" si="2"/>
        <v>-0.57418000000000002</v>
      </c>
      <c r="H58">
        <f t="shared" si="3"/>
        <v>-327.03013305400003</v>
      </c>
      <c r="I58">
        <v>1</v>
      </c>
      <c r="J58">
        <f t="shared" si="4"/>
        <v>-0.56289061934709972</v>
      </c>
      <c r="K58">
        <f t="shared" si="5"/>
        <v>-0.64754515177521743</v>
      </c>
      <c r="L58">
        <v>1</v>
      </c>
      <c r="M58">
        <f t="shared" si="6"/>
        <v>0.57183820347661041</v>
      </c>
      <c r="N58">
        <f t="shared" si="7"/>
        <v>4.8697405650000004E-2</v>
      </c>
      <c r="O58">
        <f t="shared" si="8"/>
        <v>1.1106425850000001E-2</v>
      </c>
      <c r="P58">
        <f t="shared" si="9"/>
        <v>1.5903116798607019E-2</v>
      </c>
      <c r="V58">
        <v>-0.60000000000001996</v>
      </c>
      <c r="W58">
        <f t="shared" si="12"/>
        <v>-0.56952999999999876</v>
      </c>
    </row>
    <row r="59" spans="1:23" x14ac:dyDescent="0.3">
      <c r="A59">
        <v>2.8997383000000001</v>
      </c>
      <c r="B59">
        <v>0.57101000000000002</v>
      </c>
      <c r="C59">
        <f t="shared" si="0"/>
        <v>1.6557795666830002</v>
      </c>
      <c r="D59">
        <v>1.7100000000000001E-2</v>
      </c>
      <c r="E59">
        <v>3.8999999999999998E-3</v>
      </c>
      <c r="F59">
        <f t="shared" si="1"/>
        <v>579.94766000000004</v>
      </c>
      <c r="G59">
        <f t="shared" si="2"/>
        <v>-0.57101000000000002</v>
      </c>
      <c r="H59">
        <f t="shared" si="3"/>
        <v>-331.15591333660007</v>
      </c>
      <c r="I59">
        <v>1</v>
      </c>
      <c r="J59">
        <f t="shared" si="4"/>
        <v>-0.54481742089298046</v>
      </c>
      <c r="K59">
        <f t="shared" si="5"/>
        <v>-0.65071515177521744</v>
      </c>
      <c r="L59">
        <v>1</v>
      </c>
      <c r="M59">
        <f t="shared" si="6"/>
        <v>0.57296235642045668</v>
      </c>
      <c r="N59">
        <f t="shared" si="7"/>
        <v>4.9585524930000006E-2</v>
      </c>
      <c r="O59">
        <f t="shared" si="8"/>
        <v>1.130897937E-2</v>
      </c>
      <c r="P59">
        <f t="shared" si="9"/>
        <v>1.6858291054760756E-2</v>
      </c>
      <c r="V59">
        <v>-0.50000000000001998</v>
      </c>
      <c r="W59">
        <f t="shared" si="12"/>
        <v>-0.57574999999999876</v>
      </c>
    </row>
    <row r="60" spans="1:23" x14ac:dyDescent="0.3">
      <c r="A60">
        <v>2.9506567000000001</v>
      </c>
      <c r="B60">
        <v>0.56806999999999996</v>
      </c>
      <c r="C60">
        <f t="shared" si="0"/>
        <v>1.6761795515689999</v>
      </c>
      <c r="D60">
        <v>1.7100000000000001E-2</v>
      </c>
      <c r="E60">
        <v>3.8999999999999998E-3</v>
      </c>
      <c r="F60">
        <f t="shared" si="1"/>
        <v>590.13134000000002</v>
      </c>
      <c r="G60">
        <f t="shared" si="2"/>
        <v>-0.56806999999999996</v>
      </c>
      <c r="H60">
        <f t="shared" si="3"/>
        <v>-335.23591031379999</v>
      </c>
      <c r="I60">
        <v>1</v>
      </c>
      <c r="J60">
        <f t="shared" si="4"/>
        <v>-0.52741015668684765</v>
      </c>
      <c r="K60">
        <f t="shared" si="5"/>
        <v>-0.65365515177521749</v>
      </c>
      <c r="L60">
        <v>1</v>
      </c>
      <c r="M60">
        <f t="shared" si="6"/>
        <v>0.57404508825407807</v>
      </c>
      <c r="N60">
        <f t="shared" si="7"/>
        <v>5.0456229570000004E-2</v>
      </c>
      <c r="O60">
        <f t="shared" si="8"/>
        <v>1.150756113E-2</v>
      </c>
      <c r="P60">
        <f t="shared" si="9"/>
        <v>1.7646272821139414E-2</v>
      </c>
      <c r="V60">
        <v>-0.40000000000002001</v>
      </c>
      <c r="W60">
        <f t="shared" si="12"/>
        <v>-0.58196999999999877</v>
      </c>
    </row>
    <row r="61" spans="1:23" x14ac:dyDescent="0.3">
      <c r="A61">
        <v>3.0015749999999999</v>
      </c>
      <c r="B61">
        <v>0.56523999999999996</v>
      </c>
      <c r="C61">
        <f t="shared" si="0"/>
        <v>1.6966102529999998</v>
      </c>
      <c r="D61">
        <v>1.7100000000000001E-2</v>
      </c>
      <c r="E61">
        <v>3.8999999999999998E-3</v>
      </c>
      <c r="F61">
        <f t="shared" si="1"/>
        <v>600.31499999999994</v>
      </c>
      <c r="G61">
        <f t="shared" si="2"/>
        <v>-0.56523999999999996</v>
      </c>
      <c r="H61">
        <f t="shared" si="3"/>
        <v>-339.32205059999995</v>
      </c>
      <c r="I61">
        <v>1</v>
      </c>
      <c r="J61">
        <f t="shared" si="4"/>
        <v>-0.51030076153027537</v>
      </c>
      <c r="K61">
        <f t="shared" si="5"/>
        <v>-0.65648515177521749</v>
      </c>
      <c r="L61">
        <v>1</v>
      </c>
      <c r="M61">
        <f t="shared" si="6"/>
        <v>0.57510929263281685</v>
      </c>
      <c r="N61">
        <f t="shared" si="7"/>
        <v>5.1326932499999998E-2</v>
      </c>
      <c r="O61">
        <f t="shared" si="8"/>
        <v>1.1706142499999999E-2</v>
      </c>
      <c r="P61">
        <f t="shared" si="9"/>
        <v>1.8342784142400644E-2</v>
      </c>
      <c r="V61">
        <v>-0.30000000000001997</v>
      </c>
      <c r="W61">
        <f t="shared" si="12"/>
        <v>-0.58818999999999877</v>
      </c>
    </row>
    <row r="62" spans="1:23" x14ac:dyDescent="0.3">
      <c r="A62">
        <v>3.0540208</v>
      </c>
      <c r="B62">
        <v>0.56259000000000003</v>
      </c>
      <c r="C62">
        <f t="shared" si="0"/>
        <v>1.7181615618720001</v>
      </c>
      <c r="D62">
        <v>1.7100000000000001E-2</v>
      </c>
      <c r="E62">
        <v>3.8999999999999998E-3</v>
      </c>
      <c r="F62">
        <f t="shared" si="1"/>
        <v>610.80416000000002</v>
      </c>
      <c r="G62">
        <f t="shared" si="2"/>
        <v>-0.56259000000000003</v>
      </c>
      <c r="H62">
        <f t="shared" si="3"/>
        <v>-343.63231237440004</v>
      </c>
      <c r="I62">
        <v>1</v>
      </c>
      <c r="J62">
        <f t="shared" si="4"/>
        <v>-0.49297889492083952</v>
      </c>
      <c r="K62">
        <f t="shared" si="5"/>
        <v>-0.65913515177521742</v>
      </c>
      <c r="L62">
        <v>1</v>
      </c>
      <c r="M62">
        <f t="shared" si="6"/>
        <v>0.57618671273592381</v>
      </c>
      <c r="N62">
        <f t="shared" si="7"/>
        <v>5.2223755680000004E-2</v>
      </c>
      <c r="O62">
        <f t="shared" si="8"/>
        <v>1.1910681119999999E-2</v>
      </c>
      <c r="P62">
        <f t="shared" si="9"/>
        <v>1.8814002239293606E-2</v>
      </c>
      <c r="V62">
        <v>-0.20000000000002</v>
      </c>
      <c r="W62">
        <f t="shared" si="12"/>
        <v>-0.59440999999999877</v>
      </c>
    </row>
    <row r="63" spans="1:23" x14ac:dyDescent="0.3">
      <c r="A63">
        <v>3.1044299</v>
      </c>
      <c r="B63">
        <v>0.55930000000000002</v>
      </c>
      <c r="C63">
        <f t="shared" si="0"/>
        <v>1.73630764307</v>
      </c>
      <c r="D63">
        <v>1.7100000000000001E-2</v>
      </c>
      <c r="E63">
        <v>3.8999999999999998E-3</v>
      </c>
      <c r="F63">
        <f t="shared" si="1"/>
        <v>620.88598000000002</v>
      </c>
      <c r="G63">
        <f t="shared" si="2"/>
        <v>-0.55930000000000002</v>
      </c>
      <c r="H63">
        <f t="shared" si="3"/>
        <v>-347.26152861399999</v>
      </c>
      <c r="I63">
        <v>1</v>
      </c>
      <c r="J63">
        <f t="shared" si="4"/>
        <v>-0.47660782099184884</v>
      </c>
      <c r="K63">
        <f t="shared" si="5"/>
        <v>-0.66242515177521744</v>
      </c>
      <c r="L63">
        <v>1</v>
      </c>
      <c r="M63">
        <f t="shared" si="6"/>
        <v>0.57720499353430699</v>
      </c>
      <c r="N63">
        <f t="shared" si="7"/>
        <v>5.3085751290000004E-2</v>
      </c>
      <c r="O63">
        <f t="shared" si="8"/>
        <v>1.2107276609999999E-2</v>
      </c>
      <c r="P63">
        <f t="shared" si="9"/>
        <v>2.0027130340910446E-2</v>
      </c>
      <c r="V63">
        <v>-0.10000000000002</v>
      </c>
      <c r="W63">
        <f t="shared" si="12"/>
        <v>-0.60062999999999878</v>
      </c>
    </row>
    <row r="64" spans="1:23" x14ac:dyDescent="0.3">
      <c r="A64">
        <v>3.1563667</v>
      </c>
      <c r="B64">
        <v>0.55640000000000001</v>
      </c>
      <c r="C64">
        <f t="shared" si="0"/>
        <v>1.75620243188</v>
      </c>
      <c r="D64">
        <v>1.7100000000000001E-2</v>
      </c>
      <c r="E64">
        <v>3.8999999999999998E-3</v>
      </c>
      <c r="F64">
        <f t="shared" si="1"/>
        <v>631.27333999999996</v>
      </c>
      <c r="G64">
        <f t="shared" si="2"/>
        <v>-0.55640000000000001</v>
      </c>
      <c r="H64">
        <f t="shared" si="3"/>
        <v>-351.24048637599998</v>
      </c>
      <c r="I64">
        <v>1</v>
      </c>
      <c r="J64">
        <f t="shared" si="4"/>
        <v>-0.46001632481867272</v>
      </c>
      <c r="K64">
        <f t="shared" si="5"/>
        <v>-0.66532515177521745</v>
      </c>
      <c r="L64">
        <v>1</v>
      </c>
      <c r="M64">
        <f t="shared" si="6"/>
        <v>0.57823698459627859</v>
      </c>
      <c r="N64">
        <f t="shared" si="7"/>
        <v>5.3973870569999999E-2</v>
      </c>
      <c r="O64">
        <f t="shared" si="8"/>
        <v>1.2309830129999999E-2</v>
      </c>
      <c r="P64">
        <f t="shared" si="9"/>
        <v>2.0804466478938861E-2</v>
      </c>
      <c r="V64">
        <v>-2.0428103653102899E-14</v>
      </c>
      <c r="W64">
        <f t="shared" si="12"/>
        <v>-0.60684999999999878</v>
      </c>
    </row>
    <row r="65" spans="1:23" x14ac:dyDescent="0.3">
      <c r="A65">
        <v>3.2108488999999998</v>
      </c>
      <c r="B65">
        <v>0.55388000000000004</v>
      </c>
      <c r="C65">
        <f t="shared" si="0"/>
        <v>1.7784249887320001</v>
      </c>
      <c r="D65">
        <v>1.7100000000000001E-2</v>
      </c>
      <c r="E65">
        <v>3.8999999999999998E-3</v>
      </c>
      <c r="F65">
        <f t="shared" si="1"/>
        <v>642.16977999999995</v>
      </c>
      <c r="G65">
        <f t="shared" si="2"/>
        <v>-0.55388000000000004</v>
      </c>
      <c r="H65">
        <f t="shared" si="3"/>
        <v>-355.68499774640003</v>
      </c>
      <c r="I65">
        <v>1</v>
      </c>
      <c r="J65">
        <f t="shared" si="4"/>
        <v>-0.44290255542552998</v>
      </c>
      <c r="K65">
        <f t="shared" si="5"/>
        <v>-0.66784515177521742</v>
      </c>
      <c r="L65">
        <v>1</v>
      </c>
      <c r="M65">
        <f t="shared" si="6"/>
        <v>0.579301461052532</v>
      </c>
      <c r="N65">
        <f t="shared" si="7"/>
        <v>5.4905516189999996E-2</v>
      </c>
      <c r="O65">
        <f t="shared" si="8"/>
        <v>1.2522310709999998E-2</v>
      </c>
      <c r="P65">
        <f t="shared" si="9"/>
        <v>2.1115863822685425E-2</v>
      </c>
      <c r="V65">
        <v>9.9999999999980105E-2</v>
      </c>
      <c r="W65">
        <f t="shared" si="12"/>
        <v>-0.61306999999999878</v>
      </c>
    </row>
    <row r="66" spans="1:23" x14ac:dyDescent="0.3">
      <c r="A66">
        <v>3.2653317999999998</v>
      </c>
      <c r="B66">
        <v>0.55057999999999996</v>
      </c>
      <c r="C66">
        <f t="shared" si="0"/>
        <v>1.7978263824439997</v>
      </c>
      <c r="D66">
        <v>1.7100000000000001E-2</v>
      </c>
      <c r="E66">
        <v>3.8999999999999998E-3</v>
      </c>
      <c r="F66">
        <f t="shared" si="1"/>
        <v>653.06635999999992</v>
      </c>
      <c r="G66">
        <f t="shared" si="2"/>
        <v>-0.55057999999999996</v>
      </c>
      <c r="H66">
        <f t="shared" si="3"/>
        <v>-359.56527648879995</v>
      </c>
      <c r="I66">
        <v>1</v>
      </c>
      <c r="J66">
        <f t="shared" si="4"/>
        <v>-0.42607653159181924</v>
      </c>
      <c r="K66">
        <f t="shared" si="5"/>
        <v>-0.6711451517752175</v>
      </c>
      <c r="L66">
        <v>1</v>
      </c>
      <c r="M66">
        <f t="shared" si="6"/>
        <v>0.58034803973498883</v>
      </c>
      <c r="N66">
        <f t="shared" si="7"/>
        <v>5.5837173779999999E-2</v>
      </c>
      <c r="O66">
        <f t="shared" si="8"/>
        <v>1.2734794019999999E-2</v>
      </c>
      <c r="P66">
        <f t="shared" si="9"/>
        <v>2.2225144240228669E-2</v>
      </c>
      <c r="V66">
        <v>0.19999999999998</v>
      </c>
      <c r="W66">
        <f t="shared" si="12"/>
        <v>-0.61928999999999879</v>
      </c>
    </row>
    <row r="67" spans="1:23" x14ac:dyDescent="0.3">
      <c r="A67">
        <v>3.3162500000000001</v>
      </c>
      <c r="B67">
        <v>0.54779</v>
      </c>
      <c r="C67">
        <f t="shared" si="0"/>
        <v>1.8166085875</v>
      </c>
      <c r="D67">
        <v>1.7100000000000001E-2</v>
      </c>
      <c r="E67">
        <v>3.8999999999999998E-3</v>
      </c>
      <c r="F67">
        <f t="shared" si="1"/>
        <v>663.25</v>
      </c>
      <c r="G67">
        <f t="shared" si="2"/>
        <v>-0.54779</v>
      </c>
      <c r="H67">
        <f t="shared" si="3"/>
        <v>-363.32171749999998</v>
      </c>
      <c r="I67">
        <v>1</v>
      </c>
      <c r="J67">
        <f t="shared" si="4"/>
        <v>-0.41060328596428802</v>
      </c>
      <c r="K67">
        <f t="shared" si="5"/>
        <v>-0.67393515177521746</v>
      </c>
      <c r="L67">
        <v>1</v>
      </c>
      <c r="M67">
        <f t="shared" si="6"/>
        <v>0.58131047561302129</v>
      </c>
      <c r="N67">
        <f t="shared" si="7"/>
        <v>5.6707875000000005E-2</v>
      </c>
      <c r="O67">
        <f t="shared" si="8"/>
        <v>1.2933375E-2</v>
      </c>
      <c r="P67">
        <f t="shared" si="9"/>
        <v>2.2983426162196157E-2</v>
      </c>
      <c r="V67">
        <v>0.29999999999998</v>
      </c>
      <c r="W67">
        <f t="shared" si="12"/>
        <v>-0.62550999999999879</v>
      </c>
    </row>
    <row r="68" spans="1:23" x14ac:dyDescent="0.3">
      <c r="A68">
        <v>3.3681868000000001</v>
      </c>
      <c r="B68">
        <v>0.54493000000000003</v>
      </c>
      <c r="C68">
        <f t="shared" ref="C68:C131" si="13">A68*B68</f>
        <v>1.8354260329240002</v>
      </c>
      <c r="D68">
        <v>1.7100000000000001E-2</v>
      </c>
      <c r="E68">
        <v>3.8999999999999998E-3</v>
      </c>
      <c r="F68">
        <f t="shared" ref="F68:F131" si="14">A68*200</f>
        <v>673.63736000000006</v>
      </c>
      <c r="G68">
        <f t="shared" ref="G68:G131" si="15">-B68</f>
        <v>-0.54493000000000003</v>
      </c>
      <c r="H68">
        <f t="shared" ref="H68:H131" si="16">-C68*200</f>
        <v>-367.08520658480006</v>
      </c>
      <c r="I68">
        <v>1</v>
      </c>
      <c r="J68">
        <f t="shared" ref="J68:J131" si="17">LN(F68/1000)</f>
        <v>-0.39506335440914758</v>
      </c>
      <c r="K68">
        <f t="shared" ref="K68:K131" si="18">((-G68)-$N$2)</f>
        <v>-0.67679515177521743</v>
      </c>
      <c r="L68">
        <v>1</v>
      </c>
      <c r="M68">
        <f t="shared" ref="M68:M131" si="19">-1*($S$4+($S$5*J68))</f>
        <v>0.58227705935575103</v>
      </c>
      <c r="N68">
        <f t="shared" ref="N68:N131" si="20">D68*A68</f>
        <v>5.7595994280000007E-2</v>
      </c>
      <c r="O68">
        <f t="shared" ref="O68:O131" si="21">E68*A68</f>
        <v>1.3135928519999999E-2</v>
      </c>
      <c r="P68">
        <f t="shared" ref="P68:P131" si="22">-K68-M68-N68-O68</f>
        <v>2.3786169619466398E-2</v>
      </c>
      <c r="V68">
        <v>0.39999999999997998</v>
      </c>
      <c r="W68">
        <f t="shared" ref="W68:W99" si="23">V68*$S$5+$S$4</f>
        <v>-0.63172999999999879</v>
      </c>
    </row>
    <row r="69" spans="1:23" x14ac:dyDescent="0.3">
      <c r="A69">
        <v>3.4216508999999999</v>
      </c>
      <c r="B69">
        <v>0.54225000000000001</v>
      </c>
      <c r="C69">
        <f t="shared" si="13"/>
        <v>1.855390200525</v>
      </c>
      <c r="D69">
        <v>1.7100000000000001E-2</v>
      </c>
      <c r="E69">
        <v>3.8999999999999998E-3</v>
      </c>
      <c r="F69">
        <f t="shared" si="14"/>
        <v>684.33018000000004</v>
      </c>
      <c r="G69">
        <f t="shared" si="15"/>
        <v>-0.54225000000000001</v>
      </c>
      <c r="H69">
        <f t="shared" si="16"/>
        <v>-371.07804010500001</v>
      </c>
      <c r="I69">
        <v>1</v>
      </c>
      <c r="J69">
        <f t="shared" si="17"/>
        <v>-0.37931475853282087</v>
      </c>
      <c r="K69">
        <f t="shared" si="18"/>
        <v>-0.67947515177521745</v>
      </c>
      <c r="L69">
        <v>1</v>
      </c>
      <c r="M69">
        <f t="shared" si="19"/>
        <v>0.58325662201925854</v>
      </c>
      <c r="N69">
        <f t="shared" si="20"/>
        <v>5.8510230390000001E-2</v>
      </c>
      <c r="O69">
        <f t="shared" si="21"/>
        <v>1.3344438509999999E-2</v>
      </c>
      <c r="P69">
        <f t="shared" si="22"/>
        <v>2.4363860855958902E-2</v>
      </c>
      <c r="V69">
        <v>0.49999999999998002</v>
      </c>
      <c r="W69">
        <f t="shared" si="23"/>
        <v>-0.6379499999999988</v>
      </c>
    </row>
    <row r="70" spans="1:23" x14ac:dyDescent="0.3">
      <c r="A70">
        <v>3.4766428</v>
      </c>
      <c r="B70">
        <v>0.53922000000000003</v>
      </c>
      <c r="C70">
        <f t="shared" si="13"/>
        <v>1.8746753306160002</v>
      </c>
      <c r="D70">
        <v>1.7100000000000001E-2</v>
      </c>
      <c r="E70">
        <v>3.8999999999999998E-3</v>
      </c>
      <c r="F70">
        <f t="shared" si="14"/>
        <v>695.32856000000004</v>
      </c>
      <c r="G70">
        <f t="shared" si="15"/>
        <v>-0.53922000000000003</v>
      </c>
      <c r="H70">
        <f t="shared" si="16"/>
        <v>-374.93506612320004</v>
      </c>
      <c r="I70">
        <v>1</v>
      </c>
      <c r="J70">
        <f t="shared" si="17"/>
        <v>-0.36337079692613128</v>
      </c>
      <c r="K70">
        <f t="shared" si="18"/>
        <v>-0.68250515177521742</v>
      </c>
      <c r="L70">
        <v>1</v>
      </c>
      <c r="M70">
        <f t="shared" si="19"/>
        <v>0.58424833643119467</v>
      </c>
      <c r="N70">
        <f t="shared" si="20"/>
        <v>5.945059188E-2</v>
      </c>
      <c r="O70">
        <f t="shared" si="21"/>
        <v>1.3558906919999999E-2</v>
      </c>
      <c r="P70">
        <f t="shared" si="22"/>
        <v>2.5247316544022753E-2</v>
      </c>
      <c r="V70">
        <v>0.59999999999997999</v>
      </c>
      <c r="W70">
        <f t="shared" si="23"/>
        <v>-0.6441699999999988</v>
      </c>
    </row>
    <row r="71" spans="1:23" x14ac:dyDescent="0.3">
      <c r="A71">
        <v>3.5280703</v>
      </c>
      <c r="B71">
        <v>0.53664000000000001</v>
      </c>
      <c r="C71">
        <f t="shared" si="13"/>
        <v>1.8933036457920001</v>
      </c>
      <c r="D71">
        <v>1.7100000000000001E-2</v>
      </c>
      <c r="E71">
        <v>3.8999999999999998E-3</v>
      </c>
      <c r="F71">
        <f t="shared" si="14"/>
        <v>705.61405999999999</v>
      </c>
      <c r="G71">
        <f t="shared" si="15"/>
        <v>-0.53664000000000001</v>
      </c>
      <c r="H71">
        <f t="shared" si="16"/>
        <v>-378.66072915839999</v>
      </c>
      <c r="I71">
        <v>1</v>
      </c>
      <c r="J71">
        <f t="shared" si="17"/>
        <v>-0.34868684818422674</v>
      </c>
      <c r="K71">
        <f t="shared" si="18"/>
        <v>-0.68508515177521745</v>
      </c>
      <c r="L71">
        <v>1</v>
      </c>
      <c r="M71">
        <f t="shared" si="19"/>
        <v>0.58516167804294106</v>
      </c>
      <c r="N71">
        <f t="shared" si="20"/>
        <v>6.0330002130000004E-2</v>
      </c>
      <c r="O71">
        <f t="shared" si="21"/>
        <v>1.3759474169999999E-2</v>
      </c>
      <c r="P71">
        <f t="shared" si="22"/>
        <v>2.5833997432276386E-2</v>
      </c>
      <c r="V71">
        <v>0.69999999999997997</v>
      </c>
      <c r="W71">
        <f t="shared" si="23"/>
        <v>-0.6503899999999988</v>
      </c>
    </row>
    <row r="72" spans="1:23" x14ac:dyDescent="0.3">
      <c r="A72">
        <v>3.5784796999999999</v>
      </c>
      <c r="B72">
        <v>0.53403</v>
      </c>
      <c r="C72">
        <f t="shared" si="13"/>
        <v>1.9110155141909999</v>
      </c>
      <c r="D72">
        <v>1.7100000000000001E-2</v>
      </c>
      <c r="E72">
        <v>3.8999999999999998E-3</v>
      </c>
      <c r="F72">
        <f t="shared" si="14"/>
        <v>715.69593999999995</v>
      </c>
      <c r="G72">
        <f t="shared" si="15"/>
        <v>-0.53403</v>
      </c>
      <c r="H72">
        <f t="shared" si="16"/>
        <v>-382.20310283819998</v>
      </c>
      <c r="I72">
        <v>1</v>
      </c>
      <c r="J72">
        <f t="shared" si="17"/>
        <v>-0.33449986702159507</v>
      </c>
      <c r="K72">
        <f t="shared" si="18"/>
        <v>-0.68769515177521745</v>
      </c>
      <c r="L72">
        <v>1</v>
      </c>
      <c r="M72">
        <f t="shared" si="19"/>
        <v>0.58604410827125675</v>
      </c>
      <c r="N72">
        <f t="shared" si="20"/>
        <v>6.1192002869999998E-2</v>
      </c>
      <c r="O72">
        <f t="shared" si="21"/>
        <v>1.3956070829999999E-2</v>
      </c>
      <c r="P72">
        <f t="shared" si="22"/>
        <v>2.6502969803960705E-2</v>
      </c>
      <c r="V72">
        <v>0.79999999999997995</v>
      </c>
      <c r="W72">
        <f t="shared" si="23"/>
        <v>-0.65660999999999881</v>
      </c>
    </row>
    <row r="73" spans="1:23" x14ac:dyDescent="0.3">
      <c r="A73">
        <v>3.6319438000000002</v>
      </c>
      <c r="B73">
        <v>0.53122000000000003</v>
      </c>
      <c r="C73">
        <f t="shared" si="13"/>
        <v>1.9293611854360002</v>
      </c>
      <c r="D73">
        <v>1.7100000000000001E-2</v>
      </c>
      <c r="E73">
        <v>3.8999999999999998E-3</v>
      </c>
      <c r="F73">
        <f t="shared" si="14"/>
        <v>726.38876000000005</v>
      </c>
      <c r="G73">
        <f t="shared" si="15"/>
        <v>-0.53122000000000003</v>
      </c>
      <c r="H73">
        <f t="shared" si="16"/>
        <v>-385.87223708720006</v>
      </c>
      <c r="I73">
        <v>1</v>
      </c>
      <c r="J73">
        <f t="shared" si="17"/>
        <v>-0.31966992538305222</v>
      </c>
      <c r="K73">
        <f t="shared" si="18"/>
        <v>-0.69050515177521743</v>
      </c>
      <c r="L73">
        <v>1</v>
      </c>
      <c r="M73">
        <f t="shared" si="19"/>
        <v>0.5869665306411741</v>
      </c>
      <c r="N73">
        <f t="shared" si="20"/>
        <v>6.2106238980000006E-2</v>
      </c>
      <c r="O73">
        <f t="shared" si="21"/>
        <v>1.416458082E-2</v>
      </c>
      <c r="P73">
        <f t="shared" si="22"/>
        <v>2.7267801334043322E-2</v>
      </c>
      <c r="V73">
        <v>0.89999999999998004</v>
      </c>
      <c r="W73">
        <f t="shared" si="23"/>
        <v>-0.66282999999999881</v>
      </c>
    </row>
    <row r="74" spans="1:23" x14ac:dyDescent="0.3">
      <c r="A74">
        <v>3.6828620999999999</v>
      </c>
      <c r="B74">
        <v>0.52869999999999995</v>
      </c>
      <c r="C74">
        <f t="shared" si="13"/>
        <v>1.9471291922699998</v>
      </c>
      <c r="D74">
        <v>1.7100000000000001E-2</v>
      </c>
      <c r="E74">
        <v>3.8999999999999998E-3</v>
      </c>
      <c r="F74">
        <f t="shared" si="14"/>
        <v>736.57241999999997</v>
      </c>
      <c r="G74">
        <f t="shared" si="15"/>
        <v>-0.52869999999999995</v>
      </c>
      <c r="H74">
        <f t="shared" si="16"/>
        <v>-389.42583845399997</v>
      </c>
      <c r="I74">
        <v>1</v>
      </c>
      <c r="J74">
        <f t="shared" si="17"/>
        <v>-0.30574771797462341</v>
      </c>
      <c r="K74">
        <f t="shared" si="18"/>
        <v>-0.69302515177521751</v>
      </c>
      <c r="L74">
        <v>1</v>
      </c>
      <c r="M74">
        <f t="shared" si="19"/>
        <v>0.5878324919419784</v>
      </c>
      <c r="N74">
        <f t="shared" si="20"/>
        <v>6.2976941910000001E-2</v>
      </c>
      <c r="O74">
        <f t="shared" si="21"/>
        <v>1.4363162189999999E-2</v>
      </c>
      <c r="P74">
        <f t="shared" si="22"/>
        <v>2.7852555733239109E-2</v>
      </c>
      <c r="V74">
        <v>0.99999999999998002</v>
      </c>
      <c r="W74">
        <f t="shared" si="23"/>
        <v>-0.66904999999999881</v>
      </c>
    </row>
    <row r="75" spans="1:23" x14ac:dyDescent="0.3">
      <c r="A75">
        <v>3.7337804999999999</v>
      </c>
      <c r="B75">
        <v>0.52600999999999998</v>
      </c>
      <c r="C75">
        <f t="shared" si="13"/>
        <v>1.9640058808049998</v>
      </c>
      <c r="D75">
        <v>1.7100000000000001E-2</v>
      </c>
      <c r="E75">
        <v>3.8999999999999998E-3</v>
      </c>
      <c r="F75">
        <f t="shared" si="14"/>
        <v>746.75609999999995</v>
      </c>
      <c r="G75">
        <f t="shared" si="15"/>
        <v>-0.52600999999999998</v>
      </c>
      <c r="H75">
        <f t="shared" si="16"/>
        <v>-392.80117616099994</v>
      </c>
      <c r="I75">
        <v>1</v>
      </c>
      <c r="J75">
        <f t="shared" si="17"/>
        <v>-0.29201665318811348</v>
      </c>
      <c r="K75">
        <f t="shared" si="18"/>
        <v>-0.69571515177521748</v>
      </c>
      <c r="L75">
        <v>1</v>
      </c>
      <c r="M75">
        <f t="shared" si="19"/>
        <v>0.58868656417169929</v>
      </c>
      <c r="N75">
        <f t="shared" si="20"/>
        <v>6.3847646549999998E-2</v>
      </c>
      <c r="O75">
        <f t="shared" si="21"/>
        <v>1.4561743949999999E-2</v>
      </c>
      <c r="P75">
        <f t="shared" si="22"/>
        <v>2.8619197103518193E-2</v>
      </c>
      <c r="V75">
        <v>1.0999999999999699</v>
      </c>
      <c r="W75">
        <f t="shared" si="23"/>
        <v>-0.67526999999999815</v>
      </c>
    </row>
    <row r="76" spans="1:23" x14ac:dyDescent="0.3">
      <c r="A76">
        <v>3.7852079999999999</v>
      </c>
      <c r="B76">
        <v>0.52325999999999995</v>
      </c>
      <c r="C76">
        <f t="shared" si="13"/>
        <v>1.9806479380799997</v>
      </c>
      <c r="D76">
        <v>1.7100000000000001E-2</v>
      </c>
      <c r="E76">
        <v>3.8999999999999998E-3</v>
      </c>
      <c r="F76">
        <f t="shared" si="14"/>
        <v>757.04160000000002</v>
      </c>
      <c r="G76">
        <f t="shared" si="15"/>
        <v>-0.52325999999999995</v>
      </c>
      <c r="H76">
        <f t="shared" si="16"/>
        <v>-396.12958761599992</v>
      </c>
      <c r="I76">
        <v>1</v>
      </c>
      <c r="J76">
        <f t="shared" si="17"/>
        <v>-0.27833707328972984</v>
      </c>
      <c r="K76">
        <f t="shared" si="18"/>
        <v>-0.69846515177521751</v>
      </c>
      <c r="L76">
        <v>1</v>
      </c>
      <c r="M76">
        <f t="shared" si="19"/>
        <v>0.58953743404137882</v>
      </c>
      <c r="N76">
        <f t="shared" si="20"/>
        <v>6.4727056800000002E-2</v>
      </c>
      <c r="O76">
        <f t="shared" si="21"/>
        <v>1.4762311199999999E-2</v>
      </c>
      <c r="P76">
        <f t="shared" si="22"/>
        <v>2.943834973383869E-2</v>
      </c>
      <c r="V76">
        <v>1.19999999999997</v>
      </c>
      <c r="W76">
        <f t="shared" si="23"/>
        <v>-0.68148999999999815</v>
      </c>
    </row>
    <row r="77" spans="1:23" x14ac:dyDescent="0.3">
      <c r="A77">
        <v>3.8396903999999998</v>
      </c>
      <c r="B77">
        <v>0.52070000000000005</v>
      </c>
      <c r="C77">
        <f t="shared" si="13"/>
        <v>1.9993267912800001</v>
      </c>
      <c r="D77">
        <v>1.7100000000000001E-2</v>
      </c>
      <c r="E77">
        <v>3.8999999999999998E-3</v>
      </c>
      <c r="F77">
        <f t="shared" si="14"/>
        <v>767.93808000000001</v>
      </c>
      <c r="G77">
        <f t="shared" si="15"/>
        <v>-0.52070000000000005</v>
      </c>
      <c r="H77">
        <f t="shared" si="16"/>
        <v>-399.86535825600004</v>
      </c>
      <c r="I77">
        <v>1</v>
      </c>
      <c r="J77">
        <f t="shared" si="17"/>
        <v>-0.26404617408483494</v>
      </c>
      <c r="K77">
        <f t="shared" si="18"/>
        <v>-0.7010251517752174</v>
      </c>
      <c r="L77">
        <v>1</v>
      </c>
      <c r="M77">
        <f t="shared" si="19"/>
        <v>0.59042632797192329</v>
      </c>
      <c r="N77">
        <f t="shared" si="20"/>
        <v>6.5658705839999998E-2</v>
      </c>
      <c r="O77">
        <f t="shared" si="21"/>
        <v>1.4974792559999998E-2</v>
      </c>
      <c r="P77">
        <f t="shared" si="22"/>
        <v>2.9965325403294114E-2</v>
      </c>
      <c r="V77">
        <v>1.2999999999999701</v>
      </c>
      <c r="W77">
        <f t="shared" si="23"/>
        <v>-0.68770999999999816</v>
      </c>
    </row>
    <row r="78" spans="1:23" x14ac:dyDescent="0.3">
      <c r="A78">
        <v>3.8900996000000001</v>
      </c>
      <c r="B78">
        <v>0.51824000000000003</v>
      </c>
      <c r="C78">
        <f t="shared" si="13"/>
        <v>2.0160052167040003</v>
      </c>
      <c r="D78">
        <v>1.7100000000000001E-2</v>
      </c>
      <c r="E78">
        <v>3.8999999999999998E-3</v>
      </c>
      <c r="F78">
        <f t="shared" si="14"/>
        <v>778.01992000000007</v>
      </c>
      <c r="G78">
        <f t="shared" si="15"/>
        <v>-0.51824000000000003</v>
      </c>
      <c r="H78">
        <f t="shared" si="16"/>
        <v>-403.20104334080008</v>
      </c>
      <c r="I78">
        <v>1</v>
      </c>
      <c r="J78">
        <f t="shared" si="17"/>
        <v>-0.25100315101841453</v>
      </c>
      <c r="K78">
        <f t="shared" si="18"/>
        <v>-0.70348515177521742</v>
      </c>
      <c r="L78">
        <v>1</v>
      </c>
      <c r="M78">
        <f t="shared" si="19"/>
        <v>0.59123760400665459</v>
      </c>
      <c r="N78">
        <f t="shared" si="20"/>
        <v>6.652070316E-2</v>
      </c>
      <c r="O78">
        <f t="shared" si="21"/>
        <v>1.5171388439999999E-2</v>
      </c>
      <c r="P78">
        <f t="shared" si="22"/>
        <v>3.0555456168562829E-2</v>
      </c>
      <c r="V78">
        <v>1.3999999999999699</v>
      </c>
      <c r="W78">
        <f t="shared" si="23"/>
        <v>-0.69392999999999816</v>
      </c>
    </row>
    <row r="79" spans="1:23" x14ac:dyDescent="0.3">
      <c r="A79">
        <v>3.9405087999999999</v>
      </c>
      <c r="B79">
        <v>0.51546999999999998</v>
      </c>
      <c r="C79">
        <f t="shared" si="13"/>
        <v>2.0312140711360001</v>
      </c>
      <c r="D79">
        <v>1.7100000000000001E-2</v>
      </c>
      <c r="E79">
        <v>3.8999999999999998E-3</v>
      </c>
      <c r="F79">
        <f t="shared" si="14"/>
        <v>788.10176000000001</v>
      </c>
      <c r="G79">
        <f t="shared" si="15"/>
        <v>-0.51546999999999998</v>
      </c>
      <c r="H79">
        <f t="shared" si="16"/>
        <v>-406.24281422720003</v>
      </c>
      <c r="I79">
        <v>1</v>
      </c>
      <c r="J79">
        <f t="shared" si="17"/>
        <v>-0.23812806040589221</v>
      </c>
      <c r="K79">
        <f t="shared" si="18"/>
        <v>-0.70625515177521747</v>
      </c>
      <c r="L79">
        <v>1</v>
      </c>
      <c r="M79">
        <f t="shared" si="19"/>
        <v>0.59203843464275352</v>
      </c>
      <c r="N79">
        <f t="shared" si="20"/>
        <v>6.7382700480000002E-2</v>
      </c>
      <c r="O79">
        <f t="shared" si="21"/>
        <v>1.5367984319999998E-2</v>
      </c>
      <c r="P79">
        <f t="shared" si="22"/>
        <v>3.146603233246395E-2</v>
      </c>
      <c r="V79">
        <v>1.49999999999997</v>
      </c>
      <c r="W79">
        <f t="shared" si="23"/>
        <v>-0.70014999999999816</v>
      </c>
    </row>
    <row r="80" spans="1:23" x14ac:dyDescent="0.3">
      <c r="A80">
        <v>3.9929546</v>
      </c>
      <c r="B80">
        <v>0.51304000000000005</v>
      </c>
      <c r="C80">
        <f t="shared" si="13"/>
        <v>2.0485454279840001</v>
      </c>
      <c r="D80">
        <v>1.7100000000000001E-2</v>
      </c>
      <c r="E80">
        <v>3.8999999999999998E-3</v>
      </c>
      <c r="F80">
        <f t="shared" si="14"/>
        <v>798.59091999999998</v>
      </c>
      <c r="G80">
        <f t="shared" si="15"/>
        <v>-0.51304000000000005</v>
      </c>
      <c r="H80">
        <f t="shared" si="16"/>
        <v>-409.70908559680004</v>
      </c>
      <c r="I80">
        <v>1</v>
      </c>
      <c r="J80">
        <f t="shared" si="17"/>
        <v>-0.22490645431497422</v>
      </c>
      <c r="K80">
        <f t="shared" si="18"/>
        <v>-0.7086851517752174</v>
      </c>
      <c r="L80">
        <v>1</v>
      </c>
      <c r="M80">
        <f t="shared" si="19"/>
        <v>0.59286081854160866</v>
      </c>
      <c r="N80">
        <f t="shared" si="20"/>
        <v>6.8279523660000008E-2</v>
      </c>
      <c r="O80">
        <f t="shared" si="21"/>
        <v>1.557252294E-2</v>
      </c>
      <c r="P80">
        <f t="shared" si="22"/>
        <v>3.1972286633608737E-2</v>
      </c>
      <c r="V80">
        <v>1.5999999999999699</v>
      </c>
      <c r="W80">
        <f t="shared" si="23"/>
        <v>-0.70636999999999817</v>
      </c>
    </row>
    <row r="81" spans="1:23" x14ac:dyDescent="0.3">
      <c r="A81">
        <v>4.0433637999999998</v>
      </c>
      <c r="B81">
        <v>0.51041000000000003</v>
      </c>
      <c r="C81">
        <f t="shared" si="13"/>
        <v>2.0637733171580002</v>
      </c>
      <c r="D81">
        <v>1.7100000000000001E-2</v>
      </c>
      <c r="E81">
        <v>3.8999999999999998E-3</v>
      </c>
      <c r="F81">
        <f t="shared" si="14"/>
        <v>808.67275999999993</v>
      </c>
      <c r="G81">
        <f t="shared" si="15"/>
        <v>-0.51041000000000003</v>
      </c>
      <c r="H81">
        <f t="shared" si="16"/>
        <v>-412.75466343160002</v>
      </c>
      <c r="I81">
        <v>1</v>
      </c>
      <c r="J81">
        <f t="shared" si="17"/>
        <v>-0.21236094313754159</v>
      </c>
      <c r="K81">
        <f t="shared" si="18"/>
        <v>-0.71131515177521742</v>
      </c>
      <c r="L81">
        <v>1</v>
      </c>
      <c r="M81">
        <f t="shared" si="19"/>
        <v>0.59364114933684486</v>
      </c>
      <c r="N81">
        <f t="shared" si="20"/>
        <v>6.9141520979999996E-2</v>
      </c>
      <c r="O81">
        <f t="shared" si="21"/>
        <v>1.5769118819999997E-2</v>
      </c>
      <c r="P81">
        <f t="shared" si="22"/>
        <v>3.2763362638372567E-2</v>
      </c>
      <c r="V81">
        <v>1.69999999999997</v>
      </c>
      <c r="W81">
        <f t="shared" si="23"/>
        <v>-0.71258999999999817</v>
      </c>
    </row>
    <row r="82" spans="1:23" x14ac:dyDescent="0.3">
      <c r="A82">
        <v>4.0983559999999999</v>
      </c>
      <c r="B82">
        <v>0.50805999999999996</v>
      </c>
      <c r="C82">
        <f t="shared" si="13"/>
        <v>2.0822107493599997</v>
      </c>
      <c r="D82">
        <v>1.7100000000000001E-2</v>
      </c>
      <c r="E82">
        <v>3.8999999999999998E-3</v>
      </c>
      <c r="F82">
        <f t="shared" si="14"/>
        <v>819.6712</v>
      </c>
      <c r="G82">
        <f t="shared" si="15"/>
        <v>-0.50805999999999996</v>
      </c>
      <c r="H82">
        <f t="shared" si="16"/>
        <v>-416.44214987199996</v>
      </c>
      <c r="I82">
        <v>1</v>
      </c>
      <c r="J82">
        <f t="shared" si="17"/>
        <v>-0.19885199474581039</v>
      </c>
      <c r="K82">
        <f t="shared" si="18"/>
        <v>-0.7136651517752175</v>
      </c>
      <c r="L82">
        <v>1</v>
      </c>
      <c r="M82">
        <f t="shared" si="19"/>
        <v>0.59448140592681065</v>
      </c>
      <c r="N82">
        <f t="shared" si="20"/>
        <v>7.0081887600000004E-2</v>
      </c>
      <c r="O82">
        <f t="shared" si="21"/>
        <v>1.5983588399999998E-2</v>
      </c>
      <c r="P82">
        <f t="shared" si="22"/>
        <v>3.3118269848406851E-2</v>
      </c>
      <c r="V82">
        <v>1.7999999999999701</v>
      </c>
      <c r="W82">
        <f t="shared" si="23"/>
        <v>-0.71880999999999817</v>
      </c>
    </row>
    <row r="83" spans="1:23" x14ac:dyDescent="0.3">
      <c r="A83">
        <v>4.1497831999999999</v>
      </c>
      <c r="B83">
        <v>0.50521000000000005</v>
      </c>
      <c r="C83">
        <f t="shared" si="13"/>
        <v>2.0965119704720001</v>
      </c>
      <c r="D83">
        <v>1.7100000000000001E-2</v>
      </c>
      <c r="E83">
        <v>3.8999999999999998E-3</v>
      </c>
      <c r="F83">
        <f t="shared" si="14"/>
        <v>829.95663999999999</v>
      </c>
      <c r="G83">
        <f t="shared" si="15"/>
        <v>-0.50521000000000005</v>
      </c>
      <c r="H83">
        <f t="shared" si="16"/>
        <v>-419.30239409440003</v>
      </c>
      <c r="I83">
        <v>1</v>
      </c>
      <c r="J83">
        <f t="shared" si="17"/>
        <v>-0.18638182051995553</v>
      </c>
      <c r="K83">
        <f t="shared" si="18"/>
        <v>-0.71651515177521741</v>
      </c>
      <c r="L83">
        <v>1</v>
      </c>
      <c r="M83">
        <f t="shared" si="19"/>
        <v>0.59525705076365876</v>
      </c>
      <c r="N83">
        <f t="shared" si="20"/>
        <v>7.0961292719999999E-2</v>
      </c>
      <c r="O83">
        <f t="shared" si="21"/>
        <v>1.6184154479999997E-2</v>
      </c>
      <c r="P83">
        <f t="shared" si="22"/>
        <v>3.4112653811558653E-2</v>
      </c>
      <c r="V83">
        <v>1.8999999999999699</v>
      </c>
      <c r="W83">
        <f t="shared" si="23"/>
        <v>-0.72502999999999806</v>
      </c>
    </row>
    <row r="84" spans="1:23" x14ac:dyDescent="0.3">
      <c r="A84">
        <v>4.2007021</v>
      </c>
      <c r="B84">
        <v>0.50261999999999996</v>
      </c>
      <c r="C84">
        <f t="shared" si="13"/>
        <v>2.1113568895019998</v>
      </c>
      <c r="D84">
        <v>1.7100000000000001E-2</v>
      </c>
      <c r="E84">
        <v>3.8999999999999998E-3</v>
      </c>
      <c r="F84">
        <f t="shared" si="14"/>
        <v>840.14041999999995</v>
      </c>
      <c r="G84">
        <f t="shared" si="15"/>
        <v>-0.50261999999999996</v>
      </c>
      <c r="H84">
        <f t="shared" si="16"/>
        <v>-422.27137790039995</v>
      </c>
      <c r="I84">
        <v>1</v>
      </c>
      <c r="J84">
        <f t="shared" si="17"/>
        <v>-0.17418623444890136</v>
      </c>
      <c r="K84">
        <f t="shared" si="18"/>
        <v>-0.7191051517752175</v>
      </c>
      <c r="L84">
        <v>1</v>
      </c>
      <c r="M84">
        <f t="shared" si="19"/>
        <v>0.59601561621727839</v>
      </c>
      <c r="N84">
        <f t="shared" si="20"/>
        <v>7.1832005909999996E-2</v>
      </c>
      <c r="O84">
        <f t="shared" si="21"/>
        <v>1.6382738189999999E-2</v>
      </c>
      <c r="P84">
        <f t="shared" si="22"/>
        <v>3.4874791457939119E-2</v>
      </c>
      <c r="V84">
        <v>1.99999999999997</v>
      </c>
      <c r="W84">
        <f t="shared" si="23"/>
        <v>-0.73124999999999818</v>
      </c>
    </row>
    <row r="85" spans="1:23" x14ac:dyDescent="0.3">
      <c r="A85">
        <v>4.2511112999999998</v>
      </c>
      <c r="B85">
        <v>0.50029000000000001</v>
      </c>
      <c r="C85">
        <f t="shared" si="13"/>
        <v>2.1267884722770001</v>
      </c>
      <c r="D85">
        <v>1.7100000000000001E-2</v>
      </c>
      <c r="E85">
        <v>3.8999999999999998E-3</v>
      </c>
      <c r="F85">
        <f t="shared" si="14"/>
        <v>850.22226000000001</v>
      </c>
      <c r="G85">
        <f t="shared" si="15"/>
        <v>-0.50029000000000001</v>
      </c>
      <c r="H85">
        <f t="shared" si="16"/>
        <v>-425.35769445540001</v>
      </c>
      <c r="I85">
        <v>1</v>
      </c>
      <c r="J85">
        <f t="shared" si="17"/>
        <v>-0.16225748132538589</v>
      </c>
      <c r="K85">
        <f t="shared" si="18"/>
        <v>-0.72143515177521744</v>
      </c>
      <c r="L85">
        <v>1</v>
      </c>
      <c r="M85">
        <f t="shared" si="19"/>
        <v>0.59675758466156104</v>
      </c>
      <c r="N85">
        <f t="shared" si="20"/>
        <v>7.2694003229999998E-2</v>
      </c>
      <c r="O85">
        <f t="shared" si="21"/>
        <v>1.657933407E-2</v>
      </c>
      <c r="P85">
        <f t="shared" si="22"/>
        <v>3.5404229813656408E-2</v>
      </c>
      <c r="V85">
        <v>2.0999999999999699</v>
      </c>
      <c r="W85">
        <f t="shared" si="23"/>
        <v>-0.73746999999999807</v>
      </c>
    </row>
    <row r="86" spans="1:23" x14ac:dyDescent="0.3">
      <c r="A86">
        <v>4.3035570999999999</v>
      </c>
      <c r="B86">
        <v>0.49769000000000002</v>
      </c>
      <c r="C86">
        <f t="shared" si="13"/>
        <v>2.1418373330990002</v>
      </c>
      <c r="D86">
        <v>1.7100000000000001E-2</v>
      </c>
      <c r="E86">
        <v>3.8999999999999998E-3</v>
      </c>
      <c r="F86">
        <f t="shared" si="14"/>
        <v>860.71141999999998</v>
      </c>
      <c r="G86">
        <f t="shared" si="15"/>
        <v>-0.49769000000000002</v>
      </c>
      <c r="H86">
        <f t="shared" si="16"/>
        <v>-428.36746661980004</v>
      </c>
      <c r="I86">
        <v>1</v>
      </c>
      <c r="J86">
        <f t="shared" si="17"/>
        <v>-0.14999599914471817</v>
      </c>
      <c r="K86">
        <f t="shared" si="18"/>
        <v>-0.72403515177521749</v>
      </c>
      <c r="L86">
        <v>1</v>
      </c>
      <c r="M86">
        <f t="shared" si="19"/>
        <v>0.59752024885319854</v>
      </c>
      <c r="N86">
        <f t="shared" si="20"/>
        <v>7.3590826410000004E-2</v>
      </c>
      <c r="O86">
        <f t="shared" si="21"/>
        <v>1.678387269E-2</v>
      </c>
      <c r="P86">
        <f t="shared" si="22"/>
        <v>3.6140203822018942E-2</v>
      </c>
      <c r="V86">
        <v>2.19999999999997</v>
      </c>
      <c r="W86">
        <f t="shared" si="23"/>
        <v>-0.74368999999999819</v>
      </c>
    </row>
    <row r="87" spans="1:23" x14ac:dyDescent="0.3">
      <c r="A87">
        <v>4.3554937000000002</v>
      </c>
      <c r="B87">
        <v>0.49531999999999998</v>
      </c>
      <c r="C87">
        <f t="shared" si="13"/>
        <v>2.157363139484</v>
      </c>
      <c r="D87">
        <v>1.7100000000000001E-2</v>
      </c>
      <c r="E87">
        <v>3.8999999999999998E-3</v>
      </c>
      <c r="F87">
        <f t="shared" si="14"/>
        <v>871.09874000000002</v>
      </c>
      <c r="G87">
        <f t="shared" si="15"/>
        <v>-0.49531999999999998</v>
      </c>
      <c r="H87">
        <f t="shared" si="16"/>
        <v>-431.47262789680002</v>
      </c>
      <c r="I87">
        <v>1</v>
      </c>
      <c r="J87">
        <f t="shared" si="17"/>
        <v>-0.13799994460535786</v>
      </c>
      <c r="K87">
        <f t="shared" si="18"/>
        <v>-0.72640515177521747</v>
      </c>
      <c r="L87">
        <v>1</v>
      </c>
      <c r="M87">
        <f t="shared" si="19"/>
        <v>0.59826640344554671</v>
      </c>
      <c r="N87">
        <f t="shared" si="20"/>
        <v>7.4478942270000001E-2</v>
      </c>
      <c r="O87">
        <f t="shared" si="21"/>
        <v>1.698642543E-2</v>
      </c>
      <c r="P87">
        <f t="shared" si="22"/>
        <v>3.6673380629670758E-2</v>
      </c>
      <c r="V87">
        <v>2.2999999999999701</v>
      </c>
      <c r="W87">
        <f t="shared" si="23"/>
        <v>-0.74990999999999808</v>
      </c>
    </row>
    <row r="88" spans="1:23" x14ac:dyDescent="0.3">
      <c r="A88">
        <v>4.4074302000000003</v>
      </c>
      <c r="B88">
        <v>0.49270999999999998</v>
      </c>
      <c r="C88">
        <f t="shared" si="13"/>
        <v>2.1715849338419999</v>
      </c>
      <c r="D88">
        <v>1.7100000000000001E-2</v>
      </c>
      <c r="E88">
        <v>3.8999999999999998E-3</v>
      </c>
      <c r="F88">
        <f t="shared" si="14"/>
        <v>881.48604</v>
      </c>
      <c r="G88">
        <f t="shared" si="15"/>
        <v>-0.49270999999999998</v>
      </c>
      <c r="H88">
        <f t="shared" si="16"/>
        <v>-434.3169867684</v>
      </c>
      <c r="I88">
        <v>1</v>
      </c>
      <c r="J88">
        <f t="shared" si="17"/>
        <v>-0.12614611391170047</v>
      </c>
      <c r="K88">
        <f t="shared" si="18"/>
        <v>-0.72901515177521747</v>
      </c>
      <c r="L88">
        <v>1</v>
      </c>
      <c r="M88">
        <f t="shared" si="19"/>
        <v>0.59900371171469224</v>
      </c>
      <c r="N88">
        <f t="shared" si="20"/>
        <v>7.5367056420000009E-2</v>
      </c>
      <c r="O88">
        <f t="shared" si="21"/>
        <v>1.718897778E-2</v>
      </c>
      <c r="P88">
        <f t="shared" si="22"/>
        <v>3.7455405860525218E-2</v>
      </c>
      <c r="V88">
        <v>2.3999999999999702</v>
      </c>
      <c r="W88">
        <f t="shared" si="23"/>
        <v>-0.75612999999999819</v>
      </c>
    </row>
    <row r="89" spans="1:23" x14ac:dyDescent="0.3">
      <c r="A89">
        <v>4.4583485999999999</v>
      </c>
      <c r="B89">
        <v>0.49053000000000002</v>
      </c>
      <c r="C89">
        <f t="shared" si="13"/>
        <v>2.186953738758</v>
      </c>
      <c r="D89">
        <v>1.7100000000000001E-2</v>
      </c>
      <c r="E89">
        <v>3.8999999999999998E-3</v>
      </c>
      <c r="F89">
        <f t="shared" si="14"/>
        <v>891.66971999999998</v>
      </c>
      <c r="G89">
        <f t="shared" si="15"/>
        <v>-0.49053000000000002</v>
      </c>
      <c r="H89">
        <f t="shared" si="16"/>
        <v>-437.39074775160003</v>
      </c>
      <c r="I89">
        <v>1</v>
      </c>
      <c r="J89">
        <f t="shared" si="17"/>
        <v>-0.11465948402693731</v>
      </c>
      <c r="K89">
        <f t="shared" si="18"/>
        <v>-0.73119515177521743</v>
      </c>
      <c r="L89">
        <v>1</v>
      </c>
      <c r="M89">
        <f t="shared" si="19"/>
        <v>0.59971818009352451</v>
      </c>
      <c r="N89">
        <f t="shared" si="20"/>
        <v>7.6237761060000006E-2</v>
      </c>
      <c r="O89">
        <f t="shared" si="21"/>
        <v>1.738755954E-2</v>
      </c>
      <c r="P89">
        <f t="shared" si="22"/>
        <v>3.7851651081692916E-2</v>
      </c>
      <c r="V89">
        <v>2.4999999999999698</v>
      </c>
      <c r="W89">
        <f t="shared" si="23"/>
        <v>-0.76234999999999808</v>
      </c>
    </row>
    <row r="90" spans="1:23" x14ac:dyDescent="0.3">
      <c r="A90">
        <v>4.5092670999999998</v>
      </c>
      <c r="B90">
        <v>0.48780000000000001</v>
      </c>
      <c r="C90">
        <f t="shared" si="13"/>
        <v>2.1996204913799997</v>
      </c>
      <c r="D90">
        <v>1.7100000000000001E-2</v>
      </c>
      <c r="E90">
        <v>3.8999999999999998E-3</v>
      </c>
      <c r="F90">
        <f t="shared" si="14"/>
        <v>901.85341999999991</v>
      </c>
      <c r="G90">
        <f t="shared" si="15"/>
        <v>-0.48780000000000001</v>
      </c>
      <c r="H90">
        <f t="shared" si="16"/>
        <v>-439.92409827599994</v>
      </c>
      <c r="I90">
        <v>1</v>
      </c>
      <c r="J90">
        <f t="shared" si="17"/>
        <v>-0.1033032776682072</v>
      </c>
      <c r="K90">
        <f t="shared" si="18"/>
        <v>-0.73392515177521744</v>
      </c>
      <c r="L90">
        <v>1</v>
      </c>
      <c r="M90">
        <f t="shared" si="19"/>
        <v>0.60042453612903757</v>
      </c>
      <c r="N90">
        <f t="shared" si="20"/>
        <v>7.7108467409999992E-2</v>
      </c>
      <c r="O90">
        <f t="shared" si="21"/>
        <v>1.7586141689999998E-2</v>
      </c>
      <c r="P90">
        <f t="shared" si="22"/>
        <v>3.8806006546179883E-2</v>
      </c>
      <c r="V90">
        <v>2.5999999999999699</v>
      </c>
      <c r="W90">
        <f t="shared" si="23"/>
        <v>-0.76856999999999809</v>
      </c>
    </row>
    <row r="91" spans="1:23" x14ac:dyDescent="0.3">
      <c r="A91">
        <v>4.5601855000000002</v>
      </c>
      <c r="B91">
        <v>0.4854</v>
      </c>
      <c r="C91">
        <f t="shared" si="13"/>
        <v>2.2135140416999999</v>
      </c>
      <c r="D91">
        <v>1.7100000000000001E-2</v>
      </c>
      <c r="E91">
        <v>3.8999999999999998E-3</v>
      </c>
      <c r="F91">
        <f t="shared" si="14"/>
        <v>912.03710000000001</v>
      </c>
      <c r="G91">
        <f t="shared" si="15"/>
        <v>-0.4854</v>
      </c>
      <c r="H91">
        <f t="shared" si="16"/>
        <v>-442.70280833999999</v>
      </c>
      <c r="I91">
        <v>1</v>
      </c>
      <c r="J91">
        <f t="shared" si="17"/>
        <v>-9.2074609910645838E-2</v>
      </c>
      <c r="K91">
        <f t="shared" si="18"/>
        <v>-0.7363251517752174</v>
      </c>
      <c r="L91">
        <v>1</v>
      </c>
      <c r="M91">
        <f t="shared" si="19"/>
        <v>0.60112295926355785</v>
      </c>
      <c r="N91">
        <f t="shared" si="20"/>
        <v>7.7979172050000004E-2</v>
      </c>
      <c r="O91">
        <f t="shared" si="21"/>
        <v>1.7784723450000001E-2</v>
      </c>
      <c r="P91">
        <f t="shared" si="22"/>
        <v>3.9438297011659545E-2</v>
      </c>
      <c r="V91">
        <v>2.69999999999997</v>
      </c>
      <c r="W91">
        <f t="shared" si="23"/>
        <v>-0.77478999999999809</v>
      </c>
    </row>
    <row r="92" spans="1:23" x14ac:dyDescent="0.3">
      <c r="A92">
        <v>4.6116127999999996</v>
      </c>
      <c r="B92">
        <v>0.48303000000000001</v>
      </c>
      <c r="C92">
        <f t="shared" si="13"/>
        <v>2.2275473307839997</v>
      </c>
      <c r="D92">
        <v>1.7100000000000001E-2</v>
      </c>
      <c r="E92">
        <v>3.8999999999999998E-3</v>
      </c>
      <c r="F92">
        <f t="shared" si="14"/>
        <v>922.32255999999995</v>
      </c>
      <c r="G92">
        <f t="shared" si="15"/>
        <v>-0.48303000000000001</v>
      </c>
      <c r="H92">
        <f t="shared" si="16"/>
        <v>-445.50946615679993</v>
      </c>
      <c r="I92">
        <v>1</v>
      </c>
      <c r="J92">
        <f t="shared" si="17"/>
        <v>-8.0860268451957984E-2</v>
      </c>
      <c r="K92">
        <f t="shared" si="18"/>
        <v>-0.73869515177521738</v>
      </c>
      <c r="L92">
        <v>1</v>
      </c>
      <c r="M92">
        <f t="shared" si="19"/>
        <v>0.60182049130228821</v>
      </c>
      <c r="N92">
        <f t="shared" si="20"/>
        <v>7.8858578880000002E-2</v>
      </c>
      <c r="O92">
        <f t="shared" si="21"/>
        <v>1.7985289919999998E-2</v>
      </c>
      <c r="P92">
        <f t="shared" si="22"/>
        <v>4.0030791672929181E-2</v>
      </c>
      <c r="V92">
        <v>2.7999999999999701</v>
      </c>
      <c r="W92">
        <f t="shared" si="23"/>
        <v>-0.78100999999999809</v>
      </c>
    </row>
    <row r="93" spans="1:23" x14ac:dyDescent="0.3">
      <c r="A93">
        <v>4.6625307999999999</v>
      </c>
      <c r="B93">
        <v>0.48064000000000001</v>
      </c>
      <c r="C93">
        <f t="shared" si="13"/>
        <v>2.2409988037119999</v>
      </c>
      <c r="D93">
        <v>1.7100000000000001E-2</v>
      </c>
      <c r="E93">
        <v>3.8999999999999998E-3</v>
      </c>
      <c r="F93">
        <f t="shared" si="14"/>
        <v>932.50616000000002</v>
      </c>
      <c r="G93">
        <f t="shared" si="15"/>
        <v>-0.48064000000000001</v>
      </c>
      <c r="H93">
        <f t="shared" si="16"/>
        <v>-448.19976074239997</v>
      </c>
      <c r="I93">
        <v>1</v>
      </c>
      <c r="J93">
        <f t="shared" si="17"/>
        <v>-6.9879521587861995E-2</v>
      </c>
      <c r="K93">
        <f t="shared" si="18"/>
        <v>-0.7410851517752175</v>
      </c>
      <c r="L93">
        <v>1</v>
      </c>
      <c r="M93">
        <f t="shared" si="19"/>
        <v>0.602503493757235</v>
      </c>
      <c r="N93">
        <f t="shared" si="20"/>
        <v>7.9729276680000002E-2</v>
      </c>
      <c r="O93">
        <f t="shared" si="21"/>
        <v>1.8183870119999997E-2</v>
      </c>
      <c r="P93">
        <f t="shared" si="22"/>
        <v>4.0668511217982498E-2</v>
      </c>
      <c r="V93">
        <v>2.8999999999999702</v>
      </c>
      <c r="W93">
        <f t="shared" si="23"/>
        <v>-0.7872299999999981</v>
      </c>
    </row>
    <row r="94" spans="1:23" x14ac:dyDescent="0.3">
      <c r="A94">
        <v>4.7129399000000003</v>
      </c>
      <c r="B94">
        <v>0.47808</v>
      </c>
      <c r="C94">
        <f t="shared" si="13"/>
        <v>2.253162307392</v>
      </c>
      <c r="D94">
        <v>1.7100000000000001E-2</v>
      </c>
      <c r="E94">
        <v>3.8999999999999998E-3</v>
      </c>
      <c r="F94">
        <f t="shared" si="14"/>
        <v>942.58798000000002</v>
      </c>
      <c r="G94">
        <f t="shared" si="15"/>
        <v>-0.47808</v>
      </c>
      <c r="H94">
        <f t="shared" si="16"/>
        <v>-450.63246147839999</v>
      </c>
      <c r="I94">
        <v>1</v>
      </c>
      <c r="J94">
        <f t="shared" si="17"/>
        <v>-5.9126016536470039E-2</v>
      </c>
      <c r="K94">
        <f t="shared" si="18"/>
        <v>-0.74364515177521739</v>
      </c>
      <c r="L94">
        <v>1</v>
      </c>
      <c r="M94">
        <f t="shared" si="19"/>
        <v>0.60317236177143152</v>
      </c>
      <c r="N94">
        <f t="shared" si="20"/>
        <v>8.0591272290000002E-2</v>
      </c>
      <c r="O94">
        <f t="shared" si="21"/>
        <v>1.8380465610000001E-2</v>
      </c>
      <c r="P94">
        <f t="shared" si="22"/>
        <v>4.1501052103785872E-2</v>
      </c>
      <c r="V94">
        <v>2.9999999999999698</v>
      </c>
      <c r="W94">
        <f t="shared" si="23"/>
        <v>-0.7934499999999981</v>
      </c>
    </row>
    <row r="95" spans="1:23" x14ac:dyDescent="0.3">
      <c r="A95">
        <v>4.7674228999999997</v>
      </c>
      <c r="B95">
        <v>0.47567999999999999</v>
      </c>
      <c r="C95">
        <f t="shared" si="13"/>
        <v>2.2677677250719999</v>
      </c>
      <c r="D95">
        <v>1.7100000000000001E-2</v>
      </c>
      <c r="E95">
        <v>3.8999999999999998E-3</v>
      </c>
      <c r="F95">
        <f t="shared" si="14"/>
        <v>953.48457999999994</v>
      </c>
      <c r="G95">
        <f t="shared" si="15"/>
        <v>-0.47567999999999999</v>
      </c>
      <c r="H95">
        <f t="shared" si="16"/>
        <v>-453.55354501439996</v>
      </c>
      <c r="I95">
        <v>1</v>
      </c>
      <c r="J95">
        <f t="shared" si="17"/>
        <v>-4.7632026070334017E-2</v>
      </c>
      <c r="K95">
        <f t="shared" si="18"/>
        <v>-0.74604515177521746</v>
      </c>
      <c r="L95">
        <v>1</v>
      </c>
      <c r="M95">
        <f t="shared" si="19"/>
        <v>0.60388728797842517</v>
      </c>
      <c r="N95">
        <f t="shared" si="20"/>
        <v>8.152293159E-2</v>
      </c>
      <c r="O95">
        <f t="shared" si="21"/>
        <v>1.8592949309999999E-2</v>
      </c>
      <c r="P95">
        <f t="shared" si="22"/>
        <v>4.2041982896792299E-2</v>
      </c>
      <c r="V95">
        <v>3.0999999999999699</v>
      </c>
      <c r="W95">
        <f t="shared" si="23"/>
        <v>-0.7996699999999981</v>
      </c>
    </row>
    <row r="96" spans="1:23" x14ac:dyDescent="0.3">
      <c r="A96">
        <v>4.8198686999999998</v>
      </c>
      <c r="B96">
        <v>0.47311999999999999</v>
      </c>
      <c r="C96">
        <f t="shared" si="13"/>
        <v>2.2803762793439999</v>
      </c>
      <c r="D96">
        <v>1.7100000000000001E-2</v>
      </c>
      <c r="E96">
        <v>3.8999999999999998E-3</v>
      </c>
      <c r="F96">
        <f t="shared" si="14"/>
        <v>963.97373999999991</v>
      </c>
      <c r="G96">
        <f t="shared" si="15"/>
        <v>-0.47311999999999999</v>
      </c>
      <c r="H96">
        <f t="shared" si="16"/>
        <v>-456.07525586879996</v>
      </c>
      <c r="I96">
        <v>1</v>
      </c>
      <c r="J96">
        <f t="shared" si="17"/>
        <v>-3.6691225406525564E-2</v>
      </c>
      <c r="K96">
        <f t="shared" si="18"/>
        <v>-0.74860515177521747</v>
      </c>
      <c r="L96">
        <v>1</v>
      </c>
      <c r="M96">
        <f t="shared" si="19"/>
        <v>0.60456780577971414</v>
      </c>
      <c r="N96">
        <f t="shared" si="20"/>
        <v>8.2419754770000006E-2</v>
      </c>
      <c r="O96">
        <f t="shared" si="21"/>
        <v>1.8797487929999999E-2</v>
      </c>
      <c r="P96">
        <f t="shared" si="22"/>
        <v>4.2820103295503328E-2</v>
      </c>
      <c r="V96">
        <v>3.19999999999997</v>
      </c>
      <c r="W96">
        <f t="shared" si="23"/>
        <v>-0.80588999999999811</v>
      </c>
    </row>
    <row r="97" spans="1:23" x14ac:dyDescent="0.3">
      <c r="A97">
        <v>4.8728236999999996</v>
      </c>
      <c r="B97">
        <v>0.47087000000000001</v>
      </c>
      <c r="C97">
        <f t="shared" si="13"/>
        <v>2.294466495619</v>
      </c>
      <c r="D97">
        <v>1.7100000000000001E-2</v>
      </c>
      <c r="E97">
        <v>3.8999999999999998E-3</v>
      </c>
      <c r="F97">
        <f t="shared" si="14"/>
        <v>974.56473999999992</v>
      </c>
      <c r="G97">
        <f t="shared" si="15"/>
        <v>-0.47087000000000001</v>
      </c>
      <c r="H97">
        <f t="shared" si="16"/>
        <v>-458.89329912379998</v>
      </c>
      <c r="I97">
        <v>1</v>
      </c>
      <c r="J97">
        <f t="shared" si="17"/>
        <v>-2.576432817241343E-2</v>
      </c>
      <c r="K97">
        <f t="shared" si="18"/>
        <v>-0.75085515177521744</v>
      </c>
      <c r="L97">
        <v>1</v>
      </c>
      <c r="M97">
        <f t="shared" si="19"/>
        <v>0.60524745878767594</v>
      </c>
      <c r="N97">
        <f t="shared" si="20"/>
        <v>8.3325285269999994E-2</v>
      </c>
      <c r="O97">
        <f t="shared" si="21"/>
        <v>1.9004012429999998E-2</v>
      </c>
      <c r="P97">
        <f t="shared" si="22"/>
        <v>4.3278395287541516E-2</v>
      </c>
      <c r="V97">
        <v>3.2999999999999701</v>
      </c>
      <c r="W97">
        <f t="shared" si="23"/>
        <v>-0.81210999999999811</v>
      </c>
    </row>
    <row r="98" spans="1:23" x14ac:dyDescent="0.3">
      <c r="A98">
        <v>4.9247607000000002</v>
      </c>
      <c r="B98">
        <v>0.46834999999999999</v>
      </c>
      <c r="C98">
        <f t="shared" si="13"/>
        <v>2.3065116738450002</v>
      </c>
      <c r="D98">
        <v>1.7100000000000001E-2</v>
      </c>
      <c r="E98">
        <v>3.8999999999999998E-3</v>
      </c>
      <c r="F98">
        <f t="shared" si="14"/>
        <v>984.9521400000001</v>
      </c>
      <c r="G98">
        <f t="shared" si="15"/>
        <v>-0.46834999999999999</v>
      </c>
      <c r="H98">
        <f t="shared" si="16"/>
        <v>-461.30233476900003</v>
      </c>
      <c r="I98">
        <v>1</v>
      </c>
      <c r="J98">
        <f t="shared" si="17"/>
        <v>-1.5162227823010951E-2</v>
      </c>
      <c r="K98">
        <f t="shared" si="18"/>
        <v>-0.75337515177521741</v>
      </c>
      <c r="L98">
        <v>1</v>
      </c>
      <c r="M98">
        <f t="shared" si="19"/>
        <v>0.60590690942940872</v>
      </c>
      <c r="N98">
        <f t="shared" si="20"/>
        <v>8.4213407970000001E-2</v>
      </c>
      <c r="O98">
        <f t="shared" si="21"/>
        <v>1.9206566729999999E-2</v>
      </c>
      <c r="P98">
        <f t="shared" si="22"/>
        <v>4.4048267645808686E-2</v>
      </c>
      <c r="V98">
        <v>3.3999999999999702</v>
      </c>
      <c r="W98">
        <f t="shared" si="23"/>
        <v>-0.81832999999999811</v>
      </c>
    </row>
    <row r="99" spans="1:23" x14ac:dyDescent="0.3">
      <c r="A99">
        <v>4.9751699</v>
      </c>
      <c r="B99">
        <v>0.46588000000000002</v>
      </c>
      <c r="C99">
        <f t="shared" si="13"/>
        <v>2.3178321530120001</v>
      </c>
      <c r="D99">
        <v>1.7100000000000001E-2</v>
      </c>
      <c r="E99">
        <v>3.8999999999999998E-3</v>
      </c>
      <c r="F99">
        <f t="shared" si="14"/>
        <v>995.03398000000004</v>
      </c>
      <c r="G99">
        <f t="shared" si="15"/>
        <v>-0.46588000000000002</v>
      </c>
      <c r="H99">
        <f t="shared" si="16"/>
        <v>-463.56643060240003</v>
      </c>
      <c r="I99">
        <v>1</v>
      </c>
      <c r="J99">
        <f t="shared" si="17"/>
        <v>-4.9783916528990573E-3</v>
      </c>
      <c r="K99">
        <f t="shared" si="18"/>
        <v>-0.75584515177521738</v>
      </c>
      <c r="L99">
        <v>1</v>
      </c>
      <c r="M99">
        <f t="shared" si="19"/>
        <v>0.60654034403918966</v>
      </c>
      <c r="N99">
        <f t="shared" si="20"/>
        <v>8.5075405290000003E-2</v>
      </c>
      <c r="O99">
        <f t="shared" si="21"/>
        <v>1.940316261E-2</v>
      </c>
      <c r="P99">
        <f t="shared" si="22"/>
        <v>4.4826239836027723E-2</v>
      </c>
      <c r="V99">
        <v>3.4999999999999698</v>
      </c>
      <c r="W99">
        <f t="shared" si="23"/>
        <v>-0.82454999999999812</v>
      </c>
    </row>
    <row r="100" spans="1:23" x14ac:dyDescent="0.3">
      <c r="A100">
        <v>5.0260879000000003</v>
      </c>
      <c r="B100">
        <v>0.46353</v>
      </c>
      <c r="C100">
        <f t="shared" si="13"/>
        <v>2.329742524287</v>
      </c>
      <c r="D100">
        <v>1.7100000000000001E-2</v>
      </c>
      <c r="E100">
        <v>3.8999999999999998E-3</v>
      </c>
      <c r="F100">
        <f t="shared" si="14"/>
        <v>1005.21758</v>
      </c>
      <c r="G100">
        <f t="shared" si="15"/>
        <v>-0.46353</v>
      </c>
      <c r="H100">
        <f t="shared" si="16"/>
        <v>-465.9485048574</v>
      </c>
      <c r="I100">
        <v>1</v>
      </c>
      <c r="J100">
        <f t="shared" si="17"/>
        <v>5.2040155912724418E-3</v>
      </c>
      <c r="K100">
        <f t="shared" si="18"/>
        <v>-0.75819515177521746</v>
      </c>
      <c r="L100">
        <v>1</v>
      </c>
      <c r="M100">
        <f t="shared" si="19"/>
        <v>0.60717368976977715</v>
      </c>
      <c r="N100">
        <f t="shared" si="20"/>
        <v>8.5946103090000003E-2</v>
      </c>
      <c r="O100">
        <f t="shared" si="21"/>
        <v>1.9601742809999999E-2</v>
      </c>
      <c r="P100">
        <f t="shared" si="22"/>
        <v>4.5473616105440304E-2</v>
      </c>
      <c r="V100">
        <v>3.5999999999999699</v>
      </c>
      <c r="W100">
        <f t="shared" ref="W100:W131" si="24">V100*$S$5+$S$4</f>
        <v>-0.83076999999999812</v>
      </c>
    </row>
    <row r="101" spans="1:23" x14ac:dyDescent="0.3">
      <c r="A101">
        <v>5.0775155999999999</v>
      </c>
      <c r="B101">
        <v>0.46128000000000002</v>
      </c>
      <c r="C101">
        <f t="shared" si="13"/>
        <v>2.3421563959680003</v>
      </c>
      <c r="D101">
        <v>1.7100000000000001E-2</v>
      </c>
      <c r="E101">
        <v>3.8999999999999998E-3</v>
      </c>
      <c r="F101">
        <f t="shared" si="14"/>
        <v>1015.50312</v>
      </c>
      <c r="G101">
        <f t="shared" si="15"/>
        <v>-0.46128000000000002</v>
      </c>
      <c r="H101">
        <f t="shared" si="16"/>
        <v>-468.43127919360006</v>
      </c>
      <c r="I101">
        <v>1</v>
      </c>
      <c r="J101">
        <f t="shared" si="17"/>
        <v>1.5384174411721409E-2</v>
      </c>
      <c r="K101">
        <f t="shared" si="18"/>
        <v>-0.76044515177521743</v>
      </c>
      <c r="L101">
        <v>1</v>
      </c>
      <c r="M101">
        <f t="shared" si="19"/>
        <v>0.60780689564840906</v>
      </c>
      <c r="N101">
        <f t="shared" si="20"/>
        <v>8.6825516759999999E-2</v>
      </c>
      <c r="O101">
        <f t="shared" si="21"/>
        <v>1.980231084E-2</v>
      </c>
      <c r="P101">
        <f t="shared" si="22"/>
        <v>4.6010428526808367E-2</v>
      </c>
      <c r="V101">
        <v>3.69999999999997</v>
      </c>
      <c r="W101">
        <f t="shared" si="24"/>
        <v>-0.83698999999999812</v>
      </c>
    </row>
    <row r="102" spans="1:23" x14ac:dyDescent="0.3">
      <c r="A102">
        <v>5.1279243000000001</v>
      </c>
      <c r="B102">
        <v>0.45885999999999999</v>
      </c>
      <c r="C102">
        <f t="shared" si="13"/>
        <v>2.352999344298</v>
      </c>
      <c r="D102">
        <v>1.7100000000000001E-2</v>
      </c>
      <c r="E102">
        <v>3.8999999999999998E-3</v>
      </c>
      <c r="F102">
        <f t="shared" si="14"/>
        <v>1025.5848599999999</v>
      </c>
      <c r="G102">
        <f t="shared" si="15"/>
        <v>-0.45885999999999999</v>
      </c>
      <c r="H102">
        <f t="shared" si="16"/>
        <v>-470.59986885960001</v>
      </c>
      <c r="I102">
        <v>1</v>
      </c>
      <c r="J102">
        <f t="shared" si="17"/>
        <v>2.5263044984824127E-2</v>
      </c>
      <c r="K102">
        <f t="shared" si="18"/>
        <v>-0.76286515177521741</v>
      </c>
      <c r="L102">
        <v>1</v>
      </c>
      <c r="M102">
        <f t="shared" si="19"/>
        <v>0.60842136139805603</v>
      </c>
      <c r="N102">
        <f t="shared" si="20"/>
        <v>8.7687505530000001E-2</v>
      </c>
      <c r="O102">
        <f t="shared" si="21"/>
        <v>1.9998904769999999E-2</v>
      </c>
      <c r="P102">
        <f t="shared" si="22"/>
        <v>4.6757380077161383E-2</v>
      </c>
      <c r="V102">
        <v>3.7999999999999701</v>
      </c>
      <c r="W102">
        <f t="shared" si="24"/>
        <v>-0.84320999999999813</v>
      </c>
    </row>
    <row r="103" spans="1:23" x14ac:dyDescent="0.3">
      <c r="A103">
        <v>5.1783340000000004</v>
      </c>
      <c r="B103">
        <v>0.45632</v>
      </c>
      <c r="C103">
        <f t="shared" si="13"/>
        <v>2.3629773708800004</v>
      </c>
      <c r="D103">
        <v>1.7100000000000001E-2</v>
      </c>
      <c r="E103">
        <v>3.8999999999999998E-3</v>
      </c>
      <c r="F103">
        <f t="shared" si="14"/>
        <v>1035.6668000000002</v>
      </c>
      <c r="G103">
        <f t="shared" si="15"/>
        <v>-0.45632</v>
      </c>
      <c r="H103">
        <f t="shared" si="16"/>
        <v>-472.5954741760001</v>
      </c>
      <c r="I103">
        <v>1</v>
      </c>
      <c r="J103">
        <f t="shared" si="17"/>
        <v>3.5045470484343921E-2</v>
      </c>
      <c r="K103">
        <f t="shared" si="18"/>
        <v>-0.7654051517752174</v>
      </c>
      <c r="L103">
        <v>1</v>
      </c>
      <c r="M103">
        <f t="shared" si="19"/>
        <v>0.60902982826412622</v>
      </c>
      <c r="N103">
        <f t="shared" si="20"/>
        <v>8.8549511400000017E-2</v>
      </c>
      <c r="O103">
        <f t="shared" si="21"/>
        <v>2.0195502600000002E-2</v>
      </c>
      <c r="P103">
        <f t="shared" si="22"/>
        <v>4.7630309511091165E-2</v>
      </c>
      <c r="V103">
        <v>3.8999999999999599</v>
      </c>
      <c r="W103">
        <f t="shared" si="24"/>
        <v>-0.84942999999999746</v>
      </c>
    </row>
    <row r="104" spans="1:23" x14ac:dyDescent="0.3">
      <c r="A104">
        <v>5.2317979000000001</v>
      </c>
      <c r="B104">
        <v>0.45401000000000002</v>
      </c>
      <c r="C104">
        <f t="shared" si="13"/>
        <v>2.3752885645790003</v>
      </c>
      <c r="D104">
        <v>1.7100000000000001E-2</v>
      </c>
      <c r="E104">
        <v>3.8999999999999998E-3</v>
      </c>
      <c r="F104">
        <f t="shared" si="14"/>
        <v>1046.3595800000001</v>
      </c>
      <c r="G104">
        <f t="shared" si="15"/>
        <v>-0.45401000000000002</v>
      </c>
      <c r="H104">
        <f t="shared" si="16"/>
        <v>-475.05771291580004</v>
      </c>
      <c r="I104">
        <v>1</v>
      </c>
      <c r="J104">
        <f t="shared" si="17"/>
        <v>4.5317073298888406E-2</v>
      </c>
      <c r="K104">
        <f t="shared" si="18"/>
        <v>-0.76771515177521743</v>
      </c>
      <c r="L104">
        <v>1</v>
      </c>
      <c r="M104">
        <f t="shared" si="19"/>
        <v>0.60966872195919086</v>
      </c>
      <c r="N104">
        <f t="shared" si="20"/>
        <v>8.9463744090000005E-2</v>
      </c>
      <c r="O104">
        <f t="shared" si="21"/>
        <v>2.0404011810000001E-2</v>
      </c>
      <c r="P104">
        <f t="shared" si="22"/>
        <v>4.8178673916026565E-2</v>
      </c>
      <c r="V104">
        <v>3.99999999999996</v>
      </c>
      <c r="W104">
        <f t="shared" si="24"/>
        <v>-0.85564999999999747</v>
      </c>
    </row>
    <row r="105" spans="1:23" x14ac:dyDescent="0.3">
      <c r="A105">
        <v>5.2822075000000002</v>
      </c>
      <c r="B105">
        <v>0.45180999999999999</v>
      </c>
      <c r="C105">
        <f t="shared" si="13"/>
        <v>2.3865541705750002</v>
      </c>
      <c r="D105">
        <v>1.7100000000000001E-2</v>
      </c>
      <c r="E105">
        <v>3.8999999999999998E-3</v>
      </c>
      <c r="F105">
        <f t="shared" si="14"/>
        <v>1056.4415000000001</v>
      </c>
      <c r="G105">
        <f t="shared" si="15"/>
        <v>-0.45180999999999999</v>
      </c>
      <c r="H105">
        <f t="shared" si="16"/>
        <v>-477.31083411500003</v>
      </c>
      <c r="I105">
        <v>1</v>
      </c>
      <c r="J105">
        <f t="shared" si="17"/>
        <v>5.4906185031213889E-2</v>
      </c>
      <c r="K105">
        <f t="shared" si="18"/>
        <v>-0.76991515177521741</v>
      </c>
      <c r="L105">
        <v>1</v>
      </c>
      <c r="M105">
        <f t="shared" si="19"/>
        <v>0.61026516470894154</v>
      </c>
      <c r="N105">
        <f t="shared" si="20"/>
        <v>9.0325748250000004E-2</v>
      </c>
      <c r="O105">
        <f t="shared" si="21"/>
        <v>2.0600609249999999E-2</v>
      </c>
      <c r="P105">
        <f t="shared" si="22"/>
        <v>4.8723629566275864E-2</v>
      </c>
      <c r="V105">
        <v>4.0999999999999996</v>
      </c>
      <c r="W105">
        <f t="shared" si="24"/>
        <v>-0.86186999999999991</v>
      </c>
    </row>
    <row r="106" spans="1:23" x14ac:dyDescent="0.3">
      <c r="A106">
        <v>5.3331249999999999</v>
      </c>
      <c r="B106">
        <v>0.44939000000000001</v>
      </c>
      <c r="C106">
        <f t="shared" si="13"/>
        <v>2.3966530437500002</v>
      </c>
      <c r="D106">
        <v>1.7100000000000001E-2</v>
      </c>
      <c r="E106">
        <v>3.8999999999999998E-3</v>
      </c>
      <c r="F106">
        <f t="shared" si="14"/>
        <v>1066.625</v>
      </c>
      <c r="G106">
        <f t="shared" si="15"/>
        <v>-0.44939000000000001</v>
      </c>
      <c r="H106">
        <f t="shared" si="16"/>
        <v>-479.33060875000007</v>
      </c>
      <c r="I106">
        <v>1</v>
      </c>
      <c r="J106">
        <f t="shared" si="17"/>
        <v>6.4499457874611782E-2</v>
      </c>
      <c r="K106">
        <f t="shared" si="18"/>
        <v>-0.7723351517752175</v>
      </c>
      <c r="L106">
        <v>1</v>
      </c>
      <c r="M106">
        <f t="shared" si="19"/>
        <v>0.61086186627980088</v>
      </c>
      <c r="N106">
        <f t="shared" si="20"/>
        <v>9.1196437500000005E-2</v>
      </c>
      <c r="O106">
        <f t="shared" si="21"/>
        <v>2.07991875E-2</v>
      </c>
      <c r="P106">
        <f t="shared" si="22"/>
        <v>4.9477660495416617E-2</v>
      </c>
      <c r="V106">
        <v>4.2</v>
      </c>
      <c r="W106">
        <f t="shared" si="24"/>
        <v>-0.86809000000000003</v>
      </c>
    </row>
    <row r="107" spans="1:23" x14ac:dyDescent="0.3">
      <c r="A107">
        <v>5.3840434999999998</v>
      </c>
      <c r="B107">
        <v>0.44714999999999999</v>
      </c>
      <c r="C107">
        <f t="shared" si="13"/>
        <v>2.407475051025</v>
      </c>
      <c r="D107">
        <v>1.7100000000000001E-2</v>
      </c>
      <c r="E107">
        <v>3.8999999999999998E-3</v>
      </c>
      <c r="F107">
        <f t="shared" si="14"/>
        <v>1076.8087</v>
      </c>
      <c r="G107">
        <f t="shared" si="15"/>
        <v>-0.44714999999999999</v>
      </c>
      <c r="H107">
        <f t="shared" si="16"/>
        <v>-481.49501020500003</v>
      </c>
      <c r="I107">
        <v>1</v>
      </c>
      <c r="J107">
        <f t="shared" si="17"/>
        <v>7.4001759370486725E-2</v>
      </c>
      <c r="K107">
        <f t="shared" si="18"/>
        <v>-0.77457515177521752</v>
      </c>
      <c r="L107">
        <v>1</v>
      </c>
      <c r="M107">
        <f t="shared" si="19"/>
        <v>0.61145290943284425</v>
      </c>
      <c r="N107">
        <f t="shared" si="20"/>
        <v>9.2067143850000005E-2</v>
      </c>
      <c r="O107">
        <f t="shared" si="21"/>
        <v>2.0997769649999998E-2</v>
      </c>
      <c r="P107">
        <f t="shared" si="22"/>
        <v>5.0057328842373267E-2</v>
      </c>
      <c r="V107">
        <v>4.3</v>
      </c>
      <c r="W107">
        <f t="shared" si="24"/>
        <v>-0.87430999999999992</v>
      </c>
    </row>
    <row r="108" spans="1:23" x14ac:dyDescent="0.3">
      <c r="A108">
        <v>5.4344526000000002</v>
      </c>
      <c r="B108">
        <v>0.44467000000000001</v>
      </c>
      <c r="C108">
        <f t="shared" si="13"/>
        <v>2.4165380376420003</v>
      </c>
      <c r="D108">
        <v>1.7100000000000001E-2</v>
      </c>
      <c r="E108">
        <v>3.8999999999999998E-3</v>
      </c>
      <c r="F108">
        <f t="shared" si="14"/>
        <v>1086.8905199999999</v>
      </c>
      <c r="G108">
        <f t="shared" si="15"/>
        <v>-0.44467000000000001</v>
      </c>
      <c r="H108">
        <f t="shared" si="16"/>
        <v>-483.30760752840007</v>
      </c>
      <c r="I108">
        <v>1</v>
      </c>
      <c r="J108">
        <f t="shared" si="17"/>
        <v>8.3320885495419938E-2</v>
      </c>
      <c r="K108">
        <f t="shared" si="18"/>
        <v>-0.77705515177521745</v>
      </c>
      <c r="L108">
        <v>1</v>
      </c>
      <c r="M108">
        <f t="shared" si="19"/>
        <v>0.61203255907781517</v>
      </c>
      <c r="N108">
        <f t="shared" si="20"/>
        <v>9.2929139460000004E-2</v>
      </c>
      <c r="O108">
        <f t="shared" si="21"/>
        <v>2.1194365140000001E-2</v>
      </c>
      <c r="P108">
        <f t="shared" si="22"/>
        <v>5.0899088097402262E-2</v>
      </c>
      <c r="V108">
        <v>4.4000000000000004</v>
      </c>
      <c r="W108">
        <f t="shared" si="24"/>
        <v>-0.88053000000000003</v>
      </c>
    </row>
    <row r="109" spans="1:23" x14ac:dyDescent="0.3">
      <c r="A109">
        <v>5.4863895999999999</v>
      </c>
      <c r="B109">
        <v>0.44248999999999999</v>
      </c>
      <c r="C109">
        <f t="shared" si="13"/>
        <v>2.427672534104</v>
      </c>
      <c r="D109">
        <v>1.7100000000000001E-2</v>
      </c>
      <c r="E109">
        <v>3.8999999999999998E-3</v>
      </c>
      <c r="F109">
        <f t="shared" si="14"/>
        <v>1097.27792</v>
      </c>
      <c r="G109">
        <f t="shared" si="15"/>
        <v>-0.44248999999999999</v>
      </c>
      <c r="H109">
        <f t="shared" si="16"/>
        <v>-485.5345068208</v>
      </c>
      <c r="I109">
        <v>1</v>
      </c>
      <c r="J109">
        <f t="shared" si="17"/>
        <v>9.2832494694238057E-2</v>
      </c>
      <c r="K109">
        <f t="shared" si="18"/>
        <v>-0.77923515177521741</v>
      </c>
      <c r="L109">
        <v>1</v>
      </c>
      <c r="M109">
        <f t="shared" si="19"/>
        <v>0.61262418116998163</v>
      </c>
      <c r="N109">
        <f t="shared" si="20"/>
        <v>9.3817262159999998E-2</v>
      </c>
      <c r="O109">
        <f t="shared" si="21"/>
        <v>2.1396919439999999E-2</v>
      </c>
      <c r="P109">
        <f t="shared" si="22"/>
        <v>5.1396789005235782E-2</v>
      </c>
      <c r="V109">
        <v>4.5</v>
      </c>
      <c r="W109">
        <f t="shared" si="24"/>
        <v>-0.88674999999999993</v>
      </c>
    </row>
    <row r="110" spans="1:23" x14ac:dyDescent="0.3">
      <c r="A110">
        <v>5.5378169000000002</v>
      </c>
      <c r="B110">
        <v>0.44017000000000001</v>
      </c>
      <c r="C110">
        <f t="shared" si="13"/>
        <v>2.437580864873</v>
      </c>
      <c r="D110">
        <v>1.7100000000000001E-2</v>
      </c>
      <c r="E110">
        <v>3.8999999999999998E-3</v>
      </c>
      <c r="F110">
        <f t="shared" si="14"/>
        <v>1107.5633800000001</v>
      </c>
      <c r="G110">
        <f t="shared" si="15"/>
        <v>-0.44017000000000001</v>
      </c>
      <c r="H110">
        <f t="shared" si="16"/>
        <v>-487.51617297460001</v>
      </c>
      <c r="I110">
        <v>1</v>
      </c>
      <c r="J110">
        <f t="shared" si="17"/>
        <v>0.10216244929066529</v>
      </c>
      <c r="K110">
        <f t="shared" si="18"/>
        <v>-0.7815551517752175</v>
      </c>
      <c r="L110">
        <v>1</v>
      </c>
      <c r="M110">
        <f t="shared" si="19"/>
        <v>0.61320450434587936</v>
      </c>
      <c r="N110">
        <f t="shared" si="20"/>
        <v>9.469666899000001E-2</v>
      </c>
      <c r="O110">
        <f t="shared" si="21"/>
        <v>2.1597485909999999E-2</v>
      </c>
      <c r="P110">
        <f t="shared" si="22"/>
        <v>5.2056492529338132E-2</v>
      </c>
      <c r="V110">
        <v>4.5999999999999996</v>
      </c>
      <c r="W110">
        <f t="shared" si="24"/>
        <v>-0.89297000000000004</v>
      </c>
    </row>
    <row r="111" spans="1:23" x14ac:dyDescent="0.3">
      <c r="A111">
        <v>5.5912813000000003</v>
      </c>
      <c r="B111">
        <v>0.43768000000000001</v>
      </c>
      <c r="C111">
        <f t="shared" si="13"/>
        <v>2.4471919993840001</v>
      </c>
      <c r="D111">
        <v>1.7100000000000001E-2</v>
      </c>
      <c r="E111">
        <v>3.8999999999999998E-3</v>
      </c>
      <c r="F111">
        <f t="shared" si="14"/>
        <v>1118.2562600000001</v>
      </c>
      <c r="G111">
        <f t="shared" si="15"/>
        <v>-0.43768000000000001</v>
      </c>
      <c r="H111">
        <f t="shared" si="16"/>
        <v>-489.43839987680002</v>
      </c>
      <c r="I111">
        <v>1</v>
      </c>
      <c r="J111">
        <f t="shared" si="17"/>
        <v>0.1117705613477919</v>
      </c>
      <c r="K111">
        <f t="shared" si="18"/>
        <v>-0.78404515177521739</v>
      </c>
      <c r="L111">
        <v>1</v>
      </c>
      <c r="M111">
        <f t="shared" si="19"/>
        <v>0.61380212891583263</v>
      </c>
      <c r="N111">
        <f t="shared" si="20"/>
        <v>9.5610910230000012E-2</v>
      </c>
      <c r="O111">
        <f t="shared" si="21"/>
        <v>2.1805997069999999E-2</v>
      </c>
      <c r="P111">
        <f t="shared" si="22"/>
        <v>5.282611555938474E-2</v>
      </c>
      <c r="V111">
        <v>4.7</v>
      </c>
      <c r="W111">
        <f t="shared" si="24"/>
        <v>-0.89918999999999993</v>
      </c>
    </row>
    <row r="112" spans="1:23" x14ac:dyDescent="0.3">
      <c r="A112">
        <v>5.6421992000000003</v>
      </c>
      <c r="B112">
        <v>0.43535000000000001</v>
      </c>
      <c r="C112">
        <f t="shared" si="13"/>
        <v>2.4563314217200003</v>
      </c>
      <c r="D112">
        <v>1.7100000000000001E-2</v>
      </c>
      <c r="E112">
        <v>3.8999999999999998E-3</v>
      </c>
      <c r="F112">
        <f t="shared" si="14"/>
        <v>1128.43984</v>
      </c>
      <c r="G112">
        <f t="shared" si="15"/>
        <v>-0.43535000000000001</v>
      </c>
      <c r="H112">
        <f t="shared" si="16"/>
        <v>-491.26628434400004</v>
      </c>
      <c r="I112">
        <v>1</v>
      </c>
      <c r="J112">
        <f t="shared" si="17"/>
        <v>0.12083600615129481</v>
      </c>
      <c r="K112">
        <f t="shared" si="18"/>
        <v>-0.78637515177521744</v>
      </c>
      <c r="L112">
        <v>1</v>
      </c>
      <c r="M112">
        <f t="shared" si="19"/>
        <v>0.61436599958261051</v>
      </c>
      <c r="N112">
        <f t="shared" si="20"/>
        <v>9.648160632000001E-2</v>
      </c>
      <c r="O112">
        <f t="shared" si="21"/>
        <v>2.2004576880000001E-2</v>
      </c>
      <c r="P112">
        <f t="shared" si="22"/>
        <v>5.3522968992606917E-2</v>
      </c>
      <c r="V112">
        <v>4.8</v>
      </c>
      <c r="W112">
        <f t="shared" si="24"/>
        <v>-0.90541000000000005</v>
      </c>
    </row>
    <row r="113" spans="1:23" x14ac:dyDescent="0.3">
      <c r="A113">
        <v>5.6931181999999998</v>
      </c>
      <c r="B113">
        <v>0.43285000000000001</v>
      </c>
      <c r="C113">
        <f t="shared" si="13"/>
        <v>2.4642662128700001</v>
      </c>
      <c r="D113">
        <v>1.7100000000000001E-2</v>
      </c>
      <c r="E113">
        <v>3.8999999999999998E-3</v>
      </c>
      <c r="F113">
        <f t="shared" si="14"/>
        <v>1138.62364</v>
      </c>
      <c r="G113">
        <f t="shared" si="15"/>
        <v>-0.43285000000000001</v>
      </c>
      <c r="H113">
        <f t="shared" si="16"/>
        <v>-492.85324257400003</v>
      </c>
      <c r="I113">
        <v>1</v>
      </c>
      <c r="J113">
        <f t="shared" si="17"/>
        <v>0.12982019965902555</v>
      </c>
      <c r="K113">
        <f t="shared" si="18"/>
        <v>-0.7888751517752175</v>
      </c>
      <c r="L113">
        <v>1</v>
      </c>
      <c r="M113">
        <f t="shared" si="19"/>
        <v>0.61492481641879138</v>
      </c>
      <c r="N113">
        <f t="shared" si="20"/>
        <v>9.7352321219999996E-2</v>
      </c>
      <c r="O113">
        <f t="shared" si="21"/>
        <v>2.2203160979999997E-2</v>
      </c>
      <c r="P113">
        <f t="shared" si="22"/>
        <v>5.4394853156426129E-2</v>
      </c>
      <c r="V113">
        <v>4.9000000000000004</v>
      </c>
      <c r="W113">
        <f t="shared" si="24"/>
        <v>-0.91162999999999994</v>
      </c>
    </row>
    <row r="114" spans="1:23" x14ac:dyDescent="0.3">
      <c r="A114">
        <v>5.7486191</v>
      </c>
      <c r="B114">
        <v>0.43056</v>
      </c>
      <c r="C114">
        <f t="shared" si="13"/>
        <v>2.4751254396959999</v>
      </c>
      <c r="D114">
        <v>1.7100000000000001E-2</v>
      </c>
      <c r="E114">
        <v>3.8999999999999998E-3</v>
      </c>
      <c r="F114">
        <f t="shared" si="14"/>
        <v>1149.7238199999999</v>
      </c>
      <c r="G114">
        <f t="shared" si="15"/>
        <v>-0.43056</v>
      </c>
      <c r="H114">
        <f t="shared" si="16"/>
        <v>-495.02508793919998</v>
      </c>
      <c r="I114">
        <v>1</v>
      </c>
      <c r="J114">
        <f t="shared" si="17"/>
        <v>0.13952175701122421</v>
      </c>
      <c r="K114">
        <f t="shared" si="18"/>
        <v>-0.7911651517752174</v>
      </c>
      <c r="L114">
        <v>1</v>
      </c>
      <c r="M114">
        <f t="shared" si="19"/>
        <v>0.61552825328609817</v>
      </c>
      <c r="N114">
        <f t="shared" si="20"/>
        <v>9.8301386609999999E-2</v>
      </c>
      <c r="O114">
        <f t="shared" si="21"/>
        <v>2.241961449E-2</v>
      </c>
      <c r="P114">
        <f t="shared" si="22"/>
        <v>5.4915897389119228E-2</v>
      </c>
      <c r="V114">
        <v>5</v>
      </c>
      <c r="W114">
        <f t="shared" si="24"/>
        <v>-0.91785000000000005</v>
      </c>
    </row>
    <row r="115" spans="1:23" x14ac:dyDescent="0.3">
      <c r="A115">
        <v>5.8020835000000002</v>
      </c>
      <c r="B115">
        <v>0.42795</v>
      </c>
      <c r="C115">
        <f t="shared" si="13"/>
        <v>2.4830016338250003</v>
      </c>
      <c r="D115">
        <v>1.7100000000000001E-2</v>
      </c>
      <c r="E115">
        <v>3.8999999999999998E-3</v>
      </c>
      <c r="F115">
        <f t="shared" si="14"/>
        <v>1160.4167</v>
      </c>
      <c r="G115">
        <f t="shared" si="15"/>
        <v>-0.42795</v>
      </c>
      <c r="H115">
        <f t="shared" si="16"/>
        <v>-496.60032676500003</v>
      </c>
      <c r="I115">
        <v>1</v>
      </c>
      <c r="J115">
        <f t="shared" si="17"/>
        <v>0.14877916475066125</v>
      </c>
      <c r="K115">
        <f t="shared" si="18"/>
        <v>-0.7937751517752174</v>
      </c>
      <c r="L115">
        <v>1</v>
      </c>
      <c r="M115">
        <f t="shared" si="19"/>
        <v>0.61610406404749118</v>
      </c>
      <c r="N115">
        <f t="shared" si="20"/>
        <v>9.9215627850000002E-2</v>
      </c>
      <c r="O115">
        <f t="shared" si="21"/>
        <v>2.2628125650000001E-2</v>
      </c>
      <c r="P115">
        <f t="shared" si="22"/>
        <v>5.5827334227726219E-2</v>
      </c>
      <c r="V115">
        <v>5.0999999999999996</v>
      </c>
      <c r="W115">
        <f t="shared" si="24"/>
        <v>-0.92406999999999995</v>
      </c>
    </row>
    <row r="116" spans="1:23" x14ac:dyDescent="0.3">
      <c r="A116">
        <v>5.8560565999999996</v>
      </c>
      <c r="B116">
        <v>0.42549999999999999</v>
      </c>
      <c r="C116">
        <f t="shared" si="13"/>
        <v>2.4917520832999998</v>
      </c>
      <c r="D116">
        <v>1.7100000000000001E-2</v>
      </c>
      <c r="E116">
        <v>3.8999999999999998E-3</v>
      </c>
      <c r="F116">
        <f t="shared" si="14"/>
        <v>1171.2113199999999</v>
      </c>
      <c r="G116">
        <f t="shared" si="15"/>
        <v>-0.42549999999999999</v>
      </c>
      <c r="H116">
        <f t="shared" si="16"/>
        <v>-498.35041665999995</v>
      </c>
      <c r="I116">
        <v>1</v>
      </c>
      <c r="J116">
        <f t="shared" si="17"/>
        <v>0.15803852947874766</v>
      </c>
      <c r="K116">
        <f t="shared" si="18"/>
        <v>-0.79622515177521747</v>
      </c>
      <c r="L116">
        <v>1</v>
      </c>
      <c r="M116">
        <f t="shared" si="19"/>
        <v>0.61667999653357808</v>
      </c>
      <c r="N116">
        <f t="shared" si="20"/>
        <v>0.10013856786</v>
      </c>
      <c r="O116">
        <f t="shared" si="21"/>
        <v>2.2838620739999996E-2</v>
      </c>
      <c r="P116">
        <f t="shared" si="22"/>
        <v>5.6567966641639392E-2</v>
      </c>
      <c r="V116">
        <v>5.2</v>
      </c>
      <c r="W116">
        <f t="shared" si="24"/>
        <v>-0.93029000000000006</v>
      </c>
    </row>
    <row r="117" spans="1:23" x14ac:dyDescent="0.3">
      <c r="A117">
        <v>5.9079931999999999</v>
      </c>
      <c r="B117">
        <v>0.42346</v>
      </c>
      <c r="C117">
        <f t="shared" si="13"/>
        <v>2.5017988004720002</v>
      </c>
      <c r="D117">
        <v>1.7100000000000001E-2</v>
      </c>
      <c r="E117">
        <v>3.8999999999999998E-3</v>
      </c>
      <c r="F117">
        <f t="shared" si="14"/>
        <v>1181.5986399999999</v>
      </c>
      <c r="G117">
        <f t="shared" si="15"/>
        <v>-0.42346</v>
      </c>
      <c r="H117">
        <f t="shared" si="16"/>
        <v>-500.35976009440003</v>
      </c>
      <c r="I117">
        <v>1</v>
      </c>
      <c r="J117">
        <f t="shared" si="17"/>
        <v>0.16686830125265095</v>
      </c>
      <c r="K117">
        <f t="shared" si="18"/>
        <v>-0.79826515177521751</v>
      </c>
      <c r="L117">
        <v>1</v>
      </c>
      <c r="M117">
        <f t="shared" si="19"/>
        <v>0.61722920833791484</v>
      </c>
      <c r="N117">
        <f t="shared" si="20"/>
        <v>0.10102668372</v>
      </c>
      <c r="O117">
        <f t="shared" si="21"/>
        <v>2.304117348E-2</v>
      </c>
      <c r="P117">
        <f t="shared" si="22"/>
        <v>5.6968086237302679E-2</v>
      </c>
      <c r="V117">
        <v>5.3</v>
      </c>
      <c r="W117">
        <f t="shared" si="24"/>
        <v>-0.93650999999999995</v>
      </c>
    </row>
    <row r="118" spans="1:23" x14ac:dyDescent="0.3">
      <c r="A118">
        <v>5.9584023000000004</v>
      </c>
      <c r="B118">
        <v>0.42086000000000001</v>
      </c>
      <c r="C118">
        <f t="shared" si="13"/>
        <v>2.5076531919780001</v>
      </c>
      <c r="D118">
        <v>1.7100000000000001E-2</v>
      </c>
      <c r="E118">
        <v>3.8999999999999998E-3</v>
      </c>
      <c r="F118">
        <f t="shared" si="14"/>
        <v>1191.68046</v>
      </c>
      <c r="G118">
        <f t="shared" si="15"/>
        <v>-0.42086000000000001</v>
      </c>
      <c r="H118">
        <f t="shared" si="16"/>
        <v>-501.53063839560002</v>
      </c>
      <c r="I118">
        <v>1</v>
      </c>
      <c r="J118">
        <f t="shared" si="17"/>
        <v>0.17536446223604829</v>
      </c>
      <c r="K118">
        <f t="shared" si="18"/>
        <v>-0.80086515177521744</v>
      </c>
      <c r="L118">
        <v>1</v>
      </c>
      <c r="M118">
        <f t="shared" si="19"/>
        <v>0.61775766955108224</v>
      </c>
      <c r="N118">
        <f t="shared" si="20"/>
        <v>0.10188867933000001</v>
      </c>
      <c r="O118">
        <f t="shared" si="21"/>
        <v>2.3237768969999999E-2</v>
      </c>
      <c r="P118">
        <f t="shared" si="22"/>
        <v>5.7981033924135186E-2</v>
      </c>
      <c r="V118">
        <v>5.4</v>
      </c>
      <c r="W118">
        <f t="shared" si="24"/>
        <v>-0.94273000000000007</v>
      </c>
    </row>
    <row r="119" spans="1:23" x14ac:dyDescent="0.3">
      <c r="A119">
        <v>6.0098301000000003</v>
      </c>
      <c r="B119">
        <v>0.41830000000000001</v>
      </c>
      <c r="C119">
        <f t="shared" si="13"/>
        <v>2.51391193083</v>
      </c>
      <c r="D119">
        <v>1.7100000000000001E-2</v>
      </c>
      <c r="E119">
        <v>3.8999999999999998E-3</v>
      </c>
      <c r="F119">
        <f t="shared" si="14"/>
        <v>1201.9660200000001</v>
      </c>
      <c r="G119">
        <f t="shared" si="15"/>
        <v>-0.41830000000000001</v>
      </c>
      <c r="H119">
        <f t="shared" si="16"/>
        <v>-502.78238616599998</v>
      </c>
      <c r="I119">
        <v>1</v>
      </c>
      <c r="J119">
        <f t="shared" si="17"/>
        <v>0.18395856616267578</v>
      </c>
      <c r="K119">
        <f t="shared" si="18"/>
        <v>-0.80342515177521745</v>
      </c>
      <c r="L119">
        <v>1</v>
      </c>
      <c r="M119">
        <f t="shared" si="19"/>
        <v>0.61829222281531848</v>
      </c>
      <c r="N119">
        <f t="shared" si="20"/>
        <v>0.10276809471000001</v>
      </c>
      <c r="O119">
        <f t="shared" si="21"/>
        <v>2.3438337390000001E-2</v>
      </c>
      <c r="P119">
        <f t="shared" si="22"/>
        <v>5.8926496859898959E-2</v>
      </c>
      <c r="V119">
        <v>5.5</v>
      </c>
      <c r="W119">
        <f t="shared" si="24"/>
        <v>-0.94894999999999996</v>
      </c>
    </row>
    <row r="120" spans="1:23" x14ac:dyDescent="0.3">
      <c r="A120">
        <v>6.0612573000000003</v>
      </c>
      <c r="B120">
        <v>0.4163</v>
      </c>
      <c r="C120">
        <f t="shared" si="13"/>
        <v>2.5233014139900001</v>
      </c>
      <c r="D120">
        <v>1.7100000000000001E-2</v>
      </c>
      <c r="E120">
        <v>3.8999999999999998E-3</v>
      </c>
      <c r="F120">
        <f t="shared" si="14"/>
        <v>1212.25146</v>
      </c>
      <c r="G120">
        <f t="shared" si="15"/>
        <v>-0.4163</v>
      </c>
      <c r="H120">
        <f t="shared" si="16"/>
        <v>-504.66028279800003</v>
      </c>
      <c r="I120">
        <v>1</v>
      </c>
      <c r="J120">
        <f t="shared" si="17"/>
        <v>0.19247934137463488</v>
      </c>
      <c r="K120">
        <f t="shared" si="18"/>
        <v>-0.80542515177521745</v>
      </c>
      <c r="L120">
        <v>1</v>
      </c>
      <c r="M120">
        <f t="shared" si="19"/>
        <v>0.61882221503350232</v>
      </c>
      <c r="N120">
        <f t="shared" si="20"/>
        <v>0.10364749983</v>
      </c>
      <c r="O120">
        <f t="shared" si="21"/>
        <v>2.363890347E-2</v>
      </c>
      <c r="P120">
        <f t="shared" si="22"/>
        <v>5.9316533441715127E-2</v>
      </c>
      <c r="V120">
        <v>5.6</v>
      </c>
      <c r="W120">
        <f t="shared" si="24"/>
        <v>-0.95516999999999996</v>
      </c>
    </row>
    <row r="121" spans="1:23" x14ac:dyDescent="0.3">
      <c r="A121">
        <v>6.1126851000000002</v>
      </c>
      <c r="B121">
        <v>0.41383999999999999</v>
      </c>
      <c r="C121">
        <f t="shared" si="13"/>
        <v>2.5296736017839998</v>
      </c>
      <c r="D121">
        <v>1.7100000000000001E-2</v>
      </c>
      <c r="E121">
        <v>3.8999999999999998E-3</v>
      </c>
      <c r="F121">
        <f t="shared" si="14"/>
        <v>1222.53702</v>
      </c>
      <c r="G121">
        <f t="shared" si="15"/>
        <v>-0.41383999999999999</v>
      </c>
      <c r="H121">
        <f t="shared" si="16"/>
        <v>-505.93472035679997</v>
      </c>
      <c r="I121">
        <v>1</v>
      </c>
      <c r="J121">
        <f t="shared" si="17"/>
        <v>0.20092822411698225</v>
      </c>
      <c r="K121">
        <f t="shared" si="18"/>
        <v>-0.80788515177521747</v>
      </c>
      <c r="L121">
        <v>1</v>
      </c>
      <c r="M121">
        <f t="shared" si="19"/>
        <v>0.61934773554007627</v>
      </c>
      <c r="N121">
        <f t="shared" si="20"/>
        <v>0.10452691521</v>
      </c>
      <c r="O121">
        <f t="shared" si="21"/>
        <v>2.3839471889999998E-2</v>
      </c>
      <c r="P121">
        <f t="shared" si="22"/>
        <v>6.0171029135141198E-2</v>
      </c>
      <c r="V121">
        <v>5.7</v>
      </c>
      <c r="W121">
        <f t="shared" si="24"/>
        <v>-0.96138999999999997</v>
      </c>
    </row>
    <row r="122" spans="1:23" x14ac:dyDescent="0.3">
      <c r="A122">
        <v>6.1646216000000003</v>
      </c>
      <c r="B122">
        <v>0.41144999999999998</v>
      </c>
      <c r="C122">
        <f t="shared" si="13"/>
        <v>2.5364335573200001</v>
      </c>
      <c r="D122">
        <v>1.7100000000000001E-2</v>
      </c>
      <c r="E122">
        <v>3.8999999999999998E-3</v>
      </c>
      <c r="F122">
        <f t="shared" si="14"/>
        <v>1232.9243200000001</v>
      </c>
      <c r="G122">
        <f t="shared" si="15"/>
        <v>-0.41144999999999998</v>
      </c>
      <c r="H122">
        <f t="shared" si="16"/>
        <v>-507.28671146400001</v>
      </c>
      <c r="I122">
        <v>1</v>
      </c>
      <c r="J122">
        <f t="shared" si="17"/>
        <v>0.209388843547441</v>
      </c>
      <c r="K122">
        <f t="shared" si="18"/>
        <v>-0.81027515177521747</v>
      </c>
      <c r="L122">
        <v>1</v>
      </c>
      <c r="M122">
        <f t="shared" si="19"/>
        <v>0.61987398606865085</v>
      </c>
      <c r="N122">
        <f t="shared" si="20"/>
        <v>0.10541502936000001</v>
      </c>
      <c r="O122">
        <f t="shared" si="21"/>
        <v>2.4042024240000001E-2</v>
      </c>
      <c r="P122">
        <f t="shared" si="22"/>
        <v>6.0944112106566611E-2</v>
      </c>
      <c r="V122">
        <v>5.8</v>
      </c>
      <c r="W122">
        <f t="shared" si="24"/>
        <v>-0.96760999999999997</v>
      </c>
    </row>
    <row r="123" spans="1:23" x14ac:dyDescent="0.3">
      <c r="A123">
        <v>6.2160492999999999</v>
      </c>
      <c r="B123">
        <v>0.40941</v>
      </c>
      <c r="C123">
        <f t="shared" si="13"/>
        <v>2.5449127439129997</v>
      </c>
      <c r="D123">
        <v>1.7100000000000001E-2</v>
      </c>
      <c r="E123">
        <v>3.8999999999999998E-3</v>
      </c>
      <c r="F123">
        <f t="shared" si="14"/>
        <v>1243.2098599999999</v>
      </c>
      <c r="G123">
        <f t="shared" si="15"/>
        <v>-0.40941</v>
      </c>
      <c r="H123">
        <f t="shared" si="16"/>
        <v>-508.98254878259996</v>
      </c>
      <c r="I123">
        <v>1</v>
      </c>
      <c r="J123">
        <f t="shared" si="17"/>
        <v>0.21769663174522563</v>
      </c>
      <c r="K123">
        <f t="shared" si="18"/>
        <v>-0.8123151517752174</v>
      </c>
      <c r="L123">
        <v>1</v>
      </c>
      <c r="M123">
        <f t="shared" si="19"/>
        <v>0.62039073049455307</v>
      </c>
      <c r="N123">
        <f t="shared" si="20"/>
        <v>0.10629444303</v>
      </c>
      <c r="O123">
        <f t="shared" si="21"/>
        <v>2.4242592269999998E-2</v>
      </c>
      <c r="P123">
        <f t="shared" si="22"/>
        <v>6.138738598066433E-2</v>
      </c>
      <c r="V123">
        <v>5.9</v>
      </c>
      <c r="W123">
        <f t="shared" si="24"/>
        <v>-0.97382999999999997</v>
      </c>
    </row>
    <row r="124" spans="1:23" x14ac:dyDescent="0.3">
      <c r="A124">
        <v>6.2674766000000002</v>
      </c>
      <c r="B124">
        <v>0.40692</v>
      </c>
      <c r="C124">
        <f t="shared" si="13"/>
        <v>2.5503615780720001</v>
      </c>
      <c r="D124">
        <v>1.7100000000000001E-2</v>
      </c>
      <c r="E124">
        <v>3.8999999999999998E-3</v>
      </c>
      <c r="F124">
        <f t="shared" si="14"/>
        <v>1253.49532</v>
      </c>
      <c r="G124">
        <f t="shared" si="15"/>
        <v>-0.40692</v>
      </c>
      <c r="H124">
        <f t="shared" si="16"/>
        <v>-510.07231561440005</v>
      </c>
      <c r="I124">
        <v>1</v>
      </c>
      <c r="J124">
        <f t="shared" si="17"/>
        <v>0.22593590506317038</v>
      </c>
      <c r="K124">
        <f t="shared" si="18"/>
        <v>-0.81480515177521751</v>
      </c>
      <c r="L124">
        <v>1</v>
      </c>
      <c r="M124">
        <f t="shared" si="19"/>
        <v>0.62090321329492915</v>
      </c>
      <c r="N124">
        <f t="shared" si="20"/>
        <v>0.10717384986</v>
      </c>
      <c r="O124">
        <f t="shared" si="21"/>
        <v>2.4443158739999998E-2</v>
      </c>
      <c r="P124">
        <f t="shared" si="22"/>
        <v>6.2284929880288359E-2</v>
      </c>
      <c r="V124">
        <v>6</v>
      </c>
      <c r="W124">
        <f t="shared" si="24"/>
        <v>-0.98004999999999998</v>
      </c>
    </row>
    <row r="125" spans="1:23" x14ac:dyDescent="0.3">
      <c r="A125">
        <v>6.3189038000000002</v>
      </c>
      <c r="B125">
        <v>0.40434999999999999</v>
      </c>
      <c r="C125">
        <f t="shared" si="13"/>
        <v>2.5550487515299998</v>
      </c>
      <c r="D125">
        <v>1.7100000000000001E-2</v>
      </c>
      <c r="E125">
        <v>3.8999999999999998E-3</v>
      </c>
      <c r="F125">
        <f t="shared" si="14"/>
        <v>1263.7807600000001</v>
      </c>
      <c r="G125">
        <f t="shared" si="15"/>
        <v>-0.40434999999999999</v>
      </c>
      <c r="H125">
        <f t="shared" si="16"/>
        <v>-511.00975030599994</v>
      </c>
      <c r="I125">
        <v>1</v>
      </c>
      <c r="J125">
        <f t="shared" si="17"/>
        <v>0.23410783131349611</v>
      </c>
      <c r="K125">
        <f t="shared" si="18"/>
        <v>-0.81737515177521747</v>
      </c>
      <c r="L125">
        <v>1</v>
      </c>
      <c r="M125">
        <f t="shared" si="19"/>
        <v>0.62141150710769943</v>
      </c>
      <c r="N125">
        <f t="shared" si="20"/>
        <v>0.10805325498000001</v>
      </c>
      <c r="O125">
        <f t="shared" si="21"/>
        <v>2.4643724820000001E-2</v>
      </c>
      <c r="P125">
        <f t="shared" si="22"/>
        <v>6.3266664867518016E-2</v>
      </c>
      <c r="V125">
        <v>6.1</v>
      </c>
      <c r="W125">
        <f t="shared" si="24"/>
        <v>-0.98626999999999998</v>
      </c>
    </row>
    <row r="126" spans="1:23" x14ac:dyDescent="0.3">
      <c r="A126">
        <v>6.3693125000000004</v>
      </c>
      <c r="B126">
        <v>0.40198</v>
      </c>
      <c r="C126">
        <f t="shared" si="13"/>
        <v>2.5603362387500002</v>
      </c>
      <c r="D126">
        <v>1.7100000000000001E-2</v>
      </c>
      <c r="E126">
        <v>3.8999999999999998E-3</v>
      </c>
      <c r="F126">
        <f t="shared" si="14"/>
        <v>1273.8625000000002</v>
      </c>
      <c r="G126">
        <f t="shared" si="15"/>
        <v>-0.40198</v>
      </c>
      <c r="H126">
        <f t="shared" si="16"/>
        <v>-512.06724774999998</v>
      </c>
      <c r="I126">
        <v>1</v>
      </c>
      <c r="J126">
        <f t="shared" si="17"/>
        <v>0.24205362353884985</v>
      </c>
      <c r="K126">
        <f t="shared" si="18"/>
        <v>-0.81974515177521745</v>
      </c>
      <c r="L126">
        <v>1</v>
      </c>
      <c r="M126">
        <f t="shared" si="19"/>
        <v>0.62190573538411642</v>
      </c>
      <c r="N126">
        <f t="shared" si="20"/>
        <v>0.10891524375000002</v>
      </c>
      <c r="O126">
        <f t="shared" si="21"/>
        <v>2.484031875E-2</v>
      </c>
      <c r="P126">
        <f t="shared" si="22"/>
        <v>6.4083853891101022E-2</v>
      </c>
      <c r="V126">
        <v>6.2</v>
      </c>
      <c r="W126">
        <f t="shared" si="24"/>
        <v>-0.99248999999999998</v>
      </c>
    </row>
    <row r="127" spans="1:23" x14ac:dyDescent="0.3">
      <c r="A127">
        <v>6.4197221999999998</v>
      </c>
      <c r="B127">
        <v>0.39976</v>
      </c>
      <c r="C127">
        <f t="shared" si="13"/>
        <v>2.566348146672</v>
      </c>
      <c r="D127">
        <v>1.7100000000000001E-2</v>
      </c>
      <c r="E127">
        <v>3.8999999999999998E-3</v>
      </c>
      <c r="F127">
        <f t="shared" si="14"/>
        <v>1283.94444</v>
      </c>
      <c r="G127">
        <f t="shared" si="15"/>
        <v>-0.39976</v>
      </c>
      <c r="H127">
        <f t="shared" si="16"/>
        <v>-513.26962933439995</v>
      </c>
      <c r="I127">
        <v>1</v>
      </c>
      <c r="J127">
        <f t="shared" si="17"/>
        <v>0.24993693330351407</v>
      </c>
      <c r="K127">
        <f t="shared" si="18"/>
        <v>-0.82196515177521745</v>
      </c>
      <c r="L127">
        <v>1</v>
      </c>
      <c r="M127">
        <f t="shared" si="19"/>
        <v>0.62239607725147861</v>
      </c>
      <c r="N127">
        <f t="shared" si="20"/>
        <v>0.10977724962</v>
      </c>
      <c r="O127">
        <f t="shared" si="21"/>
        <v>2.5036916579999999E-2</v>
      </c>
      <c r="P127">
        <f t="shared" si="22"/>
        <v>6.4754908323738841E-2</v>
      </c>
      <c r="V127">
        <v>6.3</v>
      </c>
      <c r="W127">
        <f t="shared" si="24"/>
        <v>-0.99870999999999999</v>
      </c>
    </row>
    <row r="128" spans="1:23" x14ac:dyDescent="0.3">
      <c r="A128">
        <v>6.4711504</v>
      </c>
      <c r="B128">
        <v>0.39746999999999999</v>
      </c>
      <c r="C128">
        <f t="shared" si="13"/>
        <v>2.5720881494880001</v>
      </c>
      <c r="D128">
        <v>1.7100000000000001E-2</v>
      </c>
      <c r="E128">
        <v>3.8999999999999998E-3</v>
      </c>
      <c r="F128">
        <f t="shared" si="14"/>
        <v>1294.23008</v>
      </c>
      <c r="G128">
        <f t="shared" si="15"/>
        <v>-0.39746999999999999</v>
      </c>
      <c r="H128">
        <f t="shared" si="16"/>
        <v>-514.41762989760002</v>
      </c>
      <c r="I128">
        <v>1</v>
      </c>
      <c r="J128">
        <f t="shared" si="17"/>
        <v>0.25791598552825112</v>
      </c>
      <c r="K128">
        <f t="shared" si="18"/>
        <v>-0.82425515177521747</v>
      </c>
      <c r="L128">
        <v>1</v>
      </c>
      <c r="M128">
        <f t="shared" si="19"/>
        <v>0.62289237429985722</v>
      </c>
      <c r="N128">
        <f t="shared" si="20"/>
        <v>0.11065667184</v>
      </c>
      <c r="O128">
        <f t="shared" si="21"/>
        <v>2.5237486559999998E-2</v>
      </c>
      <c r="P128">
        <f t="shared" si="22"/>
        <v>6.5468619075360251E-2</v>
      </c>
      <c r="V128">
        <v>6.4</v>
      </c>
      <c r="W128">
        <f t="shared" si="24"/>
        <v>-1.0049299999999999</v>
      </c>
    </row>
    <row r="129" spans="1:23" x14ac:dyDescent="0.3">
      <c r="A129">
        <v>6.5251226000000004</v>
      </c>
      <c r="B129">
        <v>0.39499000000000001</v>
      </c>
      <c r="C129">
        <f t="shared" si="13"/>
        <v>2.5773581757740001</v>
      </c>
      <c r="D129">
        <v>1.7100000000000001E-2</v>
      </c>
      <c r="E129">
        <v>3.8999999999999998E-3</v>
      </c>
      <c r="F129">
        <f t="shared" si="14"/>
        <v>1305.0245200000002</v>
      </c>
      <c r="G129">
        <f t="shared" si="15"/>
        <v>-0.39499000000000001</v>
      </c>
      <c r="H129">
        <f t="shared" si="16"/>
        <v>-515.47163515479997</v>
      </c>
      <c r="I129">
        <v>1</v>
      </c>
      <c r="J129">
        <f t="shared" si="17"/>
        <v>0.26622182987017134</v>
      </c>
      <c r="K129">
        <f t="shared" si="18"/>
        <v>-0.8267351517752175</v>
      </c>
      <c r="L129">
        <v>1</v>
      </c>
      <c r="M129">
        <f t="shared" si="19"/>
        <v>0.62340899781792469</v>
      </c>
      <c r="N129">
        <f t="shared" si="20"/>
        <v>0.11157959646000001</v>
      </c>
      <c r="O129">
        <f t="shared" si="21"/>
        <v>2.5447978140000001E-2</v>
      </c>
      <c r="P129">
        <f t="shared" si="22"/>
        <v>6.6298579357292803E-2</v>
      </c>
      <c r="V129">
        <v>6.5</v>
      </c>
      <c r="W129">
        <f t="shared" si="24"/>
        <v>-1.01115</v>
      </c>
    </row>
    <row r="130" spans="1:23" x14ac:dyDescent="0.3">
      <c r="A130">
        <v>6.5755321999999996</v>
      </c>
      <c r="B130">
        <v>0.39293</v>
      </c>
      <c r="C130">
        <f t="shared" si="13"/>
        <v>2.5837238673459999</v>
      </c>
      <c r="D130">
        <v>1.7100000000000001E-2</v>
      </c>
      <c r="E130">
        <v>3.8999999999999998E-3</v>
      </c>
      <c r="F130">
        <f t="shared" si="14"/>
        <v>1315.10644</v>
      </c>
      <c r="G130">
        <f t="shared" si="15"/>
        <v>-0.39293</v>
      </c>
      <c r="H130">
        <f t="shared" si="16"/>
        <v>-516.74477346920003</v>
      </c>
      <c r="I130">
        <v>1</v>
      </c>
      <c r="J130">
        <f t="shared" si="17"/>
        <v>0.2739176053198023</v>
      </c>
      <c r="K130">
        <f t="shared" si="18"/>
        <v>-0.82879515177521745</v>
      </c>
      <c r="L130">
        <v>1</v>
      </c>
      <c r="M130">
        <f t="shared" si="19"/>
        <v>0.62388767505089171</v>
      </c>
      <c r="N130">
        <f t="shared" si="20"/>
        <v>0.11244160062</v>
      </c>
      <c r="O130">
        <f t="shared" si="21"/>
        <v>2.5644575579999999E-2</v>
      </c>
      <c r="P130">
        <f t="shared" si="22"/>
        <v>6.682130052432575E-2</v>
      </c>
      <c r="V130">
        <v>6.6</v>
      </c>
      <c r="W130">
        <f t="shared" si="24"/>
        <v>-1.0173699999999999</v>
      </c>
    </row>
    <row r="131" spans="1:23" x14ac:dyDescent="0.3">
      <c r="A131">
        <v>6.6295058999999998</v>
      </c>
      <c r="B131">
        <v>0.39028000000000002</v>
      </c>
      <c r="C131">
        <f t="shared" si="13"/>
        <v>2.587363562652</v>
      </c>
      <c r="D131">
        <v>1.7100000000000001E-2</v>
      </c>
      <c r="E131">
        <v>3.8999999999999998E-3</v>
      </c>
      <c r="F131">
        <f t="shared" si="14"/>
        <v>1325.9011800000001</v>
      </c>
      <c r="G131">
        <f t="shared" si="15"/>
        <v>-0.39028000000000002</v>
      </c>
      <c r="H131">
        <f t="shared" si="16"/>
        <v>-517.47271253040003</v>
      </c>
      <c r="I131">
        <v>1</v>
      </c>
      <c r="J131">
        <f t="shared" si="17"/>
        <v>0.28209236409967559</v>
      </c>
      <c r="K131">
        <f t="shared" si="18"/>
        <v>-0.83144515177521749</v>
      </c>
      <c r="L131">
        <v>1</v>
      </c>
      <c r="M131">
        <f t="shared" si="19"/>
        <v>0.62439614504699981</v>
      </c>
      <c r="N131">
        <f t="shared" si="20"/>
        <v>0.11336455089</v>
      </c>
      <c r="O131">
        <f t="shared" si="21"/>
        <v>2.5855073009999997E-2</v>
      </c>
      <c r="P131">
        <f t="shared" si="22"/>
        <v>6.7829382828217696E-2</v>
      </c>
      <c r="V131">
        <v>6.7</v>
      </c>
      <c r="W131">
        <f t="shared" si="24"/>
        <v>-1.02359</v>
      </c>
    </row>
    <row r="132" spans="1:23" x14ac:dyDescent="0.3">
      <c r="A132">
        <v>6.6799150000000003</v>
      </c>
      <c r="B132">
        <v>0.38775999999999999</v>
      </c>
      <c r="C132">
        <f t="shared" ref="C132:C195" si="25">A132*B132</f>
        <v>2.5902038404000001</v>
      </c>
      <c r="D132">
        <v>1.7100000000000001E-2</v>
      </c>
      <c r="E132">
        <v>3.8999999999999998E-3</v>
      </c>
      <c r="F132">
        <f t="shared" ref="F132:F195" si="26">A132*200</f>
        <v>1335.9829999999999</v>
      </c>
      <c r="G132">
        <f t="shared" ref="G132:G195" si="27">-B132</f>
        <v>-0.38775999999999999</v>
      </c>
      <c r="H132">
        <f t="shared" ref="H132:H195" si="28">-C132*200</f>
        <v>-518.04076808000002</v>
      </c>
      <c r="I132">
        <v>1</v>
      </c>
      <c r="J132">
        <f t="shared" ref="J132:J195" si="29">LN(F132/1000)</f>
        <v>0.28966735048259795</v>
      </c>
      <c r="K132">
        <f t="shared" ref="K132:K195" si="30">((-G132)-$N$2)</f>
        <v>-0.83396515177521746</v>
      </c>
      <c r="L132">
        <v>1</v>
      </c>
      <c r="M132">
        <f t="shared" ref="M132:M195" si="31">-1*($S$4+($S$5*J132))</f>
        <v>0.62486730920001754</v>
      </c>
      <c r="N132">
        <f t="shared" ref="N132:N195" si="32">D132*A132</f>
        <v>0.11422654650000001</v>
      </c>
      <c r="O132">
        <f t="shared" ref="O132:O195" si="33">E132*A132</f>
        <v>2.60516685E-2</v>
      </c>
      <c r="P132">
        <f t="shared" ref="P132:P195" si="34">-K132-M132-N132-O132</f>
        <v>6.881962757519991E-2</v>
      </c>
      <c r="V132">
        <v>6.8</v>
      </c>
      <c r="W132">
        <f t="shared" ref="W132:W139" si="35">V132*$S$5+$S$4</f>
        <v>-1.0298099999999999</v>
      </c>
    </row>
    <row r="133" spans="1:23" x14ac:dyDescent="0.3">
      <c r="A133">
        <v>6.7333788999999999</v>
      </c>
      <c r="B133">
        <v>0.38530999999999999</v>
      </c>
      <c r="C133">
        <f t="shared" si="25"/>
        <v>2.594438223959</v>
      </c>
      <c r="D133">
        <v>1.7100000000000001E-2</v>
      </c>
      <c r="E133">
        <v>3.8999999999999998E-3</v>
      </c>
      <c r="F133">
        <f t="shared" si="26"/>
        <v>1346.67578</v>
      </c>
      <c r="G133">
        <f t="shared" si="27"/>
        <v>-0.38530999999999999</v>
      </c>
      <c r="H133">
        <f t="shared" si="28"/>
        <v>-518.88764479179997</v>
      </c>
      <c r="I133">
        <v>1</v>
      </c>
      <c r="J133">
        <f t="shared" si="29"/>
        <v>0.29763917060878342</v>
      </c>
      <c r="K133">
        <f t="shared" si="30"/>
        <v>-0.83641515177521741</v>
      </c>
      <c r="L133">
        <v>1</v>
      </c>
      <c r="M133">
        <f t="shared" si="31"/>
        <v>0.62536315641186635</v>
      </c>
      <c r="N133">
        <f t="shared" si="32"/>
        <v>0.11514077919</v>
      </c>
      <c r="O133">
        <f t="shared" si="33"/>
        <v>2.6260177709999999E-2</v>
      </c>
      <c r="P133">
        <f t="shared" si="34"/>
        <v>6.9651038463351064E-2</v>
      </c>
      <c r="V133">
        <v>6.9</v>
      </c>
      <c r="W133">
        <f t="shared" si="35"/>
        <v>-1.03603</v>
      </c>
    </row>
    <row r="134" spans="1:23" x14ac:dyDescent="0.3">
      <c r="A134">
        <v>6.7863340000000001</v>
      </c>
      <c r="B134">
        <v>0.38291999999999998</v>
      </c>
      <c r="C134">
        <f t="shared" si="25"/>
        <v>2.5986230152799998</v>
      </c>
      <c r="D134">
        <v>1.7100000000000001E-2</v>
      </c>
      <c r="E134">
        <v>3.8999999999999998E-3</v>
      </c>
      <c r="F134">
        <f t="shared" si="26"/>
        <v>1357.2668000000001</v>
      </c>
      <c r="G134">
        <f t="shared" si="27"/>
        <v>-0.38291999999999998</v>
      </c>
      <c r="H134">
        <f t="shared" si="28"/>
        <v>-519.72460305599998</v>
      </c>
      <c r="I134">
        <v>1</v>
      </c>
      <c r="J134">
        <f t="shared" si="29"/>
        <v>0.30547297169697729</v>
      </c>
      <c r="K134">
        <f t="shared" si="30"/>
        <v>-0.83880515177521753</v>
      </c>
      <c r="L134">
        <v>1</v>
      </c>
      <c r="M134">
        <f t="shared" si="31"/>
        <v>0.62585041883955195</v>
      </c>
      <c r="N134">
        <f t="shared" si="32"/>
        <v>0.1160463114</v>
      </c>
      <c r="O134">
        <f t="shared" si="33"/>
        <v>2.6466702599999999E-2</v>
      </c>
      <c r="P134">
        <f t="shared" si="34"/>
        <v>7.0441718935665573E-2</v>
      </c>
      <c r="V134">
        <v>7</v>
      </c>
      <c r="W134">
        <f t="shared" si="35"/>
        <v>-1.0422500000000001</v>
      </c>
    </row>
    <row r="135" spans="1:23" x14ac:dyDescent="0.3">
      <c r="A135">
        <v>6.8392895999999999</v>
      </c>
      <c r="B135">
        <v>0.38040000000000002</v>
      </c>
      <c r="C135">
        <f t="shared" si="25"/>
        <v>2.6016657638400003</v>
      </c>
      <c r="D135">
        <v>1.7100000000000001E-2</v>
      </c>
      <c r="E135">
        <v>3.8999999999999998E-3</v>
      </c>
      <c r="F135">
        <f t="shared" si="26"/>
        <v>1367.8579199999999</v>
      </c>
      <c r="G135">
        <f t="shared" si="27"/>
        <v>-0.38040000000000002</v>
      </c>
      <c r="H135">
        <f t="shared" si="28"/>
        <v>-520.3331527680001</v>
      </c>
      <c r="I135">
        <v>1</v>
      </c>
      <c r="J135">
        <f t="shared" si="29"/>
        <v>0.31324595415744899</v>
      </c>
      <c r="K135">
        <f t="shared" si="30"/>
        <v>-0.84132515177521738</v>
      </c>
      <c r="L135">
        <v>1</v>
      </c>
      <c r="M135">
        <f t="shared" si="31"/>
        <v>0.62633389834859332</v>
      </c>
      <c r="N135">
        <f t="shared" si="32"/>
        <v>0.11695185216000001</v>
      </c>
      <c r="O135">
        <f t="shared" si="33"/>
        <v>2.6673229439999998E-2</v>
      </c>
      <c r="P135">
        <f t="shared" si="34"/>
        <v>7.1366171826624053E-2</v>
      </c>
      <c r="V135">
        <v>7.1</v>
      </c>
      <c r="W135">
        <f t="shared" si="35"/>
        <v>-1.04847</v>
      </c>
    </row>
    <row r="136" spans="1:23" x14ac:dyDescent="0.3">
      <c r="A136">
        <v>6.8907167999999999</v>
      </c>
      <c r="B136">
        <v>0.37817000000000001</v>
      </c>
      <c r="C136">
        <f t="shared" si="25"/>
        <v>2.6058623722559999</v>
      </c>
      <c r="D136">
        <v>1.7100000000000001E-2</v>
      </c>
      <c r="E136">
        <v>3.8999999999999998E-3</v>
      </c>
      <c r="F136">
        <f t="shared" si="26"/>
        <v>1378.14336</v>
      </c>
      <c r="G136">
        <f t="shared" si="27"/>
        <v>-0.37817000000000001</v>
      </c>
      <c r="H136">
        <f t="shared" si="28"/>
        <v>-521.17247445119995</v>
      </c>
      <c r="I136">
        <v>1</v>
      </c>
      <c r="J136">
        <f t="shared" si="29"/>
        <v>0.32073720201331024</v>
      </c>
      <c r="K136">
        <f t="shared" si="30"/>
        <v>-0.84355515177521745</v>
      </c>
      <c r="L136">
        <v>1</v>
      </c>
      <c r="M136">
        <f t="shared" si="31"/>
        <v>0.62679985396522786</v>
      </c>
      <c r="N136">
        <f t="shared" si="32"/>
        <v>0.11783125728</v>
      </c>
      <c r="O136">
        <f t="shared" si="33"/>
        <v>2.6873795519999997E-2</v>
      </c>
      <c r="P136">
        <f t="shared" si="34"/>
        <v>7.2050245009989591E-2</v>
      </c>
      <c r="V136">
        <v>7.2</v>
      </c>
      <c r="W136">
        <f t="shared" si="35"/>
        <v>-1.0546899999999999</v>
      </c>
    </row>
    <row r="137" spans="1:23" x14ac:dyDescent="0.3">
      <c r="A137">
        <v>6.9416352999999997</v>
      </c>
      <c r="B137">
        <v>0.37573000000000001</v>
      </c>
      <c r="C137">
        <f t="shared" si="25"/>
        <v>2.6081806312690001</v>
      </c>
      <c r="D137">
        <v>1.7100000000000001E-2</v>
      </c>
      <c r="E137">
        <v>3.8999999999999998E-3</v>
      </c>
      <c r="F137">
        <f t="shared" si="26"/>
        <v>1388.3270599999998</v>
      </c>
      <c r="G137">
        <f t="shared" si="27"/>
        <v>-0.37573000000000001</v>
      </c>
      <c r="H137">
        <f t="shared" si="28"/>
        <v>-521.63612625380006</v>
      </c>
      <c r="I137">
        <v>1</v>
      </c>
      <c r="J137">
        <f t="shared" si="29"/>
        <v>0.32809946833304438</v>
      </c>
      <c r="K137">
        <f t="shared" si="30"/>
        <v>-0.84599515177521745</v>
      </c>
      <c r="L137">
        <v>1</v>
      </c>
      <c r="M137">
        <f t="shared" si="31"/>
        <v>0.62725778693031531</v>
      </c>
      <c r="N137">
        <f t="shared" si="32"/>
        <v>0.11870196363</v>
      </c>
      <c r="O137">
        <f t="shared" si="33"/>
        <v>2.7072377669999998E-2</v>
      </c>
      <c r="P137">
        <f t="shared" si="34"/>
        <v>7.2963023544902139E-2</v>
      </c>
      <c r="V137">
        <v>7.3</v>
      </c>
      <c r="W137">
        <f t="shared" si="35"/>
        <v>-1.06091</v>
      </c>
    </row>
    <row r="138" spans="1:23" x14ac:dyDescent="0.3">
      <c r="A138">
        <v>6.9935717999999998</v>
      </c>
      <c r="B138">
        <v>0.37323000000000001</v>
      </c>
      <c r="C138">
        <f t="shared" si="25"/>
        <v>2.6102108029140001</v>
      </c>
      <c r="D138">
        <v>1.7100000000000001E-2</v>
      </c>
      <c r="E138">
        <v>3.8999999999999998E-3</v>
      </c>
      <c r="F138">
        <f t="shared" si="26"/>
        <v>1398.7143599999999</v>
      </c>
      <c r="G138">
        <f t="shared" si="27"/>
        <v>-0.37323000000000001</v>
      </c>
      <c r="H138">
        <f t="shared" si="28"/>
        <v>-522.04216058279997</v>
      </c>
      <c r="I138">
        <v>1</v>
      </c>
      <c r="J138">
        <f t="shared" si="29"/>
        <v>0.33555350042661858</v>
      </c>
      <c r="K138">
        <f t="shared" si="30"/>
        <v>-0.8484951517752175</v>
      </c>
      <c r="L138">
        <v>1</v>
      </c>
      <c r="M138">
        <f t="shared" si="31"/>
        <v>0.62772142772653572</v>
      </c>
      <c r="N138">
        <f t="shared" si="32"/>
        <v>0.11959007778</v>
      </c>
      <c r="O138">
        <f t="shared" si="33"/>
        <v>2.7274930019999997E-2</v>
      </c>
      <c r="P138">
        <f t="shared" si="34"/>
        <v>7.3908716248681783E-2</v>
      </c>
      <c r="V138">
        <v>7.4</v>
      </c>
      <c r="W138">
        <f t="shared" si="35"/>
        <v>-1.0671300000000001</v>
      </c>
    </row>
    <row r="139" spans="1:23" x14ac:dyDescent="0.3">
      <c r="A139">
        <v>7.0455088000000003</v>
      </c>
      <c r="B139">
        <v>0.37075999999999998</v>
      </c>
      <c r="C139">
        <f t="shared" si="25"/>
        <v>2.6121928426880001</v>
      </c>
      <c r="D139">
        <v>1.7100000000000001E-2</v>
      </c>
      <c r="E139">
        <v>3.8999999999999998E-3</v>
      </c>
      <c r="F139">
        <f t="shared" si="26"/>
        <v>1409.10176</v>
      </c>
      <c r="G139">
        <f t="shared" si="27"/>
        <v>-0.37075999999999998</v>
      </c>
      <c r="H139">
        <f t="shared" si="28"/>
        <v>-522.43856853760008</v>
      </c>
      <c r="I139">
        <v>1</v>
      </c>
      <c r="J139">
        <f t="shared" si="29"/>
        <v>0.34295245174234185</v>
      </c>
      <c r="K139">
        <f t="shared" si="30"/>
        <v>-0.85096515177521748</v>
      </c>
      <c r="L139">
        <v>1</v>
      </c>
      <c r="M139">
        <f t="shared" si="31"/>
        <v>0.62818164249837372</v>
      </c>
      <c r="N139">
        <f t="shared" si="32"/>
        <v>0.12047820048000001</v>
      </c>
      <c r="O139">
        <f t="shared" si="33"/>
        <v>2.7477484319999999E-2</v>
      </c>
      <c r="P139">
        <f t="shared" si="34"/>
        <v>7.482782447684376E-2</v>
      </c>
      <c r="V139">
        <v>7.5</v>
      </c>
      <c r="W139">
        <f t="shared" si="35"/>
        <v>-1.07335</v>
      </c>
    </row>
    <row r="140" spans="1:23" x14ac:dyDescent="0.3">
      <c r="A140">
        <v>7.0964267999999997</v>
      </c>
      <c r="B140">
        <v>0.36847000000000002</v>
      </c>
      <c r="C140">
        <f t="shared" si="25"/>
        <v>2.6148203829960002</v>
      </c>
      <c r="D140">
        <v>1.7100000000000001E-2</v>
      </c>
      <c r="E140">
        <v>3.8999999999999998E-3</v>
      </c>
      <c r="F140">
        <f t="shared" si="26"/>
        <v>1419.2853599999999</v>
      </c>
      <c r="G140">
        <f t="shared" si="27"/>
        <v>-0.36847000000000002</v>
      </c>
      <c r="H140">
        <f t="shared" si="28"/>
        <v>-522.96407659919998</v>
      </c>
      <c r="I140">
        <v>1</v>
      </c>
      <c r="J140">
        <f t="shared" si="29"/>
        <v>0.35015347732588914</v>
      </c>
      <c r="K140">
        <f t="shared" si="30"/>
        <v>-0.85325515177521738</v>
      </c>
      <c r="L140">
        <v>1</v>
      </c>
      <c r="M140">
        <f t="shared" si="31"/>
        <v>0.62862954628967027</v>
      </c>
      <c r="N140">
        <f t="shared" si="32"/>
        <v>0.12134889828000001</v>
      </c>
      <c r="O140">
        <f t="shared" si="33"/>
        <v>2.7676064519999998E-2</v>
      </c>
      <c r="P140">
        <f t="shared" si="34"/>
        <v>7.5600642685547101E-2</v>
      </c>
    </row>
    <row r="141" spans="1:23" x14ac:dyDescent="0.3">
      <c r="A141">
        <v>7.1493817999999996</v>
      </c>
      <c r="B141">
        <v>0.36586000000000002</v>
      </c>
      <c r="C141">
        <f t="shared" si="25"/>
        <v>2.6156728253480002</v>
      </c>
      <c r="D141">
        <v>1.7100000000000001E-2</v>
      </c>
      <c r="E141">
        <v>3.8999999999999998E-3</v>
      </c>
      <c r="F141">
        <f t="shared" si="26"/>
        <v>1429.87636</v>
      </c>
      <c r="G141">
        <f t="shared" si="27"/>
        <v>-0.36586000000000002</v>
      </c>
      <c r="H141">
        <f t="shared" si="28"/>
        <v>-523.13456506960006</v>
      </c>
      <c r="I141">
        <v>1</v>
      </c>
      <c r="J141">
        <f t="shared" si="29"/>
        <v>0.35758797899534006</v>
      </c>
      <c r="K141">
        <f t="shared" si="30"/>
        <v>-0.85586515177521738</v>
      </c>
      <c r="L141">
        <v>1</v>
      </c>
      <c r="M141">
        <f t="shared" si="31"/>
        <v>0.6290919722935101</v>
      </c>
      <c r="N141">
        <f t="shared" si="32"/>
        <v>0.12225442877999999</v>
      </c>
      <c r="O141">
        <f t="shared" si="33"/>
        <v>2.7882589019999997E-2</v>
      </c>
      <c r="P141">
        <f t="shared" si="34"/>
        <v>7.6636161681707282E-2</v>
      </c>
    </row>
    <row r="142" spans="1:23" x14ac:dyDescent="0.3">
      <c r="A142">
        <v>7.2013188000000001</v>
      </c>
      <c r="B142">
        <v>0.36347000000000002</v>
      </c>
      <c r="C142">
        <f t="shared" si="25"/>
        <v>2.617463344236</v>
      </c>
      <c r="D142">
        <v>1.7100000000000001E-2</v>
      </c>
      <c r="E142">
        <v>3.8999999999999998E-3</v>
      </c>
      <c r="F142">
        <f t="shared" si="26"/>
        <v>1440.26376</v>
      </c>
      <c r="G142">
        <f t="shared" si="27"/>
        <v>-0.36347000000000002</v>
      </c>
      <c r="H142">
        <f t="shared" si="28"/>
        <v>-523.49266884719998</v>
      </c>
      <c r="I142">
        <v>1</v>
      </c>
      <c r="J142">
        <f t="shared" si="29"/>
        <v>0.36482626348161024</v>
      </c>
      <c r="K142">
        <f t="shared" si="30"/>
        <v>-0.8582551517752175</v>
      </c>
      <c r="L142">
        <v>1</v>
      </c>
      <c r="M142">
        <f t="shared" si="31"/>
        <v>0.62954219358855612</v>
      </c>
      <c r="N142">
        <f t="shared" si="32"/>
        <v>0.12314255148</v>
      </c>
      <c r="O142">
        <f t="shared" si="33"/>
        <v>2.8085143319999999E-2</v>
      </c>
      <c r="P142">
        <f t="shared" si="34"/>
        <v>7.7485263386661368E-2</v>
      </c>
    </row>
    <row r="143" spans="1:23" x14ac:dyDescent="0.3">
      <c r="A143">
        <v>7.2563110000000002</v>
      </c>
      <c r="B143">
        <v>0.36097000000000001</v>
      </c>
      <c r="C143">
        <f t="shared" si="25"/>
        <v>2.6193105816700002</v>
      </c>
      <c r="D143">
        <v>1.7100000000000001E-2</v>
      </c>
      <c r="E143">
        <v>3.8999999999999998E-3</v>
      </c>
      <c r="F143">
        <f t="shared" si="26"/>
        <v>1451.2622000000001</v>
      </c>
      <c r="G143">
        <f t="shared" si="27"/>
        <v>-0.36097000000000001</v>
      </c>
      <c r="H143">
        <f t="shared" si="28"/>
        <v>-523.86211633400001</v>
      </c>
      <c r="I143">
        <v>1</v>
      </c>
      <c r="J143">
        <f t="shared" si="29"/>
        <v>0.37243366054071048</v>
      </c>
      <c r="K143">
        <f t="shared" si="30"/>
        <v>-0.86075515177521744</v>
      </c>
      <c r="L143">
        <v>1</v>
      </c>
      <c r="M143">
        <f t="shared" si="31"/>
        <v>0.63001537368563221</v>
      </c>
      <c r="N143">
        <f t="shared" si="32"/>
        <v>0.12408291810000001</v>
      </c>
      <c r="O143">
        <f t="shared" si="33"/>
        <v>2.82996129E-2</v>
      </c>
      <c r="P143">
        <f t="shared" si="34"/>
        <v>7.8357247089585219E-2</v>
      </c>
    </row>
    <row r="144" spans="1:23" x14ac:dyDescent="0.3">
      <c r="A144">
        <v>7.3072284999999999</v>
      </c>
      <c r="B144">
        <v>0.35843000000000003</v>
      </c>
      <c r="C144">
        <f t="shared" si="25"/>
        <v>2.6191299112549999</v>
      </c>
      <c r="D144">
        <v>1.7100000000000001E-2</v>
      </c>
      <c r="E144">
        <v>3.8999999999999998E-3</v>
      </c>
      <c r="F144">
        <f t="shared" si="26"/>
        <v>1461.4457</v>
      </c>
      <c r="G144">
        <f t="shared" si="27"/>
        <v>-0.35843000000000003</v>
      </c>
      <c r="H144">
        <f t="shared" si="28"/>
        <v>-523.82598225100003</v>
      </c>
      <c r="I144">
        <v>1</v>
      </c>
      <c r="J144">
        <f t="shared" si="29"/>
        <v>0.37942615126964568</v>
      </c>
      <c r="K144">
        <f t="shared" si="30"/>
        <v>-0.86329515177521743</v>
      </c>
      <c r="L144">
        <v>1</v>
      </c>
      <c r="M144">
        <f t="shared" si="31"/>
        <v>0.63045030660897194</v>
      </c>
      <c r="N144">
        <f t="shared" si="32"/>
        <v>0.12495360735000001</v>
      </c>
      <c r="O144">
        <f t="shared" si="33"/>
        <v>2.8498191149999998E-2</v>
      </c>
      <c r="P144">
        <f t="shared" si="34"/>
        <v>7.939304666624547E-2</v>
      </c>
    </row>
    <row r="145" spans="1:16" x14ac:dyDescent="0.3">
      <c r="A145">
        <v>7.3596747999999996</v>
      </c>
      <c r="B145">
        <v>0.35588999999999998</v>
      </c>
      <c r="C145">
        <f t="shared" si="25"/>
        <v>2.6192346645719997</v>
      </c>
      <c r="D145">
        <v>1.7100000000000001E-2</v>
      </c>
      <c r="E145">
        <v>3.8999999999999998E-3</v>
      </c>
      <c r="F145">
        <f t="shared" si="26"/>
        <v>1471.9349599999998</v>
      </c>
      <c r="G145">
        <f t="shared" si="27"/>
        <v>-0.35588999999999998</v>
      </c>
      <c r="H145">
        <f t="shared" si="28"/>
        <v>-523.84693291439999</v>
      </c>
      <c r="I145">
        <v>1</v>
      </c>
      <c r="J145">
        <f t="shared" si="29"/>
        <v>0.3865778345478994</v>
      </c>
      <c r="K145">
        <f t="shared" si="30"/>
        <v>-0.86583515177521742</v>
      </c>
      <c r="L145">
        <v>1</v>
      </c>
      <c r="M145">
        <f t="shared" si="31"/>
        <v>0.63089514130887936</v>
      </c>
      <c r="N145">
        <f t="shared" si="32"/>
        <v>0.12585043907999999</v>
      </c>
      <c r="O145">
        <f t="shared" si="33"/>
        <v>2.8702731719999996E-2</v>
      </c>
      <c r="P145">
        <f t="shared" si="34"/>
        <v>8.038683966633807E-2</v>
      </c>
    </row>
    <row r="146" spans="1:16" x14ac:dyDescent="0.3">
      <c r="A146">
        <v>7.4126294000000001</v>
      </c>
      <c r="B146">
        <v>0.35355999999999999</v>
      </c>
      <c r="C146">
        <f t="shared" si="25"/>
        <v>2.6208092506639997</v>
      </c>
      <c r="D146">
        <v>1.7100000000000001E-2</v>
      </c>
      <c r="E146">
        <v>3.8999999999999998E-3</v>
      </c>
      <c r="F146">
        <f t="shared" si="26"/>
        <v>1482.5258800000001</v>
      </c>
      <c r="G146">
        <f t="shared" si="27"/>
        <v>-0.35355999999999999</v>
      </c>
      <c r="H146">
        <f t="shared" si="28"/>
        <v>-524.16185013279994</v>
      </c>
      <c r="I146">
        <v>1</v>
      </c>
      <c r="J146">
        <f t="shared" si="29"/>
        <v>0.39374730873568553</v>
      </c>
      <c r="K146">
        <f t="shared" si="30"/>
        <v>-0.86816515177521747</v>
      </c>
      <c r="L146">
        <v>1</v>
      </c>
      <c r="M146">
        <f t="shared" si="31"/>
        <v>0.63134108260335964</v>
      </c>
      <c r="N146">
        <f t="shared" si="32"/>
        <v>0.12675596274000001</v>
      </c>
      <c r="O146">
        <f t="shared" si="33"/>
        <v>2.8909254659999998E-2</v>
      </c>
      <c r="P146">
        <f t="shared" si="34"/>
        <v>8.1158851771857832E-2</v>
      </c>
    </row>
    <row r="147" spans="1:16" x14ac:dyDescent="0.3">
      <c r="A147">
        <v>7.4635479</v>
      </c>
      <c r="B147">
        <v>0.35085</v>
      </c>
      <c r="C147">
        <f t="shared" si="25"/>
        <v>2.6185857807150001</v>
      </c>
      <c r="D147">
        <v>1.7100000000000001E-2</v>
      </c>
      <c r="E147">
        <v>3.8999999999999998E-3</v>
      </c>
      <c r="F147">
        <f t="shared" si="26"/>
        <v>1492.70958</v>
      </c>
      <c r="G147">
        <f t="shared" si="27"/>
        <v>-0.35085</v>
      </c>
      <c r="H147">
        <f t="shared" si="28"/>
        <v>-523.71715614300001</v>
      </c>
      <c r="I147">
        <v>1</v>
      </c>
      <c r="J147">
        <f t="shared" si="29"/>
        <v>0.40059297853691106</v>
      </c>
      <c r="K147">
        <f t="shared" si="30"/>
        <v>-0.87087515177521746</v>
      </c>
      <c r="L147">
        <v>1</v>
      </c>
      <c r="M147">
        <f t="shared" si="31"/>
        <v>0.63176688326499586</v>
      </c>
      <c r="N147">
        <f t="shared" si="32"/>
        <v>0.12762666909000001</v>
      </c>
      <c r="O147">
        <f t="shared" si="33"/>
        <v>2.9107836809999999E-2</v>
      </c>
      <c r="P147">
        <f t="shared" si="34"/>
        <v>8.2373762610221599E-2</v>
      </c>
    </row>
    <row r="148" spans="1:16" x14ac:dyDescent="0.3">
      <c r="A148">
        <v>7.5180308</v>
      </c>
      <c r="B148">
        <v>0.34842000000000001</v>
      </c>
      <c r="C148">
        <f t="shared" si="25"/>
        <v>2.619432291336</v>
      </c>
      <c r="D148">
        <v>1.7100000000000001E-2</v>
      </c>
      <c r="E148">
        <v>3.8999999999999998E-3</v>
      </c>
      <c r="F148">
        <f t="shared" si="26"/>
        <v>1503.60616</v>
      </c>
      <c r="G148">
        <f t="shared" si="27"/>
        <v>-0.34842000000000001</v>
      </c>
      <c r="H148">
        <f t="shared" si="28"/>
        <v>-523.88645826719994</v>
      </c>
      <c r="I148">
        <v>1</v>
      </c>
      <c r="J148">
        <f t="shared" si="29"/>
        <v>0.4078663295337584</v>
      </c>
      <c r="K148">
        <f t="shared" si="30"/>
        <v>-0.8733051517752175</v>
      </c>
      <c r="L148">
        <v>1</v>
      </c>
      <c r="M148">
        <f t="shared" si="31"/>
        <v>0.63221928569699981</v>
      </c>
      <c r="N148">
        <f t="shared" si="32"/>
        <v>0.12855832668</v>
      </c>
      <c r="O148">
        <f t="shared" si="33"/>
        <v>2.932032012E-2</v>
      </c>
      <c r="P148">
        <f t="shared" si="34"/>
        <v>8.3207219278217698E-2</v>
      </c>
    </row>
    <row r="149" spans="1:16" x14ac:dyDescent="0.3">
      <c r="A149">
        <v>7.5699673000000001</v>
      </c>
      <c r="B149">
        <v>0.34538999999999997</v>
      </c>
      <c r="C149">
        <f t="shared" si="25"/>
        <v>2.6145910057469997</v>
      </c>
      <c r="D149">
        <v>1.7100000000000001E-2</v>
      </c>
      <c r="E149">
        <v>3.8999999999999998E-3</v>
      </c>
      <c r="F149">
        <f t="shared" si="26"/>
        <v>1513.9934599999999</v>
      </c>
      <c r="G149">
        <f t="shared" si="27"/>
        <v>-0.34538999999999997</v>
      </c>
      <c r="H149">
        <f t="shared" si="28"/>
        <v>-522.91820114939992</v>
      </c>
      <c r="I149">
        <v>1</v>
      </c>
      <c r="J149">
        <f t="shared" si="29"/>
        <v>0.41475083532296814</v>
      </c>
      <c r="K149">
        <f t="shared" si="30"/>
        <v>-0.87633515177521748</v>
      </c>
      <c r="L149">
        <v>1</v>
      </c>
      <c r="M149">
        <f t="shared" si="31"/>
        <v>0.63264750195708863</v>
      </c>
      <c r="N149">
        <f t="shared" si="32"/>
        <v>0.12944644083000001</v>
      </c>
      <c r="O149">
        <f t="shared" si="33"/>
        <v>2.9522872469999999E-2</v>
      </c>
      <c r="P149">
        <f t="shared" si="34"/>
        <v>8.4718336518128837E-2</v>
      </c>
    </row>
    <row r="150" spans="1:16" x14ac:dyDescent="0.3">
      <c r="A150">
        <v>7.6203760000000003</v>
      </c>
      <c r="B150">
        <v>0.34305999999999998</v>
      </c>
      <c r="C150">
        <f t="shared" si="25"/>
        <v>2.6142461905599998</v>
      </c>
      <c r="D150">
        <v>1.7100000000000001E-2</v>
      </c>
      <c r="E150">
        <v>3.8999999999999998E-3</v>
      </c>
      <c r="F150">
        <f t="shared" si="26"/>
        <v>1524.0752</v>
      </c>
      <c r="G150">
        <f t="shared" si="27"/>
        <v>-0.34305999999999998</v>
      </c>
      <c r="H150">
        <f t="shared" si="28"/>
        <v>-522.84923811199997</v>
      </c>
      <c r="I150">
        <v>1</v>
      </c>
      <c r="J150">
        <f t="shared" si="29"/>
        <v>0.42138779987910868</v>
      </c>
      <c r="K150">
        <f t="shared" si="30"/>
        <v>-0.87866515177521753</v>
      </c>
      <c r="L150">
        <v>1</v>
      </c>
      <c r="M150">
        <f t="shared" si="31"/>
        <v>0.63306032115248057</v>
      </c>
      <c r="N150">
        <f t="shared" si="32"/>
        <v>0.1303084296</v>
      </c>
      <c r="O150">
        <f t="shared" si="33"/>
        <v>2.9719466399999998E-2</v>
      </c>
      <c r="P150">
        <f t="shared" si="34"/>
        <v>8.5576934622736966E-2</v>
      </c>
    </row>
    <row r="151" spans="1:16" x14ac:dyDescent="0.3">
      <c r="A151">
        <v>7.6723129999999999</v>
      </c>
      <c r="B151">
        <v>0.34045999999999998</v>
      </c>
      <c r="C151">
        <f t="shared" si="25"/>
        <v>2.6121156839799999</v>
      </c>
      <c r="D151">
        <v>1.7100000000000001E-2</v>
      </c>
      <c r="E151">
        <v>3.8999999999999998E-3</v>
      </c>
      <c r="F151">
        <f t="shared" si="26"/>
        <v>1534.4626000000001</v>
      </c>
      <c r="G151">
        <f t="shared" si="27"/>
        <v>-0.34045999999999998</v>
      </c>
      <c r="H151">
        <f t="shared" si="28"/>
        <v>-522.42313679599999</v>
      </c>
      <c r="I151">
        <v>1</v>
      </c>
      <c r="J151">
        <f t="shared" si="29"/>
        <v>0.42818022202077671</v>
      </c>
      <c r="K151">
        <f t="shared" si="30"/>
        <v>-0.88126515177521747</v>
      </c>
      <c r="L151">
        <v>1</v>
      </c>
      <c r="M151">
        <f t="shared" si="31"/>
        <v>0.63348280980969229</v>
      </c>
      <c r="N151">
        <f t="shared" si="32"/>
        <v>0.13119655229999999</v>
      </c>
      <c r="O151">
        <f t="shared" si="33"/>
        <v>2.9922020699999999E-2</v>
      </c>
      <c r="P151">
        <f t="shared" si="34"/>
        <v>8.666376896552519E-2</v>
      </c>
    </row>
    <row r="152" spans="1:16" x14ac:dyDescent="0.3">
      <c r="A152">
        <v>7.7242495</v>
      </c>
      <c r="B152">
        <v>0.33801999999999999</v>
      </c>
      <c r="C152">
        <f t="shared" si="25"/>
        <v>2.6109508159899999</v>
      </c>
      <c r="D152">
        <v>1.7100000000000001E-2</v>
      </c>
      <c r="E152">
        <v>3.8999999999999998E-3</v>
      </c>
      <c r="F152">
        <f t="shared" si="26"/>
        <v>1544.8498999999999</v>
      </c>
      <c r="G152">
        <f t="shared" si="27"/>
        <v>-0.33801999999999999</v>
      </c>
      <c r="H152">
        <f t="shared" si="28"/>
        <v>-522.19016319799994</v>
      </c>
      <c r="I152">
        <v>1</v>
      </c>
      <c r="J152">
        <f t="shared" si="29"/>
        <v>0.43492675352657761</v>
      </c>
      <c r="K152">
        <f t="shared" si="30"/>
        <v>-0.88370515177521747</v>
      </c>
      <c r="L152">
        <v>1</v>
      </c>
      <c r="M152">
        <f t="shared" si="31"/>
        <v>0.63390244406935314</v>
      </c>
      <c r="N152">
        <f t="shared" si="32"/>
        <v>0.13208466645</v>
      </c>
      <c r="O152">
        <f t="shared" si="33"/>
        <v>3.0124573049999999E-2</v>
      </c>
      <c r="P152">
        <f t="shared" si="34"/>
        <v>8.7593468205864333E-2</v>
      </c>
    </row>
    <row r="153" spans="1:16" x14ac:dyDescent="0.3">
      <c r="A153">
        <v>7.7756777000000001</v>
      </c>
      <c r="B153">
        <v>0.33551999999999998</v>
      </c>
      <c r="C153">
        <f t="shared" si="25"/>
        <v>2.6088953819039999</v>
      </c>
      <c r="D153">
        <v>1.7100000000000001E-2</v>
      </c>
      <c r="E153">
        <v>3.8999999999999998E-3</v>
      </c>
      <c r="F153">
        <f t="shared" si="26"/>
        <v>1555.13554</v>
      </c>
      <c r="G153">
        <f t="shared" si="27"/>
        <v>-0.33551999999999998</v>
      </c>
      <c r="H153">
        <f t="shared" si="28"/>
        <v>-521.77907638080001</v>
      </c>
      <c r="I153">
        <v>1</v>
      </c>
      <c r="J153">
        <f t="shared" si="29"/>
        <v>0.44156270581977614</v>
      </c>
      <c r="K153">
        <f t="shared" si="30"/>
        <v>-0.88620515177521741</v>
      </c>
      <c r="L153">
        <v>1</v>
      </c>
      <c r="M153">
        <f t="shared" si="31"/>
        <v>0.63431520030199007</v>
      </c>
      <c r="N153">
        <f t="shared" si="32"/>
        <v>0.13296408867000001</v>
      </c>
      <c r="O153">
        <f t="shared" si="33"/>
        <v>3.0325143029999998E-2</v>
      </c>
      <c r="P153">
        <f t="shared" si="34"/>
        <v>8.8600719773227338E-2</v>
      </c>
    </row>
    <row r="154" spans="1:16" x14ac:dyDescent="0.3">
      <c r="A154">
        <v>7.8265957000000004</v>
      </c>
      <c r="B154">
        <v>0.33298</v>
      </c>
      <c r="C154">
        <f t="shared" si="25"/>
        <v>2.6060998361859999</v>
      </c>
      <c r="D154">
        <v>1.7100000000000001E-2</v>
      </c>
      <c r="E154">
        <v>3.8999999999999998E-3</v>
      </c>
      <c r="F154">
        <f t="shared" si="26"/>
        <v>1565.3191400000001</v>
      </c>
      <c r="G154">
        <f t="shared" si="27"/>
        <v>-0.33298</v>
      </c>
      <c r="H154">
        <f t="shared" si="28"/>
        <v>-521.21996723719997</v>
      </c>
      <c r="I154">
        <v>1</v>
      </c>
      <c r="J154">
        <f t="shared" si="29"/>
        <v>0.44808972652526585</v>
      </c>
      <c r="K154">
        <f t="shared" si="30"/>
        <v>-0.8887451517752174</v>
      </c>
      <c r="L154">
        <v>1</v>
      </c>
      <c r="M154">
        <f t="shared" si="31"/>
        <v>0.63472118098987151</v>
      </c>
      <c r="N154">
        <f t="shared" si="32"/>
        <v>0.13383478647000002</v>
      </c>
      <c r="O154">
        <f t="shared" si="33"/>
        <v>3.0523723230000001E-2</v>
      </c>
      <c r="P154">
        <f t="shared" si="34"/>
        <v>8.9665461085345871E-2</v>
      </c>
    </row>
    <row r="155" spans="1:16" x14ac:dyDescent="0.3">
      <c r="A155">
        <v>7.8775142000000002</v>
      </c>
      <c r="B155">
        <v>0.33045999999999998</v>
      </c>
      <c r="C155">
        <f t="shared" si="25"/>
        <v>2.6032033425319998</v>
      </c>
      <c r="D155">
        <v>1.7100000000000001E-2</v>
      </c>
      <c r="E155">
        <v>3.8999999999999998E-3</v>
      </c>
      <c r="F155">
        <f t="shared" si="26"/>
        <v>1575.5028400000001</v>
      </c>
      <c r="G155">
        <f t="shared" si="27"/>
        <v>-0.33045999999999998</v>
      </c>
      <c r="H155">
        <f t="shared" si="28"/>
        <v>-520.64066850639995</v>
      </c>
      <c r="I155">
        <v>1</v>
      </c>
      <c r="J155">
        <f t="shared" si="29"/>
        <v>0.45457448481591611</v>
      </c>
      <c r="K155">
        <f t="shared" si="30"/>
        <v>-0.89126515177521748</v>
      </c>
      <c r="L155">
        <v>1</v>
      </c>
      <c r="M155">
        <f t="shared" si="31"/>
        <v>0.63512453295554994</v>
      </c>
      <c r="N155">
        <f t="shared" si="32"/>
        <v>0.13470549282000002</v>
      </c>
      <c r="O155">
        <f t="shared" si="33"/>
        <v>3.0722305379999999E-2</v>
      </c>
      <c r="P155">
        <f t="shared" si="34"/>
        <v>9.0712820619667525E-2</v>
      </c>
    </row>
    <row r="156" spans="1:16" x14ac:dyDescent="0.3">
      <c r="A156">
        <v>7.9289414000000003</v>
      </c>
      <c r="B156">
        <v>0.32788</v>
      </c>
      <c r="C156">
        <f t="shared" si="25"/>
        <v>2.5997413062320001</v>
      </c>
      <c r="D156">
        <v>1.7100000000000001E-2</v>
      </c>
      <c r="E156">
        <v>3.8999999999999998E-3</v>
      </c>
      <c r="F156">
        <f t="shared" si="26"/>
        <v>1585.78828</v>
      </c>
      <c r="G156">
        <f t="shared" si="27"/>
        <v>-0.32788</v>
      </c>
      <c r="H156">
        <f t="shared" si="28"/>
        <v>-519.94826124639997</v>
      </c>
      <c r="I156">
        <v>1</v>
      </c>
      <c r="J156">
        <f t="shared" si="29"/>
        <v>0.46108162123735136</v>
      </c>
      <c r="K156">
        <f t="shared" si="30"/>
        <v>-0.89384515177521751</v>
      </c>
      <c r="L156">
        <v>1</v>
      </c>
      <c r="M156">
        <f t="shared" si="31"/>
        <v>0.63552927684096328</v>
      </c>
      <c r="N156">
        <f t="shared" si="32"/>
        <v>0.13558489794</v>
      </c>
      <c r="O156">
        <f t="shared" si="33"/>
        <v>3.0922871460000001E-2</v>
      </c>
      <c r="P156">
        <f t="shared" si="34"/>
        <v>9.1808105534254225E-2</v>
      </c>
    </row>
    <row r="157" spans="1:16" x14ac:dyDescent="0.3">
      <c r="A157">
        <v>7.9793500999999996</v>
      </c>
      <c r="B157">
        <v>0.32521</v>
      </c>
      <c r="C157">
        <f t="shared" si="25"/>
        <v>2.5949644460209997</v>
      </c>
      <c r="D157">
        <v>1.7100000000000001E-2</v>
      </c>
      <c r="E157">
        <v>3.8999999999999998E-3</v>
      </c>
      <c r="F157">
        <f t="shared" si="26"/>
        <v>1595.8700199999998</v>
      </c>
      <c r="G157">
        <f t="shared" si="27"/>
        <v>-0.32521</v>
      </c>
      <c r="H157">
        <f t="shared" si="28"/>
        <v>-518.99288920419997</v>
      </c>
      <c r="I157">
        <v>1</v>
      </c>
      <c r="J157">
        <f t="shared" si="29"/>
        <v>0.46741905460835331</v>
      </c>
      <c r="K157">
        <f t="shared" si="30"/>
        <v>-0.89651515177521746</v>
      </c>
      <c r="L157">
        <v>1</v>
      </c>
      <c r="M157">
        <f t="shared" si="31"/>
        <v>0.63592346519663956</v>
      </c>
      <c r="N157">
        <f t="shared" si="32"/>
        <v>0.13644688670999999</v>
      </c>
      <c r="O157">
        <f t="shared" si="33"/>
        <v>3.1119465389999997E-2</v>
      </c>
      <c r="P157">
        <f t="shared" si="34"/>
        <v>9.3025334478577915E-2</v>
      </c>
    </row>
    <row r="158" spans="1:16" x14ac:dyDescent="0.3">
      <c r="A158">
        <v>8.0338340000000006</v>
      </c>
      <c r="B158">
        <v>0.32223000000000002</v>
      </c>
      <c r="C158">
        <f t="shared" si="25"/>
        <v>2.5887423298200005</v>
      </c>
      <c r="D158">
        <v>1.7100000000000001E-2</v>
      </c>
      <c r="E158">
        <v>3.8999999999999998E-3</v>
      </c>
      <c r="F158">
        <f t="shared" si="26"/>
        <v>1606.7668000000001</v>
      </c>
      <c r="G158">
        <f t="shared" si="27"/>
        <v>-0.32223000000000002</v>
      </c>
      <c r="H158">
        <f t="shared" si="28"/>
        <v>-517.74846596400016</v>
      </c>
      <c r="I158">
        <v>1</v>
      </c>
      <c r="J158">
        <f t="shared" si="29"/>
        <v>0.47422396110381354</v>
      </c>
      <c r="K158">
        <f t="shared" si="30"/>
        <v>-0.89949515177521744</v>
      </c>
      <c r="L158">
        <v>1</v>
      </c>
      <c r="M158">
        <f t="shared" si="31"/>
        <v>0.63634673038065726</v>
      </c>
      <c r="N158">
        <f t="shared" si="32"/>
        <v>0.13737856140000002</v>
      </c>
      <c r="O158">
        <f t="shared" si="33"/>
        <v>3.1331952600000004E-2</v>
      </c>
      <c r="P158">
        <f t="shared" si="34"/>
        <v>9.4437907394560164E-2</v>
      </c>
    </row>
    <row r="159" spans="1:16" x14ac:dyDescent="0.3">
      <c r="A159">
        <v>8.0883158999999996</v>
      </c>
      <c r="B159">
        <v>0.31974999999999998</v>
      </c>
      <c r="C159">
        <f t="shared" si="25"/>
        <v>2.5862390090249998</v>
      </c>
      <c r="D159">
        <v>1.7100000000000001E-2</v>
      </c>
      <c r="E159">
        <v>3.8999999999999998E-3</v>
      </c>
      <c r="F159">
        <f t="shared" si="26"/>
        <v>1617.66318</v>
      </c>
      <c r="G159">
        <f t="shared" si="27"/>
        <v>-0.31974999999999998</v>
      </c>
      <c r="H159">
        <f t="shared" si="28"/>
        <v>-517.24780180499999</v>
      </c>
      <c r="I159">
        <v>1</v>
      </c>
      <c r="J159">
        <f t="shared" si="29"/>
        <v>0.48098262638483297</v>
      </c>
      <c r="K159">
        <f t="shared" si="30"/>
        <v>-0.90197515177521748</v>
      </c>
      <c r="L159">
        <v>1</v>
      </c>
      <c r="M159">
        <f t="shared" si="31"/>
        <v>0.63676711936113661</v>
      </c>
      <c r="N159">
        <f t="shared" si="32"/>
        <v>0.13831020188999998</v>
      </c>
      <c r="O159">
        <f t="shared" si="33"/>
        <v>3.1544432009999998E-2</v>
      </c>
      <c r="P159">
        <f t="shared" si="34"/>
        <v>9.5353398514080881E-2</v>
      </c>
    </row>
    <row r="160" spans="1:16" x14ac:dyDescent="0.3">
      <c r="A160">
        <v>8.1387245999999998</v>
      </c>
      <c r="B160">
        <v>0.31697999999999998</v>
      </c>
      <c r="C160">
        <f t="shared" si="25"/>
        <v>2.5798129237079999</v>
      </c>
      <c r="D160">
        <v>1.7100000000000001E-2</v>
      </c>
      <c r="E160">
        <v>3.8999999999999998E-3</v>
      </c>
      <c r="F160">
        <f t="shared" si="26"/>
        <v>1627.7449199999999</v>
      </c>
      <c r="G160">
        <f t="shared" si="27"/>
        <v>-0.31697999999999998</v>
      </c>
      <c r="H160">
        <f t="shared" si="28"/>
        <v>-515.96258474159993</v>
      </c>
      <c r="I160">
        <v>1</v>
      </c>
      <c r="J160">
        <f t="shared" si="29"/>
        <v>0.48719557225759452</v>
      </c>
      <c r="K160">
        <f t="shared" si="30"/>
        <v>-0.90474515177521742</v>
      </c>
      <c r="L160">
        <v>1</v>
      </c>
      <c r="M160">
        <f t="shared" si="31"/>
        <v>0.63715356459442241</v>
      </c>
      <c r="N160">
        <f t="shared" si="32"/>
        <v>0.13917219066</v>
      </c>
      <c r="O160">
        <f t="shared" si="33"/>
        <v>3.1741025940000001E-2</v>
      </c>
      <c r="P160">
        <f t="shared" si="34"/>
        <v>9.6678370580795009E-2</v>
      </c>
    </row>
    <row r="161" spans="1:16" x14ac:dyDescent="0.3">
      <c r="A161">
        <v>8.1891342999999992</v>
      </c>
      <c r="B161">
        <v>0.31411</v>
      </c>
      <c r="C161">
        <f t="shared" si="25"/>
        <v>2.5722889749729996</v>
      </c>
      <c r="D161">
        <v>1.7100000000000001E-2</v>
      </c>
      <c r="E161">
        <v>3.8999999999999998E-3</v>
      </c>
      <c r="F161">
        <f t="shared" si="26"/>
        <v>1637.8268599999999</v>
      </c>
      <c r="G161">
        <f t="shared" si="27"/>
        <v>-0.31411</v>
      </c>
      <c r="H161">
        <f t="shared" si="28"/>
        <v>-514.45779499459991</v>
      </c>
      <c r="I161">
        <v>1</v>
      </c>
      <c r="J161">
        <f t="shared" si="29"/>
        <v>0.49337027776831743</v>
      </c>
      <c r="K161">
        <f t="shared" si="30"/>
        <v>-0.90761515177521745</v>
      </c>
      <c r="L161">
        <v>1</v>
      </c>
      <c r="M161">
        <f t="shared" si="31"/>
        <v>0.63753763127718932</v>
      </c>
      <c r="N161">
        <f t="shared" si="32"/>
        <v>0.14003419652999999</v>
      </c>
      <c r="O161">
        <f t="shared" si="33"/>
        <v>3.1937623769999993E-2</v>
      </c>
      <c r="P161">
        <f t="shared" si="34"/>
        <v>9.8105700198028153E-2</v>
      </c>
    </row>
    <row r="162" spans="1:16" x14ac:dyDescent="0.3">
      <c r="A162">
        <v>8.2395429999999994</v>
      </c>
      <c r="B162">
        <v>0.31175000000000003</v>
      </c>
      <c r="C162">
        <f t="shared" si="25"/>
        <v>2.56867753025</v>
      </c>
      <c r="D162">
        <v>1.7100000000000001E-2</v>
      </c>
      <c r="E162">
        <v>3.8999999999999998E-3</v>
      </c>
      <c r="F162">
        <f t="shared" si="26"/>
        <v>1647.9086</v>
      </c>
      <c r="G162">
        <f t="shared" si="27"/>
        <v>-0.31175000000000003</v>
      </c>
      <c r="H162">
        <f t="shared" si="28"/>
        <v>-513.73550605000003</v>
      </c>
      <c r="I162">
        <v>1</v>
      </c>
      <c r="J162">
        <f t="shared" si="29"/>
        <v>0.49950696878420414</v>
      </c>
      <c r="K162">
        <f t="shared" si="30"/>
        <v>-0.90997515177521748</v>
      </c>
      <c r="L162">
        <v>1</v>
      </c>
      <c r="M162">
        <f t="shared" si="31"/>
        <v>0.63791933345837748</v>
      </c>
      <c r="N162">
        <f t="shared" si="32"/>
        <v>0.1408961853</v>
      </c>
      <c r="O162">
        <f t="shared" si="33"/>
        <v>3.2134217699999995E-2</v>
      </c>
      <c r="P162">
        <f t="shared" si="34"/>
        <v>9.9025415316840004E-2</v>
      </c>
    </row>
    <row r="163" spans="1:16" x14ac:dyDescent="0.3">
      <c r="A163">
        <v>8.2899531</v>
      </c>
      <c r="B163">
        <v>0.309</v>
      </c>
      <c r="C163">
        <f t="shared" si="25"/>
        <v>2.5615955078999999</v>
      </c>
      <c r="D163">
        <v>1.7100000000000001E-2</v>
      </c>
      <c r="E163">
        <v>3.8999999999999998E-3</v>
      </c>
      <c r="F163">
        <f t="shared" si="26"/>
        <v>1657.99062</v>
      </c>
      <c r="G163">
        <f t="shared" si="27"/>
        <v>-0.309</v>
      </c>
      <c r="H163">
        <f t="shared" si="28"/>
        <v>-512.31910157999994</v>
      </c>
      <c r="I163">
        <v>1</v>
      </c>
      <c r="J163">
        <f t="shared" si="29"/>
        <v>0.50560639927852347</v>
      </c>
      <c r="K163">
        <f t="shared" si="30"/>
        <v>-0.91272515177521751</v>
      </c>
      <c r="L163">
        <v>1</v>
      </c>
      <c r="M163">
        <f t="shared" si="31"/>
        <v>0.63829871803512417</v>
      </c>
      <c r="N163">
        <f t="shared" si="32"/>
        <v>0.14175819801</v>
      </c>
      <c r="O163">
        <f t="shared" si="33"/>
        <v>3.2330817089999998E-2</v>
      </c>
      <c r="P163">
        <f t="shared" si="34"/>
        <v>0.10033741864009335</v>
      </c>
    </row>
    <row r="164" spans="1:16" x14ac:dyDescent="0.3">
      <c r="A164">
        <v>8.3434170000000005</v>
      </c>
      <c r="B164">
        <v>0.30620999999999998</v>
      </c>
      <c r="C164">
        <f t="shared" si="25"/>
        <v>2.5548377195700001</v>
      </c>
      <c r="D164">
        <v>1.7100000000000001E-2</v>
      </c>
      <c r="E164">
        <v>3.8999999999999998E-3</v>
      </c>
      <c r="F164">
        <f t="shared" si="26"/>
        <v>1668.6834000000001</v>
      </c>
      <c r="G164">
        <f t="shared" si="27"/>
        <v>-0.30620999999999998</v>
      </c>
      <c r="H164">
        <f t="shared" si="28"/>
        <v>-510.96754391400003</v>
      </c>
      <c r="I164">
        <v>1</v>
      </c>
      <c r="J164">
        <f t="shared" si="29"/>
        <v>0.51203493225763341</v>
      </c>
      <c r="K164">
        <f t="shared" si="30"/>
        <v>-0.91551515177521747</v>
      </c>
      <c r="L164">
        <v>1</v>
      </c>
      <c r="M164">
        <f t="shared" si="31"/>
        <v>0.63869857278642483</v>
      </c>
      <c r="N164">
        <f t="shared" si="32"/>
        <v>0.14267243070000002</v>
      </c>
      <c r="O164">
        <f t="shared" si="33"/>
        <v>3.2539326299999997E-2</v>
      </c>
      <c r="P164">
        <f t="shared" si="34"/>
        <v>0.10160482198879262</v>
      </c>
    </row>
    <row r="165" spans="1:16" x14ac:dyDescent="0.3">
      <c r="A165">
        <v>8.3938261999999995</v>
      </c>
      <c r="B165">
        <v>0.30320999999999998</v>
      </c>
      <c r="C165">
        <f t="shared" si="25"/>
        <v>2.5450920421019996</v>
      </c>
      <c r="D165">
        <v>1.7100000000000001E-2</v>
      </c>
      <c r="E165">
        <v>3.8999999999999998E-3</v>
      </c>
      <c r="F165">
        <f t="shared" si="26"/>
        <v>1678.7652399999999</v>
      </c>
      <c r="G165">
        <f t="shared" si="27"/>
        <v>-0.30320999999999998</v>
      </c>
      <c r="H165">
        <f t="shared" si="28"/>
        <v>-509.01840842039991</v>
      </c>
      <c r="I165">
        <v>1</v>
      </c>
      <c r="J165">
        <f t="shared" si="29"/>
        <v>0.51805854699727583</v>
      </c>
      <c r="K165">
        <f t="shared" si="30"/>
        <v>-0.91851515177521748</v>
      </c>
      <c r="L165">
        <v>1</v>
      </c>
      <c r="M165">
        <f t="shared" si="31"/>
        <v>0.63907324162323054</v>
      </c>
      <c r="N165">
        <f t="shared" si="32"/>
        <v>0.14353442801999999</v>
      </c>
      <c r="O165">
        <f t="shared" si="33"/>
        <v>3.2735922179999995E-2</v>
      </c>
      <c r="P165">
        <f t="shared" si="34"/>
        <v>0.10317155995198696</v>
      </c>
    </row>
    <row r="166" spans="1:16" x14ac:dyDescent="0.3">
      <c r="A166">
        <v>8.4462724999999992</v>
      </c>
      <c r="B166">
        <v>0.30009999999999998</v>
      </c>
      <c r="C166">
        <f t="shared" si="25"/>
        <v>2.5347263772499997</v>
      </c>
      <c r="D166">
        <v>1.7100000000000001E-2</v>
      </c>
      <c r="E166">
        <v>3.8999999999999998E-3</v>
      </c>
      <c r="F166">
        <f t="shared" si="26"/>
        <v>1689.2544999999998</v>
      </c>
      <c r="G166">
        <f t="shared" si="27"/>
        <v>-0.30009999999999998</v>
      </c>
      <c r="H166">
        <f t="shared" si="28"/>
        <v>-506.94527544999994</v>
      </c>
      <c r="I166">
        <v>1</v>
      </c>
      <c r="J166">
        <f t="shared" si="29"/>
        <v>0.52428730735069817</v>
      </c>
      <c r="K166">
        <f t="shared" si="30"/>
        <v>-0.92162515177521742</v>
      </c>
      <c r="L166">
        <v>1</v>
      </c>
      <c r="M166">
        <f t="shared" si="31"/>
        <v>0.63946067051721345</v>
      </c>
      <c r="N166">
        <f t="shared" si="32"/>
        <v>0.14443125974999999</v>
      </c>
      <c r="O166">
        <f t="shared" si="33"/>
        <v>3.2940462749999996E-2</v>
      </c>
      <c r="P166">
        <f t="shared" si="34"/>
        <v>0.10479275875800399</v>
      </c>
    </row>
    <row r="167" spans="1:16" x14ac:dyDescent="0.3">
      <c r="A167">
        <v>8.4987188000000007</v>
      </c>
      <c r="B167">
        <v>0.29768</v>
      </c>
      <c r="C167">
        <f t="shared" si="25"/>
        <v>2.5298986123840002</v>
      </c>
      <c r="D167">
        <v>1.7100000000000001E-2</v>
      </c>
      <c r="E167">
        <v>3.8999999999999998E-3</v>
      </c>
      <c r="F167">
        <f t="shared" si="26"/>
        <v>1699.7437600000001</v>
      </c>
      <c r="G167">
        <f t="shared" si="27"/>
        <v>-0.29768</v>
      </c>
      <c r="H167">
        <f t="shared" si="28"/>
        <v>-505.97972247680002</v>
      </c>
      <c r="I167">
        <v>1</v>
      </c>
      <c r="J167">
        <f t="shared" si="29"/>
        <v>0.53047751028958634</v>
      </c>
      <c r="K167">
        <f t="shared" si="30"/>
        <v>-0.92404515177521751</v>
      </c>
      <c r="L167">
        <v>1</v>
      </c>
      <c r="M167">
        <f t="shared" si="31"/>
        <v>0.63984570114001227</v>
      </c>
      <c r="N167">
        <f t="shared" si="32"/>
        <v>0.14532809148</v>
      </c>
      <c r="O167">
        <f t="shared" si="33"/>
        <v>3.3145003319999998E-2</v>
      </c>
      <c r="P167">
        <f t="shared" si="34"/>
        <v>0.10572635583520523</v>
      </c>
    </row>
    <row r="168" spans="1:16" x14ac:dyDescent="0.3">
      <c r="A168">
        <v>8.5516728999999998</v>
      </c>
      <c r="B168">
        <v>0.29485</v>
      </c>
      <c r="C168">
        <f t="shared" si="25"/>
        <v>2.5214607545650001</v>
      </c>
      <c r="D168">
        <v>1.7100000000000001E-2</v>
      </c>
      <c r="E168">
        <v>3.8999999999999998E-3</v>
      </c>
      <c r="F168">
        <f t="shared" si="26"/>
        <v>1710.33458</v>
      </c>
      <c r="G168">
        <f t="shared" si="27"/>
        <v>-0.29485</v>
      </c>
      <c r="H168">
        <f t="shared" si="28"/>
        <v>-504.292150913</v>
      </c>
      <c r="I168">
        <v>1</v>
      </c>
      <c r="J168">
        <f t="shared" si="29"/>
        <v>0.5366890121942004</v>
      </c>
      <c r="K168">
        <f t="shared" si="30"/>
        <v>-0.9268751517752174</v>
      </c>
      <c r="L168">
        <v>1</v>
      </c>
      <c r="M168">
        <f t="shared" si="31"/>
        <v>0.64023205655847926</v>
      </c>
      <c r="N168">
        <f t="shared" si="32"/>
        <v>0.14623360659000001</v>
      </c>
      <c r="O168">
        <f t="shared" si="33"/>
        <v>3.3351524309999998E-2</v>
      </c>
      <c r="P168">
        <f t="shared" si="34"/>
        <v>0.10705796431673814</v>
      </c>
    </row>
    <row r="169" spans="1:16" x14ac:dyDescent="0.3">
      <c r="A169">
        <v>8.6056474999999999</v>
      </c>
      <c r="B169">
        <v>0.29191</v>
      </c>
      <c r="C169">
        <f t="shared" si="25"/>
        <v>2.512074561725</v>
      </c>
      <c r="D169">
        <v>1.7100000000000001E-2</v>
      </c>
      <c r="E169">
        <v>3.8999999999999998E-3</v>
      </c>
      <c r="F169">
        <f t="shared" si="26"/>
        <v>1721.1295</v>
      </c>
      <c r="G169">
        <f t="shared" si="27"/>
        <v>-0.29191</v>
      </c>
      <c r="H169">
        <f t="shared" si="28"/>
        <v>-502.414912345</v>
      </c>
      <c r="I169">
        <v>1</v>
      </c>
      <c r="J169">
        <f t="shared" si="29"/>
        <v>0.54298076134794071</v>
      </c>
      <c r="K169">
        <f t="shared" si="30"/>
        <v>-0.92981515177521745</v>
      </c>
      <c r="L169">
        <v>1</v>
      </c>
      <c r="M169">
        <f t="shared" si="31"/>
        <v>0.64062340335584189</v>
      </c>
      <c r="N169">
        <f t="shared" si="32"/>
        <v>0.14715657225000001</v>
      </c>
      <c r="O169">
        <f t="shared" si="33"/>
        <v>3.3562025249999995E-2</v>
      </c>
      <c r="P169">
        <f t="shared" si="34"/>
        <v>0.10847315091937557</v>
      </c>
    </row>
    <row r="170" spans="1:16" x14ac:dyDescent="0.3">
      <c r="A170">
        <v>8.6560556999999996</v>
      </c>
      <c r="B170">
        <v>0.28908</v>
      </c>
      <c r="C170">
        <f t="shared" si="25"/>
        <v>2.502292581756</v>
      </c>
      <c r="D170">
        <v>1.7100000000000001E-2</v>
      </c>
      <c r="E170">
        <v>3.8999999999999998E-3</v>
      </c>
      <c r="F170">
        <f t="shared" si="26"/>
        <v>1731.2111399999999</v>
      </c>
      <c r="G170">
        <f t="shared" si="27"/>
        <v>-0.28908</v>
      </c>
      <c r="H170">
        <f t="shared" si="28"/>
        <v>-500.45851635119999</v>
      </c>
      <c r="I170">
        <v>1</v>
      </c>
      <c r="J170">
        <f t="shared" si="29"/>
        <v>0.54882124449220526</v>
      </c>
      <c r="K170">
        <f t="shared" si="30"/>
        <v>-0.93264515177521745</v>
      </c>
      <c r="L170">
        <v>1</v>
      </c>
      <c r="M170">
        <f t="shared" si="31"/>
        <v>0.64098668140741522</v>
      </c>
      <c r="N170">
        <f t="shared" si="32"/>
        <v>0.14801855247000001</v>
      </c>
      <c r="O170">
        <f t="shared" si="33"/>
        <v>3.3758617229999996E-2</v>
      </c>
      <c r="P170">
        <f t="shared" si="34"/>
        <v>0.10988130066780223</v>
      </c>
    </row>
    <row r="171" spans="1:16" x14ac:dyDescent="0.3">
      <c r="A171">
        <v>8.708501</v>
      </c>
      <c r="B171">
        <v>0.28614000000000001</v>
      </c>
      <c r="C171">
        <f t="shared" si="25"/>
        <v>2.4918504761400002</v>
      </c>
      <c r="D171">
        <v>1.7100000000000001E-2</v>
      </c>
      <c r="E171">
        <v>3.8999999999999998E-3</v>
      </c>
      <c r="F171">
        <f t="shared" si="26"/>
        <v>1741.7002</v>
      </c>
      <c r="G171">
        <f t="shared" si="27"/>
        <v>-0.28614000000000001</v>
      </c>
      <c r="H171">
        <f t="shared" si="28"/>
        <v>-498.37009522800003</v>
      </c>
      <c r="I171">
        <v>1</v>
      </c>
      <c r="J171">
        <f t="shared" si="29"/>
        <v>0.55486176258593378</v>
      </c>
      <c r="K171">
        <f t="shared" si="30"/>
        <v>-0.93558515177521739</v>
      </c>
      <c r="L171">
        <v>1</v>
      </c>
      <c r="M171">
        <f t="shared" si="31"/>
        <v>0.64136240163284508</v>
      </c>
      <c r="N171">
        <f t="shared" si="32"/>
        <v>0.1489153671</v>
      </c>
      <c r="O171">
        <f t="shared" si="33"/>
        <v>3.3963153900000001E-2</v>
      </c>
      <c r="P171">
        <f t="shared" si="34"/>
        <v>0.11134422914237231</v>
      </c>
    </row>
    <row r="172" spans="1:16" x14ac:dyDescent="0.3">
      <c r="A172">
        <v>8.7594198999999993</v>
      </c>
      <c r="B172">
        <v>0.28322000000000003</v>
      </c>
      <c r="C172">
        <f t="shared" si="25"/>
        <v>2.480842904078</v>
      </c>
      <c r="D172">
        <v>1.7100000000000001E-2</v>
      </c>
      <c r="E172">
        <v>3.8999999999999998E-3</v>
      </c>
      <c r="F172">
        <f t="shared" si="26"/>
        <v>1751.8839799999998</v>
      </c>
      <c r="G172">
        <f t="shared" si="27"/>
        <v>-0.28322000000000003</v>
      </c>
      <c r="H172">
        <f t="shared" si="28"/>
        <v>-496.16858081560002</v>
      </c>
      <c r="I172">
        <v>1</v>
      </c>
      <c r="J172">
        <f t="shared" si="29"/>
        <v>0.56069176886027461</v>
      </c>
      <c r="K172">
        <f t="shared" si="30"/>
        <v>-0.93850515177521743</v>
      </c>
      <c r="L172">
        <v>1</v>
      </c>
      <c r="M172">
        <f t="shared" si="31"/>
        <v>0.64172502802310905</v>
      </c>
      <c r="N172">
        <f t="shared" si="32"/>
        <v>0.14978608028999998</v>
      </c>
      <c r="O172">
        <f t="shared" si="33"/>
        <v>3.4161737609999993E-2</v>
      </c>
      <c r="P172">
        <f t="shared" si="34"/>
        <v>0.11283230585210841</v>
      </c>
    </row>
    <row r="173" spans="1:16" x14ac:dyDescent="0.3">
      <c r="A173">
        <v>8.8103388999999996</v>
      </c>
      <c r="B173">
        <v>0.28050999999999998</v>
      </c>
      <c r="C173">
        <f t="shared" si="25"/>
        <v>2.4713881648389999</v>
      </c>
      <c r="D173">
        <v>1.7100000000000001E-2</v>
      </c>
      <c r="E173">
        <v>3.8999999999999998E-3</v>
      </c>
      <c r="F173">
        <f t="shared" si="26"/>
        <v>1762.0677799999999</v>
      </c>
      <c r="G173">
        <f t="shared" si="27"/>
        <v>-0.28050999999999998</v>
      </c>
      <c r="H173">
        <f t="shared" si="28"/>
        <v>-494.2776329678</v>
      </c>
      <c r="I173">
        <v>1</v>
      </c>
      <c r="J173">
        <f t="shared" si="29"/>
        <v>0.5664879944245238</v>
      </c>
      <c r="K173">
        <f t="shared" si="30"/>
        <v>-0.94121515177521742</v>
      </c>
      <c r="L173">
        <v>1</v>
      </c>
      <c r="M173">
        <f t="shared" si="31"/>
        <v>0.64208555325320538</v>
      </c>
      <c r="N173">
        <f t="shared" si="32"/>
        <v>0.15065679519</v>
      </c>
      <c r="O173">
        <f t="shared" si="33"/>
        <v>3.4360321709999996E-2</v>
      </c>
      <c r="P173">
        <f t="shared" si="34"/>
        <v>0.11411248162201204</v>
      </c>
    </row>
    <row r="174" spans="1:16" x14ac:dyDescent="0.3">
      <c r="A174">
        <v>8.8607479999999992</v>
      </c>
      <c r="B174">
        <v>0.27742</v>
      </c>
      <c r="C174">
        <f t="shared" si="25"/>
        <v>2.4581487101599997</v>
      </c>
      <c r="D174">
        <v>1.7100000000000001E-2</v>
      </c>
      <c r="E174">
        <v>3.8999999999999998E-3</v>
      </c>
      <c r="F174">
        <f t="shared" si="26"/>
        <v>1772.1495999999997</v>
      </c>
      <c r="G174">
        <f t="shared" si="27"/>
        <v>-0.27742</v>
      </c>
      <c r="H174">
        <f t="shared" si="28"/>
        <v>-491.62974203199997</v>
      </c>
      <c r="I174">
        <v>1</v>
      </c>
      <c r="J174">
        <f t="shared" si="29"/>
        <v>0.57219327299858413</v>
      </c>
      <c r="K174">
        <f t="shared" si="30"/>
        <v>-0.94430515177521746</v>
      </c>
      <c r="L174">
        <v>1</v>
      </c>
      <c r="M174">
        <f t="shared" si="31"/>
        <v>0.64244042158051196</v>
      </c>
      <c r="N174">
        <f t="shared" si="32"/>
        <v>0.1515187908</v>
      </c>
      <c r="O174">
        <f t="shared" si="33"/>
        <v>3.4556917199999995E-2</v>
      </c>
      <c r="P174">
        <f t="shared" si="34"/>
        <v>0.11578902219470551</v>
      </c>
    </row>
    <row r="175" spans="1:16" x14ac:dyDescent="0.3">
      <c r="A175">
        <v>8.9147207000000002</v>
      </c>
      <c r="B175">
        <v>0.27467000000000003</v>
      </c>
      <c r="C175">
        <f t="shared" si="25"/>
        <v>2.4486063346690004</v>
      </c>
      <c r="D175">
        <v>1.7100000000000001E-2</v>
      </c>
      <c r="E175">
        <v>3.8999999999999998E-3</v>
      </c>
      <c r="F175">
        <f t="shared" si="26"/>
        <v>1782.9441400000001</v>
      </c>
      <c r="G175">
        <f t="shared" si="27"/>
        <v>-0.27467000000000003</v>
      </c>
      <c r="H175">
        <f t="shared" si="28"/>
        <v>-489.72126693380005</v>
      </c>
      <c r="I175">
        <v>1</v>
      </c>
      <c r="J175">
        <f t="shared" si="29"/>
        <v>0.57826600916981807</v>
      </c>
      <c r="K175">
        <f t="shared" si="30"/>
        <v>-0.94705515177521749</v>
      </c>
      <c r="L175">
        <v>1</v>
      </c>
      <c r="M175">
        <f t="shared" si="31"/>
        <v>0.64281814577036267</v>
      </c>
      <c r="N175">
        <f t="shared" si="32"/>
        <v>0.15244172397</v>
      </c>
      <c r="O175">
        <f t="shared" si="33"/>
        <v>3.4767410729999997E-2</v>
      </c>
      <c r="P175">
        <f t="shared" si="34"/>
        <v>0.11702787130485481</v>
      </c>
    </row>
    <row r="176" spans="1:16" x14ac:dyDescent="0.3">
      <c r="A176">
        <v>8.9656395999999994</v>
      </c>
      <c r="B176">
        <v>0.27159</v>
      </c>
      <c r="C176">
        <f t="shared" si="25"/>
        <v>2.434978058964</v>
      </c>
      <c r="D176">
        <v>1.7100000000000001E-2</v>
      </c>
      <c r="E176">
        <v>3.8999999999999998E-3</v>
      </c>
      <c r="F176">
        <f t="shared" si="26"/>
        <v>1793.1279199999999</v>
      </c>
      <c r="G176">
        <f t="shared" si="27"/>
        <v>-0.27159</v>
      </c>
      <c r="H176">
        <f t="shared" si="28"/>
        <v>-486.99561179279999</v>
      </c>
      <c r="I176">
        <v>1</v>
      </c>
      <c r="J176">
        <f t="shared" si="29"/>
        <v>0.58396153619413205</v>
      </c>
      <c r="K176">
        <f t="shared" si="30"/>
        <v>-0.95013515177521746</v>
      </c>
      <c r="L176">
        <v>1</v>
      </c>
      <c r="M176">
        <f t="shared" si="31"/>
        <v>0.64317240755127503</v>
      </c>
      <c r="N176">
        <f t="shared" si="32"/>
        <v>0.15331243715999998</v>
      </c>
      <c r="O176">
        <f t="shared" si="33"/>
        <v>3.4965994439999995E-2</v>
      </c>
      <c r="P176">
        <f t="shared" si="34"/>
        <v>0.11868431262394245</v>
      </c>
    </row>
    <row r="177" spans="1:16" x14ac:dyDescent="0.3">
      <c r="A177">
        <v>9.0175762000000006</v>
      </c>
      <c r="B177">
        <v>0.26857999999999999</v>
      </c>
      <c r="C177">
        <f t="shared" si="25"/>
        <v>2.4219406157960002</v>
      </c>
      <c r="D177">
        <v>1.7100000000000001E-2</v>
      </c>
      <c r="E177">
        <v>3.8999999999999998E-3</v>
      </c>
      <c r="F177">
        <f t="shared" si="26"/>
        <v>1803.5152400000002</v>
      </c>
      <c r="G177">
        <f t="shared" si="27"/>
        <v>-0.26857999999999999</v>
      </c>
      <c r="H177">
        <f t="shared" si="28"/>
        <v>-484.38812315920006</v>
      </c>
      <c r="I177">
        <v>1</v>
      </c>
      <c r="J177">
        <f t="shared" si="29"/>
        <v>0.58973767156140655</v>
      </c>
      <c r="K177">
        <f t="shared" si="30"/>
        <v>-0.95314515177521741</v>
      </c>
      <c r="L177">
        <v>1</v>
      </c>
      <c r="M177">
        <f t="shared" si="31"/>
        <v>0.64353168317111953</v>
      </c>
      <c r="N177">
        <f t="shared" si="32"/>
        <v>0.15420055302000002</v>
      </c>
      <c r="O177">
        <f t="shared" si="33"/>
        <v>3.5168547180000002E-2</v>
      </c>
      <c r="P177">
        <f t="shared" si="34"/>
        <v>0.12024436840409786</v>
      </c>
    </row>
    <row r="178" spans="1:16" x14ac:dyDescent="0.3">
      <c r="A178">
        <v>9.0679853999999995</v>
      </c>
      <c r="B178">
        <v>0.26551999999999998</v>
      </c>
      <c r="C178">
        <f t="shared" si="25"/>
        <v>2.4077314834079995</v>
      </c>
      <c r="D178">
        <v>1.7100000000000001E-2</v>
      </c>
      <c r="E178">
        <v>3.8999999999999998E-3</v>
      </c>
      <c r="F178">
        <f t="shared" si="26"/>
        <v>1813.59708</v>
      </c>
      <c r="G178">
        <f t="shared" si="27"/>
        <v>-0.26551999999999998</v>
      </c>
      <c r="H178">
        <f t="shared" si="28"/>
        <v>-481.54629668159987</v>
      </c>
      <c r="I178">
        <v>1</v>
      </c>
      <c r="J178">
        <f t="shared" si="29"/>
        <v>0.59531221015254154</v>
      </c>
      <c r="K178">
        <f t="shared" si="30"/>
        <v>-0.95620515177521748</v>
      </c>
      <c r="L178">
        <v>1</v>
      </c>
      <c r="M178">
        <f t="shared" si="31"/>
        <v>0.64387841947148805</v>
      </c>
      <c r="N178">
        <f t="shared" si="32"/>
        <v>0.15506255033999999</v>
      </c>
      <c r="O178">
        <f t="shared" si="33"/>
        <v>3.536514306E-2</v>
      </c>
      <c r="P178">
        <f t="shared" si="34"/>
        <v>0.12189903890372944</v>
      </c>
    </row>
    <row r="179" spans="1:16" x14ac:dyDescent="0.3">
      <c r="A179">
        <v>9.1183945000000008</v>
      </c>
      <c r="B179">
        <v>0.26279000000000002</v>
      </c>
      <c r="C179">
        <f t="shared" si="25"/>
        <v>2.3962228906550003</v>
      </c>
      <c r="D179">
        <v>1.7100000000000001E-2</v>
      </c>
      <c r="E179">
        <v>3.8999999999999998E-3</v>
      </c>
      <c r="F179">
        <f t="shared" si="26"/>
        <v>1823.6789000000001</v>
      </c>
      <c r="G179">
        <f t="shared" si="27"/>
        <v>-0.26279000000000002</v>
      </c>
      <c r="H179">
        <f t="shared" si="28"/>
        <v>-479.24457813100003</v>
      </c>
      <c r="I179">
        <v>1</v>
      </c>
      <c r="J179">
        <f t="shared" si="29"/>
        <v>0.60085583448832014</v>
      </c>
      <c r="K179">
        <f t="shared" si="30"/>
        <v>-0.95893515177521738</v>
      </c>
      <c r="L179">
        <v>1</v>
      </c>
      <c r="M179">
        <f t="shared" si="31"/>
        <v>0.64422323290517347</v>
      </c>
      <c r="N179">
        <f t="shared" si="32"/>
        <v>0.15592454595000002</v>
      </c>
      <c r="O179">
        <f t="shared" si="33"/>
        <v>3.5561738549999999E-2</v>
      </c>
      <c r="P179">
        <f t="shared" si="34"/>
        <v>0.12322563437004388</v>
      </c>
    </row>
    <row r="180" spans="1:16" x14ac:dyDescent="0.3">
      <c r="A180">
        <v>9.1688036999999998</v>
      </c>
      <c r="B180">
        <v>0.25975999999999999</v>
      </c>
      <c r="C180">
        <f t="shared" si="25"/>
        <v>2.3816884491120001</v>
      </c>
      <c r="D180">
        <v>1.7100000000000001E-2</v>
      </c>
      <c r="E180">
        <v>3.8999999999999998E-3</v>
      </c>
      <c r="F180">
        <f t="shared" si="26"/>
        <v>1833.7607399999999</v>
      </c>
      <c r="G180">
        <f t="shared" si="27"/>
        <v>-0.25975999999999999</v>
      </c>
      <c r="H180">
        <f t="shared" si="28"/>
        <v>-476.33768982240002</v>
      </c>
      <c r="I180">
        <v>1</v>
      </c>
      <c r="J180">
        <f t="shared" si="29"/>
        <v>0.60636890730861892</v>
      </c>
      <c r="K180">
        <f t="shared" si="30"/>
        <v>-0.96196515177521746</v>
      </c>
      <c r="L180">
        <v>1</v>
      </c>
      <c r="M180">
        <f t="shared" si="31"/>
        <v>0.64456614603459605</v>
      </c>
      <c r="N180">
        <f t="shared" si="32"/>
        <v>0.15678654327</v>
      </c>
      <c r="O180">
        <f t="shared" si="33"/>
        <v>3.5758334429999997E-2</v>
      </c>
      <c r="P180">
        <f t="shared" si="34"/>
        <v>0.12485412804062142</v>
      </c>
    </row>
    <row r="181" spans="1:16" x14ac:dyDescent="0.3">
      <c r="A181">
        <v>9.2197216999999991</v>
      </c>
      <c r="B181">
        <v>0.25691000000000003</v>
      </c>
      <c r="C181">
        <f t="shared" si="25"/>
        <v>2.3686387019469999</v>
      </c>
      <c r="D181">
        <v>1.7100000000000001E-2</v>
      </c>
      <c r="E181">
        <v>3.8999999999999998E-3</v>
      </c>
      <c r="F181">
        <f t="shared" si="26"/>
        <v>1843.9443399999998</v>
      </c>
      <c r="G181">
        <f t="shared" si="27"/>
        <v>-0.25691000000000003</v>
      </c>
      <c r="H181">
        <f t="shared" si="28"/>
        <v>-473.72774038939997</v>
      </c>
      <c r="I181">
        <v>1</v>
      </c>
      <c r="J181">
        <f t="shared" si="29"/>
        <v>0.6119069402970656</v>
      </c>
      <c r="K181">
        <f t="shared" si="30"/>
        <v>-0.96481515177521748</v>
      </c>
      <c r="L181">
        <v>1</v>
      </c>
      <c r="M181">
        <f t="shared" si="31"/>
        <v>0.64491061168647745</v>
      </c>
      <c r="N181">
        <f t="shared" si="32"/>
        <v>0.15765724106999998</v>
      </c>
      <c r="O181">
        <f t="shared" si="33"/>
        <v>3.5956914629999996E-2</v>
      </c>
      <c r="P181">
        <f t="shared" si="34"/>
        <v>0.12629038438874005</v>
      </c>
    </row>
    <row r="182" spans="1:16" x14ac:dyDescent="0.3">
      <c r="A182">
        <v>9.2721680000000006</v>
      </c>
      <c r="B182">
        <v>0.25369000000000003</v>
      </c>
      <c r="C182">
        <f t="shared" si="25"/>
        <v>2.3522562999200005</v>
      </c>
      <c r="D182">
        <v>1.7100000000000001E-2</v>
      </c>
      <c r="E182">
        <v>3.8999999999999998E-3</v>
      </c>
      <c r="F182">
        <f t="shared" si="26"/>
        <v>1854.4336000000001</v>
      </c>
      <c r="G182">
        <f t="shared" si="27"/>
        <v>-0.25369000000000003</v>
      </c>
      <c r="H182">
        <f t="shared" si="28"/>
        <v>-470.4512599840001</v>
      </c>
      <c r="I182">
        <v>1</v>
      </c>
      <c r="J182">
        <f t="shared" si="29"/>
        <v>0.6175793125073642</v>
      </c>
      <c r="K182">
        <f t="shared" si="30"/>
        <v>-0.96803515177521748</v>
      </c>
      <c r="L182">
        <v>1</v>
      </c>
      <c r="M182">
        <f t="shared" si="31"/>
        <v>0.6452634332379581</v>
      </c>
      <c r="N182">
        <f t="shared" si="32"/>
        <v>0.15855407280000003</v>
      </c>
      <c r="O182">
        <f t="shared" si="33"/>
        <v>3.6161455199999998E-2</v>
      </c>
      <c r="P182">
        <f t="shared" si="34"/>
        <v>0.12805619053725936</v>
      </c>
    </row>
    <row r="183" spans="1:16" x14ac:dyDescent="0.3">
      <c r="A183">
        <v>9.2986454999999992</v>
      </c>
      <c r="B183">
        <v>0.25159999999999999</v>
      </c>
      <c r="C183">
        <f t="shared" si="25"/>
        <v>2.3395392077999997</v>
      </c>
      <c r="D183">
        <v>1.7100000000000001E-2</v>
      </c>
      <c r="E183">
        <v>3.8999999999999998E-3</v>
      </c>
      <c r="F183">
        <f t="shared" si="26"/>
        <v>1859.7290999999998</v>
      </c>
      <c r="G183">
        <f t="shared" si="27"/>
        <v>-0.25159999999999999</v>
      </c>
      <c r="H183">
        <f t="shared" si="28"/>
        <v>-467.90784155999995</v>
      </c>
      <c r="I183">
        <v>1</v>
      </c>
      <c r="J183">
        <f t="shared" si="29"/>
        <v>0.62043083195653304</v>
      </c>
      <c r="K183">
        <f t="shared" si="30"/>
        <v>-0.97012515177521741</v>
      </c>
      <c r="L183">
        <v>1</v>
      </c>
      <c r="M183">
        <f t="shared" si="31"/>
        <v>0.64544079774769636</v>
      </c>
      <c r="N183">
        <f t="shared" si="32"/>
        <v>0.15900683804999999</v>
      </c>
      <c r="O183">
        <f t="shared" si="33"/>
        <v>3.6264717449999997E-2</v>
      </c>
      <c r="P183">
        <f t="shared" si="34"/>
        <v>0.12941279852752108</v>
      </c>
    </row>
    <row r="184" spans="1:16" x14ac:dyDescent="0.3">
      <c r="C184">
        <f t="shared" si="25"/>
        <v>0</v>
      </c>
      <c r="D184">
        <v>1.6E-2</v>
      </c>
      <c r="E184">
        <v>3.5999999999999999E-3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1:16" x14ac:dyDescent="0.3">
      <c r="C185">
        <f t="shared" si="25"/>
        <v>0</v>
      </c>
      <c r="D185">
        <v>1.6E-2</v>
      </c>
      <c r="E185">
        <v>3.5999999999999999E-3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1:16" x14ac:dyDescent="0.3">
      <c r="C186">
        <f t="shared" si="25"/>
        <v>0</v>
      </c>
      <c r="D186">
        <v>1.6E-2</v>
      </c>
      <c r="E186">
        <v>3.5999999999999999E-3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1:16" x14ac:dyDescent="0.3">
      <c r="C187">
        <f t="shared" si="25"/>
        <v>0</v>
      </c>
      <c r="D187">
        <v>1.6E-2</v>
      </c>
      <c r="E187">
        <v>3.5999999999999999E-3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1:16" x14ac:dyDescent="0.3">
      <c r="C188">
        <f t="shared" si="25"/>
        <v>0</v>
      </c>
      <c r="D188">
        <v>1.6E-2</v>
      </c>
      <c r="E188">
        <v>3.5999999999999999E-3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1:16" x14ac:dyDescent="0.3">
      <c r="C189">
        <f t="shared" si="25"/>
        <v>0</v>
      </c>
      <c r="D189">
        <v>1.6E-2</v>
      </c>
      <c r="E189">
        <v>3.5999999999999999E-3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1:16" x14ac:dyDescent="0.3">
      <c r="C190">
        <f t="shared" si="25"/>
        <v>0</v>
      </c>
      <c r="D190">
        <v>1.6E-2</v>
      </c>
      <c r="E190">
        <v>3.5999999999999999E-3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1:16" x14ac:dyDescent="0.3">
      <c r="C191">
        <f t="shared" si="25"/>
        <v>0</v>
      </c>
      <c r="D191">
        <v>1.6E-2</v>
      </c>
      <c r="E191">
        <v>3.5999999999999999E-3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1:16" x14ac:dyDescent="0.3">
      <c r="C192">
        <f t="shared" si="25"/>
        <v>0</v>
      </c>
      <c r="D192">
        <v>1.6E-2</v>
      </c>
      <c r="E192">
        <v>3.5999999999999999E-3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D193">
        <v>1.6E-2</v>
      </c>
      <c r="E193">
        <v>3.5999999999999999E-3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D194">
        <v>1.6E-2</v>
      </c>
      <c r="E194">
        <v>3.5999999999999999E-3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D195">
        <v>1.6E-2</v>
      </c>
      <c r="E195">
        <v>3.5999999999999999E-3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D196">
        <v>1.6E-2</v>
      </c>
      <c r="E196">
        <v>3.5999999999999999E-3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D197">
        <v>1.6E-2</v>
      </c>
      <c r="E197">
        <v>3.5999999999999999E-3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D198">
        <v>1.6E-2</v>
      </c>
      <c r="E198">
        <v>3.5999999999999999E-3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D199">
        <v>1.6E-2</v>
      </c>
      <c r="E199">
        <v>3.5999999999999999E-3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D200">
        <v>1.6E-2</v>
      </c>
      <c r="E200">
        <v>3.5999999999999999E-3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D201">
        <v>1.6E-2</v>
      </c>
      <c r="E201">
        <v>3.5999999999999999E-3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D202">
        <v>1.6E-2</v>
      </c>
      <c r="E202">
        <v>3.5999999999999999E-3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D203">
        <v>1.6E-2</v>
      </c>
      <c r="E203">
        <v>3.5999999999999999E-3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D204">
        <v>1.6E-2</v>
      </c>
      <c r="E204">
        <v>3.5999999999999999E-3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D205">
        <v>1.6E-2</v>
      </c>
      <c r="E205">
        <v>3.5999999999999999E-3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D206">
        <v>1.6E-2</v>
      </c>
      <c r="E206">
        <v>3.5999999999999999E-3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D207">
        <v>1.6E-2</v>
      </c>
      <c r="E207">
        <v>3.5999999999999999E-3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D208">
        <v>1.6E-2</v>
      </c>
      <c r="E208">
        <v>3.5999999999999999E-3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D209">
        <v>1.6E-2</v>
      </c>
      <c r="E209">
        <v>3.5999999999999999E-3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D210">
        <v>1.6E-2</v>
      </c>
      <c r="E210">
        <v>3.5999999999999999E-3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D211">
        <v>1.6E-2</v>
      </c>
      <c r="E211">
        <v>3.5999999999999999E-3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D212">
        <v>1.6E-2</v>
      </c>
      <c r="E212">
        <v>3.5999999999999999E-3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D213">
        <v>1.6E-2</v>
      </c>
      <c r="E213">
        <v>3.5999999999999999E-3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D214">
        <v>1.6E-2</v>
      </c>
      <c r="E214">
        <v>3.5999999999999999E-3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D215">
        <v>1.6E-2</v>
      </c>
      <c r="E215">
        <v>3.5999999999999999E-3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D216">
        <v>1.6E-2</v>
      </c>
      <c r="E216">
        <v>3.5999999999999999E-3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D217">
        <v>1.6E-2</v>
      </c>
      <c r="E217">
        <v>3.5999999999999999E-3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D218">
        <v>1.6E-2</v>
      </c>
      <c r="E218">
        <v>3.5999999999999999E-3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D219">
        <v>1.6E-2</v>
      </c>
      <c r="E219">
        <v>3.5999999999999999E-3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D220">
        <v>1.6E-2</v>
      </c>
      <c r="E220">
        <v>3.5999999999999999E-3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D221">
        <v>1.6E-2</v>
      </c>
      <c r="E221">
        <v>3.5999999999999999E-3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D222">
        <v>1.6E-2</v>
      </c>
      <c r="E222">
        <v>3.5999999999999999E-3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D223">
        <v>1.6E-2</v>
      </c>
      <c r="E223">
        <v>3.5999999999999999E-3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D224">
        <v>1.6E-2</v>
      </c>
      <c r="E224">
        <v>3.5999999999999999E-3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1.6E-2</v>
      </c>
      <c r="E225">
        <v>3.5999999999999999E-3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1.6E-2</v>
      </c>
      <c r="E226">
        <v>3.5999999999999999E-3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1.6E-2</v>
      </c>
      <c r="E227">
        <v>3.5999999999999999E-3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1.6E-2</v>
      </c>
      <c r="E228">
        <v>3.5999999999999999E-3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1.6E-2</v>
      </c>
      <c r="E229">
        <v>3.5999999999999999E-3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1.6E-2</v>
      </c>
      <c r="E230">
        <v>3.5999999999999999E-3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1.6E-2</v>
      </c>
      <c r="E231">
        <v>3.5999999999999999E-3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1.6E-2</v>
      </c>
      <c r="E232">
        <v>3.5999999999999999E-3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1.6E-2</v>
      </c>
      <c r="E233">
        <v>3.5999999999999999E-3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1.6E-2</v>
      </c>
      <c r="E234">
        <v>3.5999999999999999E-3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1.6E-2</v>
      </c>
      <c r="E235">
        <v>3.5999999999999999E-3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1.6E-2</v>
      </c>
      <c r="E236">
        <v>3.5999999999999999E-3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1.6E-2</v>
      </c>
      <c r="E237">
        <v>3.5999999999999999E-3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1.6E-2</v>
      </c>
      <c r="E238">
        <v>3.5999999999999999E-3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1.6E-2</v>
      </c>
      <c r="E239">
        <v>3.5999999999999999E-3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1.6E-2</v>
      </c>
      <c r="E240">
        <v>3.5999999999999999E-3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1.6E-2</v>
      </c>
      <c r="E241">
        <v>3.5999999999999999E-3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1.6E-2</v>
      </c>
      <c r="E242">
        <v>3.5999999999999999E-3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1.6E-2</v>
      </c>
      <c r="E243">
        <v>3.5999999999999999E-3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1.6E-2</v>
      </c>
      <c r="E244">
        <v>3.5999999999999999E-3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1.6E-2</v>
      </c>
      <c r="E245">
        <v>3.5999999999999999E-3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1.6E-2</v>
      </c>
      <c r="E246">
        <v>3.5999999999999999E-3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1.6E-2</v>
      </c>
      <c r="E247">
        <v>3.5999999999999999E-3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1.6E-2</v>
      </c>
      <c r="E248">
        <v>3.5999999999999999E-3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1.6E-2</v>
      </c>
      <c r="E249">
        <v>3.5999999999999999E-3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1.6E-2</v>
      </c>
      <c r="E250">
        <v>3.5999999999999999E-3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1.6E-2</v>
      </c>
      <c r="E251">
        <v>3.5999999999999999E-3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1.6E-2</v>
      </c>
      <c r="E252">
        <v>3.5999999999999999E-3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1.6E-2</v>
      </c>
      <c r="E253">
        <v>3.5999999999999999E-3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1.6E-2</v>
      </c>
      <c r="E254">
        <v>3.5999999999999999E-3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1.6E-2</v>
      </c>
      <c r="E255">
        <v>3.5999999999999999E-3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1.6E-2</v>
      </c>
      <c r="E256">
        <v>3.5999999999999999E-3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1.6E-2</v>
      </c>
      <c r="E257">
        <v>3.5999999999999999E-3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1.6E-2</v>
      </c>
      <c r="E258">
        <v>3.5999999999999999E-3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1.6E-2</v>
      </c>
      <c r="E259">
        <v>3.5999999999999999E-3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03" si="46">A260*B260</f>
        <v>0</v>
      </c>
      <c r="D260">
        <v>1.6E-2</v>
      </c>
      <c r="E260">
        <v>3.5999999999999999E-3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03" si="55">-K260-M260-N260-O260</f>
        <v>#NUM!</v>
      </c>
    </row>
    <row r="261" spans="3:16" x14ac:dyDescent="0.3">
      <c r="C261">
        <f t="shared" si="46"/>
        <v>0</v>
      </c>
      <c r="D261">
        <v>1.6E-2</v>
      </c>
      <c r="E261">
        <v>3.5999999999999999E-3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1.6E-2</v>
      </c>
      <c r="E262">
        <v>3.5999999999999999E-3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1.6E-2</v>
      </c>
      <c r="E263">
        <v>3.5999999999999999E-3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1.6E-2</v>
      </c>
      <c r="E264">
        <v>3.5999999999999999E-3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1.6E-2</v>
      </c>
      <c r="E265">
        <v>3.5999999999999999E-3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1.6E-2</v>
      </c>
      <c r="E266">
        <v>3.5999999999999999E-3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1.6E-2</v>
      </c>
      <c r="E267">
        <v>3.5999999999999999E-3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1.6E-2</v>
      </c>
      <c r="E268">
        <v>3.5999999999999999E-3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1.6E-2</v>
      </c>
      <c r="E269">
        <v>3.5999999999999999E-3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1.6E-2</v>
      </c>
      <c r="E270">
        <v>3.5999999999999999E-3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1.6E-2</v>
      </c>
      <c r="E271">
        <v>3.5999999999999999E-3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1.6E-2</v>
      </c>
      <c r="E272">
        <v>3.5999999999999999E-3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1.6E-2</v>
      </c>
      <c r="E273">
        <v>3.5999999999999999E-3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1.6E-2</v>
      </c>
      <c r="E274">
        <v>3.5999999999999999E-3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1.6E-2</v>
      </c>
      <c r="E275">
        <v>3.5999999999999999E-3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1.6E-2</v>
      </c>
      <c r="E276">
        <v>3.5999999999999999E-3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1.6E-2</v>
      </c>
      <c r="E277">
        <v>3.5999999999999999E-3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1.6E-2</v>
      </c>
      <c r="E278">
        <v>3.5999999999999999E-3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1.6E-2</v>
      </c>
      <c r="E279">
        <v>3.5999999999999999E-3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1.6E-2</v>
      </c>
      <c r="E280">
        <v>3.5999999999999999E-3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1.6E-2</v>
      </c>
      <c r="E281">
        <v>3.5999999999999999E-3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1.6E-2</v>
      </c>
      <c r="E282">
        <v>3.5999999999999999E-3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1.6E-2</v>
      </c>
      <c r="E283">
        <v>3.5999999999999999E-3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1.6E-2</v>
      </c>
      <c r="E284">
        <v>3.5999999999999999E-3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1.6E-2</v>
      </c>
      <c r="E285">
        <v>3.5999999999999999E-3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1.6E-2</v>
      </c>
      <c r="E286">
        <v>3.5999999999999999E-3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1.6E-2</v>
      </c>
      <c r="E287">
        <v>3.5999999999999999E-3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1.6E-2</v>
      </c>
      <c r="E288">
        <v>3.5999999999999999E-3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1.6E-2</v>
      </c>
      <c r="E289">
        <v>3.5999999999999999E-3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1.6E-2</v>
      </c>
      <c r="E290">
        <v>3.5999999999999999E-3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1.6E-2</v>
      </c>
      <c r="E291">
        <v>3.5999999999999999E-3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1.6E-2</v>
      </c>
      <c r="E292">
        <v>3.5999999999999999E-3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1.6E-2</v>
      </c>
      <c r="E293">
        <v>3.5999999999999999E-3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1.6E-2</v>
      </c>
      <c r="E294">
        <v>3.5999999999999999E-3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1.6E-2</v>
      </c>
      <c r="E295">
        <v>3.5999999999999999E-3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1.6E-2</v>
      </c>
      <c r="E296">
        <v>3.5999999999999999E-3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1.6E-2</v>
      </c>
      <c r="E297">
        <v>3.5999999999999999E-3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1.6E-2</v>
      </c>
      <c r="E298">
        <v>3.5999999999999999E-3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1.6E-2</v>
      </c>
      <c r="E299">
        <v>3.5999999999999999E-3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1.6E-2</v>
      </c>
      <c r="E300">
        <v>3.5999999999999999E-3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1.6E-2</v>
      </c>
      <c r="E301">
        <v>3.5999999999999999E-3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1.6E-2</v>
      </c>
      <c r="E302">
        <v>3.5999999999999999E-3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1.6E-2</v>
      </c>
      <c r="E303">
        <v>3.5999999999999999E-3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23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23" si="28">K194-$I$1</f>
        <v>-0.65273690721887978</v>
      </c>
      <c r="N194">
        <v>2004.2352000000001</v>
      </c>
      <c r="O194">
        <f t="shared" ref="O194:O232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2026-06-15T02:19:23Z</dcterms:modified>
</cp:coreProperties>
</file>