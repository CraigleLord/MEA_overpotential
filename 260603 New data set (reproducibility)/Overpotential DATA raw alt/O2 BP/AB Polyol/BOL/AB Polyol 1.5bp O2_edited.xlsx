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ential DATA raw alt\O2 BP\AB Polyol\BOL\"/>
    </mc:Choice>
  </mc:AlternateContent>
  <xr:revisionPtr revIDLastSave="0" documentId="13_ncr:1_{C81D2863-4946-4EBB-AA99-1E9D99E7C58E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3" sheetId="2" r:id="rId2"/>
    <sheet name="Sheet2" sheetId="3" r:id="rId3"/>
  </sheets>
  <calcPr calcId="191029"/>
</workbook>
</file>

<file path=xl/calcChain.xml><?xml version="1.0" encoding="utf-8"?>
<calcChain xmlns="http://schemas.openxmlformats.org/spreadsheetml/2006/main">
  <c r="O232" i="3" l="1"/>
  <c r="O231" i="3"/>
  <c r="O230" i="3"/>
  <c r="O229" i="3"/>
  <c r="O228" i="3"/>
  <c r="O227" i="3"/>
  <c r="O226" i="3"/>
  <c r="O225" i="3"/>
  <c r="O224" i="3"/>
  <c r="O223" i="3"/>
  <c r="I223" i="3"/>
  <c r="K223" i="3" s="1"/>
  <c r="B223" i="3"/>
  <c r="E223" i="3" s="1"/>
  <c r="O222" i="3"/>
  <c r="I222" i="3"/>
  <c r="K222" i="3" s="1"/>
  <c r="E222" i="3"/>
  <c r="B222" i="3"/>
  <c r="O221" i="3"/>
  <c r="K221" i="3"/>
  <c r="I221" i="3"/>
  <c r="B221" i="3"/>
  <c r="E221" i="3" s="1"/>
  <c r="O220" i="3"/>
  <c r="I220" i="3"/>
  <c r="K220" i="3" s="1"/>
  <c r="B220" i="3"/>
  <c r="E220" i="3" s="1"/>
  <c r="O219" i="3"/>
  <c r="K219" i="3"/>
  <c r="I219" i="3"/>
  <c r="B219" i="3"/>
  <c r="E219" i="3" s="1"/>
  <c r="O218" i="3"/>
  <c r="I218" i="3"/>
  <c r="K218" i="3" s="1"/>
  <c r="B218" i="3"/>
  <c r="E218" i="3" s="1"/>
  <c r="O217" i="3"/>
  <c r="I217" i="3"/>
  <c r="K217" i="3" s="1"/>
  <c r="B217" i="3"/>
  <c r="E217" i="3" s="1"/>
  <c r="O216" i="3"/>
  <c r="I216" i="3"/>
  <c r="K216" i="3" s="1"/>
  <c r="E216" i="3"/>
  <c r="B216" i="3"/>
  <c r="O215" i="3"/>
  <c r="I215" i="3"/>
  <c r="K215" i="3" s="1"/>
  <c r="B215" i="3"/>
  <c r="E215" i="3" s="1"/>
  <c r="O214" i="3"/>
  <c r="I214" i="3"/>
  <c r="K214" i="3" s="1"/>
  <c r="E214" i="3"/>
  <c r="B214" i="3"/>
  <c r="O213" i="3"/>
  <c r="K213" i="3"/>
  <c r="I213" i="3"/>
  <c r="B213" i="3"/>
  <c r="E213" i="3" s="1"/>
  <c r="O212" i="3"/>
  <c r="I212" i="3"/>
  <c r="K212" i="3" s="1"/>
  <c r="B212" i="3"/>
  <c r="E212" i="3" s="1"/>
  <c r="O211" i="3"/>
  <c r="K211" i="3"/>
  <c r="I211" i="3"/>
  <c r="B211" i="3"/>
  <c r="E211" i="3" s="1"/>
  <c r="O210" i="3"/>
  <c r="I210" i="3"/>
  <c r="K210" i="3" s="1"/>
  <c r="B210" i="3"/>
  <c r="E210" i="3" s="1"/>
  <c r="O209" i="3"/>
  <c r="I209" i="3"/>
  <c r="K209" i="3" s="1"/>
  <c r="B209" i="3"/>
  <c r="E209" i="3" s="1"/>
  <c r="O208" i="3"/>
  <c r="I208" i="3"/>
  <c r="K208" i="3" s="1"/>
  <c r="E208" i="3"/>
  <c r="B208" i="3"/>
  <c r="O207" i="3"/>
  <c r="I207" i="3"/>
  <c r="K207" i="3" s="1"/>
  <c r="B207" i="3"/>
  <c r="E207" i="3" s="1"/>
  <c r="O206" i="3"/>
  <c r="I206" i="3"/>
  <c r="K206" i="3" s="1"/>
  <c r="E206" i="3"/>
  <c r="B206" i="3"/>
  <c r="O205" i="3"/>
  <c r="K205" i="3"/>
  <c r="I205" i="3"/>
  <c r="B205" i="3"/>
  <c r="E205" i="3" s="1"/>
  <c r="O204" i="3"/>
  <c r="I204" i="3"/>
  <c r="K204" i="3" s="1"/>
  <c r="B204" i="3"/>
  <c r="E204" i="3" s="1"/>
  <c r="O203" i="3"/>
  <c r="K203" i="3"/>
  <c r="I203" i="3"/>
  <c r="B203" i="3"/>
  <c r="E203" i="3" s="1"/>
  <c r="O202" i="3"/>
  <c r="I202" i="3"/>
  <c r="K202" i="3" s="1"/>
  <c r="B202" i="3"/>
  <c r="E202" i="3" s="1"/>
  <c r="O201" i="3"/>
  <c r="I201" i="3"/>
  <c r="K201" i="3" s="1"/>
  <c r="B201" i="3"/>
  <c r="E201" i="3" s="1"/>
  <c r="O200" i="3"/>
  <c r="I200" i="3"/>
  <c r="K200" i="3" s="1"/>
  <c r="E200" i="3"/>
  <c r="B200" i="3"/>
  <c r="O199" i="3"/>
  <c r="K199" i="3"/>
  <c r="I199" i="3"/>
  <c r="B199" i="3"/>
  <c r="E199" i="3" s="1"/>
  <c r="O198" i="3"/>
  <c r="I198" i="3"/>
  <c r="K198" i="3" s="1"/>
  <c r="E198" i="3"/>
  <c r="B198" i="3"/>
  <c r="O197" i="3"/>
  <c r="K197" i="3"/>
  <c r="I197" i="3"/>
  <c r="B197" i="3"/>
  <c r="E197" i="3" s="1"/>
  <c r="O196" i="3"/>
  <c r="I196" i="3"/>
  <c r="K196" i="3" s="1"/>
  <c r="B196" i="3"/>
  <c r="E196" i="3" s="1"/>
  <c r="O195" i="3"/>
  <c r="K195" i="3"/>
  <c r="I195" i="3"/>
  <c r="F195" i="3"/>
  <c r="B195" i="3"/>
  <c r="E195" i="3" s="1"/>
  <c r="O194" i="3"/>
  <c r="I194" i="3"/>
  <c r="F194" i="3"/>
  <c r="B194" i="3"/>
  <c r="E194" i="3" s="1"/>
  <c r="O193" i="3"/>
  <c r="I193" i="3"/>
  <c r="F193" i="3"/>
  <c r="E193" i="3"/>
  <c r="B193" i="3"/>
  <c r="O192" i="3"/>
  <c r="K192" i="3"/>
  <c r="I192" i="3"/>
  <c r="F192" i="3"/>
  <c r="E192" i="3"/>
  <c r="B192" i="3"/>
  <c r="O191" i="3"/>
  <c r="I191" i="3"/>
  <c r="K191" i="3" s="1"/>
  <c r="F191" i="3"/>
  <c r="B191" i="3"/>
  <c r="E191" i="3" s="1"/>
  <c r="O190" i="3"/>
  <c r="I190" i="3"/>
  <c r="K190" i="3" s="1"/>
  <c r="F190" i="3"/>
  <c r="B190" i="3"/>
  <c r="E190" i="3" s="1"/>
  <c r="O189" i="3"/>
  <c r="I189" i="3"/>
  <c r="K189" i="3" s="1"/>
  <c r="F189" i="3"/>
  <c r="E189" i="3"/>
  <c r="B189" i="3"/>
  <c r="O188" i="3"/>
  <c r="K188" i="3"/>
  <c r="I188" i="3"/>
  <c r="F188" i="3"/>
  <c r="B188" i="3"/>
  <c r="E188" i="3" s="1"/>
  <c r="O187" i="3"/>
  <c r="K187" i="3"/>
  <c r="I187" i="3"/>
  <c r="F187" i="3"/>
  <c r="B187" i="3"/>
  <c r="E187" i="3" s="1"/>
  <c r="O186" i="3"/>
  <c r="I186" i="3"/>
  <c r="F186" i="3"/>
  <c r="B186" i="3"/>
  <c r="E186" i="3" s="1"/>
  <c r="O185" i="3"/>
  <c r="I185" i="3"/>
  <c r="F185" i="3"/>
  <c r="E185" i="3"/>
  <c r="B185" i="3"/>
  <c r="O184" i="3"/>
  <c r="K184" i="3"/>
  <c r="I184" i="3"/>
  <c r="F184" i="3"/>
  <c r="E184" i="3"/>
  <c r="B184" i="3"/>
  <c r="O183" i="3"/>
  <c r="I183" i="3"/>
  <c r="K183" i="3" s="1"/>
  <c r="F183" i="3"/>
  <c r="B183" i="3"/>
  <c r="E183" i="3" s="1"/>
  <c r="O182" i="3"/>
  <c r="I182" i="3"/>
  <c r="K182" i="3" s="1"/>
  <c r="F182" i="3"/>
  <c r="B182" i="3"/>
  <c r="E182" i="3" s="1"/>
  <c r="O181" i="3"/>
  <c r="I181" i="3"/>
  <c r="K181" i="3" s="1"/>
  <c r="F181" i="3"/>
  <c r="E181" i="3"/>
  <c r="B181" i="3"/>
  <c r="O180" i="3"/>
  <c r="K180" i="3"/>
  <c r="I180" i="3"/>
  <c r="F180" i="3"/>
  <c r="B180" i="3"/>
  <c r="E180" i="3" s="1"/>
  <c r="O179" i="3"/>
  <c r="K179" i="3"/>
  <c r="I179" i="3"/>
  <c r="F179" i="3"/>
  <c r="B179" i="3"/>
  <c r="E179" i="3" s="1"/>
  <c r="O178" i="3"/>
  <c r="I178" i="3"/>
  <c r="F178" i="3"/>
  <c r="B178" i="3"/>
  <c r="E178" i="3" s="1"/>
  <c r="O177" i="3"/>
  <c r="I177" i="3"/>
  <c r="K177" i="3" s="1"/>
  <c r="F177" i="3"/>
  <c r="E177" i="3"/>
  <c r="B177" i="3"/>
  <c r="O176" i="3"/>
  <c r="K176" i="3"/>
  <c r="I176" i="3"/>
  <c r="F176" i="3"/>
  <c r="E176" i="3"/>
  <c r="B176" i="3"/>
  <c r="O175" i="3"/>
  <c r="K175" i="3"/>
  <c r="I175" i="3"/>
  <c r="F175" i="3"/>
  <c r="B175" i="3"/>
  <c r="E175" i="3" s="1"/>
  <c r="O174" i="3"/>
  <c r="I174" i="3"/>
  <c r="K174" i="3" s="1"/>
  <c r="F174" i="3"/>
  <c r="B174" i="3"/>
  <c r="E174" i="3" s="1"/>
  <c r="O173" i="3"/>
  <c r="I173" i="3"/>
  <c r="K173" i="3" s="1"/>
  <c r="F173" i="3"/>
  <c r="E173" i="3"/>
  <c r="B173" i="3"/>
  <c r="O172" i="3"/>
  <c r="K172" i="3"/>
  <c r="I172" i="3"/>
  <c r="F172" i="3"/>
  <c r="B172" i="3"/>
  <c r="E172" i="3" s="1"/>
  <c r="O171" i="3"/>
  <c r="K171" i="3"/>
  <c r="I171" i="3"/>
  <c r="F171" i="3"/>
  <c r="B171" i="3"/>
  <c r="E171" i="3" s="1"/>
  <c r="O170" i="3"/>
  <c r="I170" i="3"/>
  <c r="F170" i="3"/>
  <c r="B170" i="3"/>
  <c r="E170" i="3" s="1"/>
  <c r="O169" i="3"/>
  <c r="I169" i="3"/>
  <c r="K169" i="3" s="1"/>
  <c r="F169" i="3"/>
  <c r="E169" i="3"/>
  <c r="B169" i="3"/>
  <c r="O168" i="3"/>
  <c r="K168" i="3"/>
  <c r="I168" i="3"/>
  <c r="F168" i="3"/>
  <c r="E168" i="3"/>
  <c r="B168" i="3"/>
  <c r="O167" i="3"/>
  <c r="K167" i="3"/>
  <c r="I167" i="3"/>
  <c r="F167" i="3"/>
  <c r="B167" i="3"/>
  <c r="E167" i="3" s="1"/>
  <c r="O166" i="3"/>
  <c r="I166" i="3"/>
  <c r="K166" i="3" s="1"/>
  <c r="F166" i="3"/>
  <c r="B166" i="3"/>
  <c r="E166" i="3" s="1"/>
  <c r="O165" i="3"/>
  <c r="I165" i="3"/>
  <c r="K165" i="3" s="1"/>
  <c r="F165" i="3"/>
  <c r="E165" i="3"/>
  <c r="B165" i="3"/>
  <c r="O164" i="3"/>
  <c r="K164" i="3"/>
  <c r="I164" i="3"/>
  <c r="F164" i="3"/>
  <c r="B164" i="3"/>
  <c r="E164" i="3" s="1"/>
  <c r="O163" i="3"/>
  <c r="K163" i="3"/>
  <c r="I163" i="3"/>
  <c r="F163" i="3"/>
  <c r="B163" i="3"/>
  <c r="E163" i="3" s="1"/>
  <c r="O162" i="3"/>
  <c r="I162" i="3"/>
  <c r="F162" i="3"/>
  <c r="B162" i="3"/>
  <c r="E162" i="3" s="1"/>
  <c r="O161" i="3"/>
  <c r="I161" i="3"/>
  <c r="F161" i="3"/>
  <c r="E161" i="3"/>
  <c r="B161" i="3"/>
  <c r="O160" i="3"/>
  <c r="K160" i="3"/>
  <c r="I160" i="3"/>
  <c r="F160" i="3"/>
  <c r="E160" i="3"/>
  <c r="B160" i="3"/>
  <c r="O159" i="3"/>
  <c r="I159" i="3"/>
  <c r="K159" i="3" s="1"/>
  <c r="F159" i="3"/>
  <c r="B159" i="3"/>
  <c r="E159" i="3" s="1"/>
  <c r="O158" i="3"/>
  <c r="I158" i="3"/>
  <c r="K158" i="3" s="1"/>
  <c r="F158" i="3"/>
  <c r="B158" i="3"/>
  <c r="E158" i="3" s="1"/>
  <c r="O157" i="3"/>
  <c r="I157" i="3"/>
  <c r="K157" i="3" s="1"/>
  <c r="F157" i="3"/>
  <c r="E157" i="3"/>
  <c r="B157" i="3"/>
  <c r="O156" i="3"/>
  <c r="K156" i="3"/>
  <c r="I156" i="3"/>
  <c r="F156" i="3"/>
  <c r="B156" i="3"/>
  <c r="E156" i="3" s="1"/>
  <c r="O155" i="3"/>
  <c r="K155" i="3"/>
  <c r="I155" i="3"/>
  <c r="F155" i="3"/>
  <c r="B155" i="3"/>
  <c r="E155" i="3" s="1"/>
  <c r="O154" i="3"/>
  <c r="I154" i="3"/>
  <c r="F154" i="3"/>
  <c r="B154" i="3"/>
  <c r="E154" i="3" s="1"/>
  <c r="O153" i="3"/>
  <c r="I153" i="3"/>
  <c r="F153" i="3"/>
  <c r="E153" i="3"/>
  <c r="B153" i="3"/>
  <c r="O152" i="3"/>
  <c r="K152" i="3"/>
  <c r="I152" i="3"/>
  <c r="F152" i="3"/>
  <c r="E152" i="3"/>
  <c r="B152" i="3"/>
  <c r="O151" i="3"/>
  <c r="I151" i="3"/>
  <c r="K151" i="3" s="1"/>
  <c r="F151" i="3"/>
  <c r="B151" i="3"/>
  <c r="E151" i="3" s="1"/>
  <c r="O150" i="3"/>
  <c r="I150" i="3"/>
  <c r="K150" i="3" s="1"/>
  <c r="F150" i="3"/>
  <c r="B150" i="3"/>
  <c r="E150" i="3" s="1"/>
  <c r="O149" i="3"/>
  <c r="I149" i="3"/>
  <c r="K149" i="3" s="1"/>
  <c r="F149" i="3"/>
  <c r="E149" i="3"/>
  <c r="B149" i="3"/>
  <c r="O148" i="3"/>
  <c r="K148" i="3"/>
  <c r="I148" i="3"/>
  <c r="F148" i="3"/>
  <c r="B148" i="3"/>
  <c r="E148" i="3" s="1"/>
  <c r="O147" i="3"/>
  <c r="K147" i="3"/>
  <c r="I147" i="3"/>
  <c r="F147" i="3"/>
  <c r="B147" i="3"/>
  <c r="E147" i="3" s="1"/>
  <c r="O146" i="3"/>
  <c r="I146" i="3"/>
  <c r="F146" i="3"/>
  <c r="B146" i="3"/>
  <c r="E146" i="3" s="1"/>
  <c r="O145" i="3"/>
  <c r="I145" i="3"/>
  <c r="F145" i="3"/>
  <c r="E145" i="3"/>
  <c r="B145" i="3"/>
  <c r="O144" i="3"/>
  <c r="K144" i="3"/>
  <c r="I144" i="3"/>
  <c r="F144" i="3"/>
  <c r="E144" i="3"/>
  <c r="B144" i="3"/>
  <c r="O143" i="3"/>
  <c r="I143" i="3"/>
  <c r="K143" i="3" s="1"/>
  <c r="F143" i="3"/>
  <c r="B143" i="3"/>
  <c r="E143" i="3" s="1"/>
  <c r="O142" i="3"/>
  <c r="I142" i="3"/>
  <c r="K142" i="3" s="1"/>
  <c r="F142" i="3"/>
  <c r="B142" i="3"/>
  <c r="E142" i="3" s="1"/>
  <c r="O141" i="3"/>
  <c r="I141" i="3"/>
  <c r="K141" i="3" s="1"/>
  <c r="F141" i="3"/>
  <c r="E141" i="3"/>
  <c r="B141" i="3"/>
  <c r="O140" i="3"/>
  <c r="K140" i="3"/>
  <c r="I140" i="3"/>
  <c r="F140" i="3"/>
  <c r="B140" i="3"/>
  <c r="E140" i="3" s="1"/>
  <c r="O139" i="3"/>
  <c r="I139" i="3"/>
  <c r="K139" i="3" s="1"/>
  <c r="F139" i="3"/>
  <c r="E139" i="3"/>
  <c r="B139" i="3"/>
  <c r="O138" i="3"/>
  <c r="K138" i="3"/>
  <c r="I138" i="3"/>
  <c r="F138" i="3"/>
  <c r="B138" i="3"/>
  <c r="E138" i="3" s="1"/>
  <c r="O137" i="3"/>
  <c r="I137" i="3"/>
  <c r="F137" i="3"/>
  <c r="E137" i="3"/>
  <c r="B137" i="3"/>
  <c r="O136" i="3"/>
  <c r="K136" i="3"/>
  <c r="I136" i="3"/>
  <c r="F136" i="3"/>
  <c r="B136" i="3"/>
  <c r="E136" i="3" s="1"/>
  <c r="O135" i="3"/>
  <c r="I135" i="3"/>
  <c r="K135" i="3" s="1"/>
  <c r="F135" i="3"/>
  <c r="B135" i="3"/>
  <c r="E135" i="3" s="1"/>
  <c r="O134" i="3"/>
  <c r="I134" i="3"/>
  <c r="F134" i="3"/>
  <c r="K134" i="3" s="1"/>
  <c r="B134" i="3"/>
  <c r="E134" i="3" s="1"/>
  <c r="O133" i="3"/>
  <c r="I133" i="3"/>
  <c r="F133" i="3"/>
  <c r="E133" i="3"/>
  <c r="B133" i="3"/>
  <c r="O132" i="3"/>
  <c r="I132" i="3"/>
  <c r="F132" i="3"/>
  <c r="K132" i="3" s="1"/>
  <c r="E132" i="3"/>
  <c r="B132" i="3"/>
  <c r="O131" i="3"/>
  <c r="K131" i="3"/>
  <c r="I131" i="3"/>
  <c r="F131" i="3"/>
  <c r="B131" i="3"/>
  <c r="E131" i="3" s="1"/>
  <c r="O130" i="3"/>
  <c r="I130" i="3"/>
  <c r="K130" i="3" s="1"/>
  <c r="F130" i="3"/>
  <c r="B130" i="3"/>
  <c r="E130" i="3" s="1"/>
  <c r="O129" i="3"/>
  <c r="I129" i="3"/>
  <c r="K129" i="3" s="1"/>
  <c r="F129" i="3"/>
  <c r="E129" i="3"/>
  <c r="B129" i="3"/>
  <c r="O128" i="3"/>
  <c r="I128" i="3"/>
  <c r="F128" i="3"/>
  <c r="K128" i="3" s="1"/>
  <c r="E128" i="3"/>
  <c r="B128" i="3"/>
  <c r="O127" i="3"/>
  <c r="K127" i="3"/>
  <c r="I127" i="3"/>
  <c r="F127" i="3"/>
  <c r="E127" i="3"/>
  <c r="B127" i="3"/>
  <c r="O126" i="3"/>
  <c r="I126" i="3"/>
  <c r="K126" i="3" s="1"/>
  <c r="F126" i="3"/>
  <c r="B126" i="3"/>
  <c r="E126" i="3" s="1"/>
  <c r="O125" i="3"/>
  <c r="I125" i="3"/>
  <c r="K125" i="3" s="1"/>
  <c r="F125" i="3"/>
  <c r="E125" i="3"/>
  <c r="B125" i="3"/>
  <c r="O124" i="3"/>
  <c r="K124" i="3"/>
  <c r="I124" i="3"/>
  <c r="F124" i="3"/>
  <c r="B124" i="3"/>
  <c r="E124" i="3" s="1"/>
  <c r="O123" i="3"/>
  <c r="I123" i="3"/>
  <c r="K123" i="3" s="1"/>
  <c r="F123" i="3"/>
  <c r="E123" i="3"/>
  <c r="B123" i="3"/>
  <c r="O122" i="3"/>
  <c r="K122" i="3"/>
  <c r="I122" i="3"/>
  <c r="F122" i="3"/>
  <c r="B122" i="3"/>
  <c r="E122" i="3" s="1"/>
  <c r="O121" i="3"/>
  <c r="I121" i="3"/>
  <c r="F121" i="3"/>
  <c r="E121" i="3"/>
  <c r="B121" i="3"/>
  <c r="O120" i="3"/>
  <c r="K120" i="3"/>
  <c r="I120" i="3"/>
  <c r="F120" i="3"/>
  <c r="B120" i="3"/>
  <c r="E120" i="3" s="1"/>
  <c r="O119" i="3"/>
  <c r="K119" i="3"/>
  <c r="I119" i="3"/>
  <c r="F119" i="3"/>
  <c r="B119" i="3"/>
  <c r="E119" i="3" s="1"/>
  <c r="O118" i="3"/>
  <c r="I118" i="3"/>
  <c r="F118" i="3"/>
  <c r="E118" i="3"/>
  <c r="B118" i="3"/>
  <c r="O117" i="3"/>
  <c r="I117" i="3"/>
  <c r="F117" i="3"/>
  <c r="K117" i="3" s="1"/>
  <c r="E117" i="3"/>
  <c r="B117" i="3"/>
  <c r="O116" i="3"/>
  <c r="K116" i="3"/>
  <c r="I116" i="3"/>
  <c r="F116" i="3"/>
  <c r="E116" i="3"/>
  <c r="B116" i="3"/>
  <c r="O115" i="3"/>
  <c r="I115" i="3"/>
  <c r="K115" i="3" s="1"/>
  <c r="F115" i="3"/>
  <c r="B115" i="3"/>
  <c r="E115" i="3" s="1"/>
  <c r="O114" i="3"/>
  <c r="I114" i="3"/>
  <c r="K114" i="3" s="1"/>
  <c r="F114" i="3"/>
  <c r="E114" i="3"/>
  <c r="B114" i="3"/>
  <c r="O113" i="3"/>
  <c r="I113" i="3"/>
  <c r="F113" i="3"/>
  <c r="K113" i="3" s="1"/>
  <c r="E113" i="3"/>
  <c r="B113" i="3"/>
  <c r="O112" i="3"/>
  <c r="K112" i="3"/>
  <c r="I112" i="3"/>
  <c r="F112" i="3"/>
  <c r="E112" i="3"/>
  <c r="B112" i="3"/>
  <c r="O111" i="3"/>
  <c r="I111" i="3"/>
  <c r="K111" i="3" s="1"/>
  <c r="F111" i="3"/>
  <c r="B111" i="3"/>
  <c r="E111" i="3" s="1"/>
  <c r="O110" i="3"/>
  <c r="I110" i="3"/>
  <c r="K110" i="3" s="1"/>
  <c r="F110" i="3"/>
  <c r="E110" i="3"/>
  <c r="B110" i="3"/>
  <c r="O109" i="3"/>
  <c r="I109" i="3"/>
  <c r="F109" i="3"/>
  <c r="K109" i="3" s="1"/>
  <c r="E109" i="3"/>
  <c r="B109" i="3"/>
  <c r="O108" i="3"/>
  <c r="K108" i="3"/>
  <c r="I108" i="3"/>
  <c r="F108" i="3"/>
  <c r="B108" i="3"/>
  <c r="E108" i="3" s="1"/>
  <c r="O107" i="3"/>
  <c r="I107" i="3"/>
  <c r="K107" i="3" s="1"/>
  <c r="F107" i="3"/>
  <c r="B107" i="3"/>
  <c r="E107" i="3" s="1"/>
  <c r="O106" i="3"/>
  <c r="I106" i="3"/>
  <c r="F106" i="3"/>
  <c r="E106" i="3"/>
  <c r="B106" i="3"/>
  <c r="O105" i="3"/>
  <c r="I105" i="3"/>
  <c r="F105" i="3"/>
  <c r="K105" i="3" s="1"/>
  <c r="E105" i="3"/>
  <c r="B105" i="3"/>
  <c r="O104" i="3"/>
  <c r="K104" i="3"/>
  <c r="I104" i="3"/>
  <c r="F104" i="3"/>
  <c r="B104" i="3"/>
  <c r="E104" i="3" s="1"/>
  <c r="O103" i="3"/>
  <c r="K103" i="3"/>
  <c r="I103" i="3"/>
  <c r="F103" i="3"/>
  <c r="B103" i="3"/>
  <c r="E103" i="3" s="1"/>
  <c r="O102" i="3"/>
  <c r="I102" i="3"/>
  <c r="F102" i="3"/>
  <c r="E102" i="3"/>
  <c r="B102" i="3"/>
  <c r="O101" i="3"/>
  <c r="I101" i="3"/>
  <c r="F101" i="3"/>
  <c r="K101" i="3" s="1"/>
  <c r="E101" i="3"/>
  <c r="B101" i="3"/>
  <c r="O100" i="3"/>
  <c r="K100" i="3"/>
  <c r="I100" i="3"/>
  <c r="F100" i="3"/>
  <c r="E100" i="3"/>
  <c r="B100" i="3"/>
  <c r="O99" i="3"/>
  <c r="I99" i="3"/>
  <c r="K99" i="3" s="1"/>
  <c r="F99" i="3"/>
  <c r="B99" i="3"/>
  <c r="E99" i="3" s="1"/>
  <c r="O98" i="3"/>
  <c r="I98" i="3"/>
  <c r="K98" i="3" s="1"/>
  <c r="F98" i="3"/>
  <c r="E98" i="3"/>
  <c r="B98" i="3"/>
  <c r="O97" i="3"/>
  <c r="I97" i="3"/>
  <c r="F97" i="3"/>
  <c r="K97" i="3" s="1"/>
  <c r="E97" i="3"/>
  <c r="B97" i="3"/>
  <c r="O96" i="3"/>
  <c r="K96" i="3"/>
  <c r="I96" i="3"/>
  <c r="F96" i="3"/>
  <c r="E96" i="3"/>
  <c r="B96" i="3"/>
  <c r="O95" i="3"/>
  <c r="I95" i="3"/>
  <c r="K95" i="3" s="1"/>
  <c r="F95" i="3"/>
  <c r="B95" i="3"/>
  <c r="E95" i="3" s="1"/>
  <c r="O94" i="3"/>
  <c r="I94" i="3"/>
  <c r="F94" i="3"/>
  <c r="E94" i="3"/>
  <c r="B94" i="3"/>
  <c r="O93" i="3"/>
  <c r="I93" i="3"/>
  <c r="F93" i="3"/>
  <c r="K93" i="3" s="1"/>
  <c r="E93" i="3"/>
  <c r="B93" i="3"/>
  <c r="O92" i="3"/>
  <c r="K92" i="3"/>
  <c r="I92" i="3"/>
  <c r="F92" i="3"/>
  <c r="B92" i="3"/>
  <c r="E92" i="3" s="1"/>
  <c r="O91" i="3"/>
  <c r="I91" i="3"/>
  <c r="K91" i="3" s="1"/>
  <c r="F91" i="3"/>
  <c r="B91" i="3"/>
  <c r="E91" i="3" s="1"/>
  <c r="O90" i="3"/>
  <c r="I90" i="3"/>
  <c r="F90" i="3"/>
  <c r="E90" i="3"/>
  <c r="B90" i="3"/>
  <c r="O89" i="3"/>
  <c r="I89" i="3"/>
  <c r="F89" i="3"/>
  <c r="K89" i="3" s="1"/>
  <c r="E89" i="3"/>
  <c r="B89" i="3"/>
  <c r="O88" i="3"/>
  <c r="K88" i="3"/>
  <c r="I88" i="3"/>
  <c r="F88" i="3"/>
  <c r="B88" i="3"/>
  <c r="E88" i="3" s="1"/>
  <c r="O87" i="3"/>
  <c r="K87" i="3"/>
  <c r="I87" i="3"/>
  <c r="F87" i="3"/>
  <c r="B87" i="3"/>
  <c r="E87" i="3" s="1"/>
  <c r="O86" i="3"/>
  <c r="I86" i="3"/>
  <c r="F86" i="3"/>
  <c r="E86" i="3"/>
  <c r="B86" i="3"/>
  <c r="O85" i="3"/>
  <c r="I85" i="3"/>
  <c r="F85" i="3"/>
  <c r="K85" i="3" s="1"/>
  <c r="E85" i="3"/>
  <c r="B85" i="3"/>
  <c r="O84" i="3"/>
  <c r="K84" i="3"/>
  <c r="I84" i="3"/>
  <c r="F84" i="3"/>
  <c r="E84" i="3"/>
  <c r="B84" i="3"/>
  <c r="O83" i="3"/>
  <c r="I83" i="3"/>
  <c r="K83" i="3" s="1"/>
  <c r="F83" i="3"/>
  <c r="B83" i="3"/>
  <c r="E83" i="3" s="1"/>
  <c r="O82" i="3"/>
  <c r="I82" i="3"/>
  <c r="K82" i="3" s="1"/>
  <c r="F82" i="3"/>
  <c r="E82" i="3"/>
  <c r="B82" i="3"/>
  <c r="O81" i="3"/>
  <c r="I81" i="3"/>
  <c r="F81" i="3"/>
  <c r="K81" i="3" s="1"/>
  <c r="E81" i="3"/>
  <c r="B81" i="3"/>
  <c r="O80" i="3"/>
  <c r="K80" i="3"/>
  <c r="I80" i="3"/>
  <c r="F80" i="3"/>
  <c r="E80" i="3"/>
  <c r="B80" i="3"/>
  <c r="O79" i="3"/>
  <c r="I79" i="3"/>
  <c r="K79" i="3" s="1"/>
  <c r="F79" i="3"/>
  <c r="B79" i="3"/>
  <c r="E79" i="3" s="1"/>
  <c r="O78" i="3"/>
  <c r="I78" i="3"/>
  <c r="K78" i="3" s="1"/>
  <c r="F78" i="3"/>
  <c r="E78" i="3"/>
  <c r="B78" i="3"/>
  <c r="O77" i="3"/>
  <c r="I77" i="3"/>
  <c r="F77" i="3"/>
  <c r="K77" i="3" s="1"/>
  <c r="E77" i="3"/>
  <c r="B77" i="3"/>
  <c r="O76" i="3"/>
  <c r="K76" i="3"/>
  <c r="I76" i="3"/>
  <c r="F76" i="3"/>
  <c r="B76" i="3"/>
  <c r="E76" i="3" s="1"/>
  <c r="O75" i="3"/>
  <c r="I75" i="3"/>
  <c r="K75" i="3" s="1"/>
  <c r="F75" i="3"/>
  <c r="B75" i="3"/>
  <c r="E75" i="3" s="1"/>
  <c r="O74" i="3"/>
  <c r="I74" i="3"/>
  <c r="F74" i="3"/>
  <c r="E74" i="3"/>
  <c r="B74" i="3"/>
  <c r="O73" i="3"/>
  <c r="I73" i="3"/>
  <c r="F73" i="3"/>
  <c r="K73" i="3" s="1"/>
  <c r="E73" i="3"/>
  <c r="B73" i="3"/>
  <c r="O72" i="3"/>
  <c r="K72" i="3"/>
  <c r="I72" i="3"/>
  <c r="F72" i="3"/>
  <c r="B72" i="3"/>
  <c r="E72" i="3" s="1"/>
  <c r="O71" i="3"/>
  <c r="K71" i="3"/>
  <c r="I71" i="3"/>
  <c r="F71" i="3"/>
  <c r="B71" i="3"/>
  <c r="E71" i="3" s="1"/>
  <c r="O70" i="3"/>
  <c r="I70" i="3"/>
  <c r="F70" i="3"/>
  <c r="E70" i="3"/>
  <c r="B70" i="3"/>
  <c r="O69" i="3"/>
  <c r="I69" i="3"/>
  <c r="F69" i="3"/>
  <c r="K69" i="3" s="1"/>
  <c r="E69" i="3"/>
  <c r="B69" i="3"/>
  <c r="O68" i="3"/>
  <c r="K68" i="3"/>
  <c r="I68" i="3"/>
  <c r="F68" i="3"/>
  <c r="E68" i="3"/>
  <c r="B68" i="3"/>
  <c r="O67" i="3"/>
  <c r="I67" i="3"/>
  <c r="K67" i="3" s="1"/>
  <c r="F67" i="3"/>
  <c r="B67" i="3"/>
  <c r="E67" i="3" s="1"/>
  <c r="O66" i="3"/>
  <c r="I66" i="3"/>
  <c r="K66" i="3" s="1"/>
  <c r="F66" i="3"/>
  <c r="E66" i="3"/>
  <c r="B66" i="3"/>
  <c r="O65" i="3"/>
  <c r="I65" i="3"/>
  <c r="F65" i="3"/>
  <c r="K65" i="3" s="1"/>
  <c r="E65" i="3"/>
  <c r="B65" i="3"/>
  <c r="O64" i="3"/>
  <c r="K64" i="3"/>
  <c r="I64" i="3"/>
  <c r="F64" i="3"/>
  <c r="E64" i="3"/>
  <c r="B64" i="3"/>
  <c r="O63" i="3"/>
  <c r="I63" i="3"/>
  <c r="K63" i="3" s="1"/>
  <c r="F63" i="3"/>
  <c r="B63" i="3"/>
  <c r="E63" i="3" s="1"/>
  <c r="O62" i="3"/>
  <c r="I62" i="3"/>
  <c r="F62" i="3"/>
  <c r="E62" i="3"/>
  <c r="B62" i="3"/>
  <c r="O61" i="3"/>
  <c r="I61" i="3"/>
  <c r="F61" i="3"/>
  <c r="K61" i="3" s="1"/>
  <c r="E61" i="3"/>
  <c r="B61" i="3"/>
  <c r="O60" i="3"/>
  <c r="K60" i="3"/>
  <c r="I60" i="3"/>
  <c r="F60" i="3"/>
  <c r="B60" i="3"/>
  <c r="E60" i="3" s="1"/>
  <c r="O59" i="3"/>
  <c r="I59" i="3"/>
  <c r="K59" i="3" s="1"/>
  <c r="F59" i="3"/>
  <c r="B59" i="3"/>
  <c r="E59" i="3" s="1"/>
  <c r="O58" i="3"/>
  <c r="I58" i="3"/>
  <c r="F58" i="3"/>
  <c r="E58" i="3"/>
  <c r="B58" i="3"/>
  <c r="O57" i="3"/>
  <c r="I57" i="3"/>
  <c r="F57" i="3"/>
  <c r="K57" i="3" s="1"/>
  <c r="E57" i="3"/>
  <c r="B57" i="3"/>
  <c r="O56" i="3"/>
  <c r="K56" i="3"/>
  <c r="I56" i="3"/>
  <c r="F56" i="3"/>
  <c r="B56" i="3"/>
  <c r="E56" i="3" s="1"/>
  <c r="O55" i="3"/>
  <c r="K55" i="3"/>
  <c r="I55" i="3"/>
  <c r="F55" i="3"/>
  <c r="B55" i="3"/>
  <c r="E55" i="3" s="1"/>
  <c r="O54" i="3"/>
  <c r="I54" i="3"/>
  <c r="F54" i="3"/>
  <c r="E54" i="3"/>
  <c r="B54" i="3"/>
  <c r="O53" i="3"/>
  <c r="I53" i="3"/>
  <c r="F53" i="3"/>
  <c r="K53" i="3" s="1"/>
  <c r="E53" i="3"/>
  <c r="B53" i="3"/>
  <c r="O52" i="3"/>
  <c r="K52" i="3"/>
  <c r="I52" i="3"/>
  <c r="F52" i="3"/>
  <c r="E52" i="3"/>
  <c r="B52" i="3"/>
  <c r="O51" i="3"/>
  <c r="I51" i="3"/>
  <c r="K51" i="3" s="1"/>
  <c r="F51" i="3"/>
  <c r="B51" i="3"/>
  <c r="E51" i="3" s="1"/>
  <c r="O50" i="3"/>
  <c r="I50" i="3"/>
  <c r="K50" i="3" s="1"/>
  <c r="F50" i="3"/>
  <c r="E50" i="3"/>
  <c r="B50" i="3"/>
  <c r="O49" i="3"/>
  <c r="I49" i="3"/>
  <c r="F49" i="3"/>
  <c r="K49" i="3" s="1"/>
  <c r="E49" i="3"/>
  <c r="B49" i="3"/>
  <c r="O48" i="3"/>
  <c r="K48" i="3"/>
  <c r="I48" i="3"/>
  <c r="F48" i="3"/>
  <c r="E48" i="3"/>
  <c r="B48" i="3"/>
  <c r="O47" i="3"/>
  <c r="I47" i="3"/>
  <c r="K47" i="3" s="1"/>
  <c r="F47" i="3"/>
  <c r="B47" i="3"/>
  <c r="E47" i="3" s="1"/>
  <c r="O46" i="3"/>
  <c r="I46" i="3"/>
  <c r="K46" i="3" s="1"/>
  <c r="F46" i="3"/>
  <c r="E46" i="3"/>
  <c r="B46" i="3"/>
  <c r="O45" i="3"/>
  <c r="I45" i="3"/>
  <c r="F45" i="3"/>
  <c r="K45" i="3" s="1"/>
  <c r="E45" i="3"/>
  <c r="B45" i="3"/>
  <c r="O44" i="3"/>
  <c r="K44" i="3"/>
  <c r="I44" i="3"/>
  <c r="F44" i="3"/>
  <c r="B44" i="3"/>
  <c r="E44" i="3" s="1"/>
  <c r="O43" i="3"/>
  <c r="I43" i="3"/>
  <c r="K43" i="3" s="1"/>
  <c r="F43" i="3"/>
  <c r="B43" i="3"/>
  <c r="E43" i="3" s="1"/>
  <c r="O42" i="3"/>
  <c r="I42" i="3"/>
  <c r="F42" i="3"/>
  <c r="E42" i="3"/>
  <c r="B42" i="3"/>
  <c r="O41" i="3"/>
  <c r="I41" i="3"/>
  <c r="F41" i="3"/>
  <c r="K41" i="3" s="1"/>
  <c r="E41" i="3"/>
  <c r="B41" i="3"/>
  <c r="O40" i="3"/>
  <c r="K40" i="3"/>
  <c r="I40" i="3"/>
  <c r="F40" i="3"/>
  <c r="B40" i="3"/>
  <c r="E40" i="3" s="1"/>
  <c r="O39" i="3"/>
  <c r="K39" i="3"/>
  <c r="I39" i="3"/>
  <c r="F39" i="3"/>
  <c r="B39" i="3"/>
  <c r="E39" i="3" s="1"/>
  <c r="O38" i="3"/>
  <c r="I38" i="3"/>
  <c r="F38" i="3"/>
  <c r="E38" i="3"/>
  <c r="B38" i="3"/>
  <c r="O37" i="3"/>
  <c r="I37" i="3"/>
  <c r="F37" i="3"/>
  <c r="K37" i="3" s="1"/>
  <c r="E37" i="3"/>
  <c r="B37" i="3"/>
  <c r="O36" i="3"/>
  <c r="K36" i="3"/>
  <c r="I36" i="3"/>
  <c r="F36" i="3"/>
  <c r="E36" i="3"/>
  <c r="B36" i="3"/>
  <c r="O35" i="3"/>
  <c r="I35" i="3"/>
  <c r="K35" i="3" s="1"/>
  <c r="F35" i="3"/>
  <c r="B35" i="3"/>
  <c r="E35" i="3" s="1"/>
  <c r="O34" i="3"/>
  <c r="I34" i="3"/>
  <c r="K34" i="3" s="1"/>
  <c r="F34" i="3"/>
  <c r="E34" i="3"/>
  <c r="B34" i="3"/>
  <c r="O33" i="3"/>
  <c r="I33" i="3"/>
  <c r="F33" i="3"/>
  <c r="K33" i="3" s="1"/>
  <c r="E33" i="3"/>
  <c r="B33" i="3"/>
  <c r="O32" i="3"/>
  <c r="K32" i="3"/>
  <c r="I32" i="3"/>
  <c r="F32" i="3"/>
  <c r="E32" i="3"/>
  <c r="B32" i="3"/>
  <c r="O31" i="3"/>
  <c r="I31" i="3"/>
  <c r="K31" i="3" s="1"/>
  <c r="F31" i="3"/>
  <c r="B31" i="3"/>
  <c r="E31" i="3" s="1"/>
  <c r="O30" i="3"/>
  <c r="I30" i="3"/>
  <c r="F30" i="3"/>
  <c r="E30" i="3"/>
  <c r="B30" i="3"/>
  <c r="O29" i="3"/>
  <c r="I29" i="3"/>
  <c r="F29" i="3"/>
  <c r="K29" i="3" s="1"/>
  <c r="E29" i="3"/>
  <c r="B29" i="3"/>
  <c r="O28" i="3"/>
  <c r="K28" i="3"/>
  <c r="I28" i="3"/>
  <c r="F28" i="3"/>
  <c r="B28" i="3"/>
  <c r="E28" i="3" s="1"/>
  <c r="O27" i="3"/>
  <c r="I27" i="3"/>
  <c r="K27" i="3" s="1"/>
  <c r="F27" i="3"/>
  <c r="B27" i="3"/>
  <c r="E27" i="3" s="1"/>
  <c r="O26" i="3"/>
  <c r="I26" i="3"/>
  <c r="F26" i="3"/>
  <c r="E26" i="3"/>
  <c r="B26" i="3"/>
  <c r="O25" i="3"/>
  <c r="I25" i="3"/>
  <c r="F25" i="3"/>
  <c r="K25" i="3" s="1"/>
  <c r="E25" i="3"/>
  <c r="B25" i="3"/>
  <c r="O24" i="3"/>
  <c r="K24" i="3"/>
  <c r="I24" i="3"/>
  <c r="F24" i="3"/>
  <c r="B24" i="3"/>
  <c r="E24" i="3" s="1"/>
  <c r="O23" i="3"/>
  <c r="K23" i="3"/>
  <c r="I23" i="3"/>
  <c r="F23" i="3"/>
  <c r="B23" i="3"/>
  <c r="E23" i="3" s="1"/>
  <c r="O22" i="3"/>
  <c r="I22" i="3"/>
  <c r="F22" i="3"/>
  <c r="E22" i="3"/>
  <c r="B22" i="3"/>
  <c r="O21" i="3"/>
  <c r="I21" i="3"/>
  <c r="F21" i="3"/>
  <c r="K21" i="3" s="1"/>
  <c r="E21" i="3"/>
  <c r="B21" i="3"/>
  <c r="O20" i="3"/>
  <c r="K20" i="3"/>
  <c r="I20" i="3"/>
  <c r="F20" i="3"/>
  <c r="E20" i="3"/>
  <c r="B20" i="3"/>
  <c r="O19" i="3"/>
  <c r="I19" i="3"/>
  <c r="K19" i="3" s="1"/>
  <c r="F19" i="3"/>
  <c r="B19" i="3"/>
  <c r="E19" i="3" s="1"/>
  <c r="O18" i="3"/>
  <c r="I18" i="3"/>
  <c r="K18" i="3" s="1"/>
  <c r="F18" i="3"/>
  <c r="E18" i="3"/>
  <c r="B18" i="3"/>
  <c r="O17" i="3"/>
  <c r="I17" i="3"/>
  <c r="F17" i="3"/>
  <c r="K17" i="3" s="1"/>
  <c r="E17" i="3"/>
  <c r="B17" i="3"/>
  <c r="O16" i="3"/>
  <c r="K16" i="3"/>
  <c r="I16" i="3"/>
  <c r="F16" i="3"/>
  <c r="E16" i="3"/>
  <c r="B16" i="3"/>
  <c r="O15" i="3"/>
  <c r="I15" i="3"/>
  <c r="K15" i="3" s="1"/>
  <c r="F15" i="3"/>
  <c r="B15" i="3"/>
  <c r="E15" i="3" s="1"/>
  <c r="O14" i="3"/>
  <c r="I14" i="3"/>
  <c r="K14" i="3" s="1"/>
  <c r="F14" i="3"/>
  <c r="E14" i="3"/>
  <c r="B14" i="3"/>
  <c r="O13" i="3"/>
  <c r="I13" i="3"/>
  <c r="F13" i="3"/>
  <c r="K13" i="3" s="1"/>
  <c r="E13" i="3"/>
  <c r="B13" i="3"/>
  <c r="O12" i="3"/>
  <c r="K12" i="3"/>
  <c r="I12" i="3"/>
  <c r="F12" i="3"/>
  <c r="B12" i="3"/>
  <c r="E12" i="3" s="1"/>
  <c r="O11" i="3"/>
  <c r="I11" i="3"/>
  <c r="K11" i="3" s="1"/>
  <c r="F11" i="3"/>
  <c r="B11" i="3"/>
  <c r="E11" i="3" s="1"/>
  <c r="O10" i="3"/>
  <c r="I10" i="3"/>
  <c r="F10" i="3"/>
  <c r="E10" i="3"/>
  <c r="B10" i="3"/>
  <c r="O9" i="3"/>
  <c r="I9" i="3"/>
  <c r="F9" i="3"/>
  <c r="K9" i="3" s="1"/>
  <c r="E9" i="3"/>
  <c r="B9" i="3"/>
  <c r="O8" i="3"/>
  <c r="K8" i="3"/>
  <c r="I8" i="3"/>
  <c r="F8" i="3"/>
  <c r="B8" i="3"/>
  <c r="E8" i="3" s="1"/>
  <c r="O7" i="3"/>
  <c r="K7" i="3"/>
  <c r="I7" i="3"/>
  <c r="F7" i="3"/>
  <c r="B7" i="3"/>
  <c r="E7" i="3" s="1"/>
  <c r="O6" i="3"/>
  <c r="I6" i="3"/>
  <c r="F6" i="3"/>
  <c r="E6" i="3"/>
  <c r="B6" i="3"/>
  <c r="O5" i="3"/>
  <c r="I5" i="3"/>
  <c r="F5" i="3"/>
  <c r="K5" i="3" s="1"/>
  <c r="E5" i="3"/>
  <c r="B5" i="3"/>
  <c r="O4" i="3"/>
  <c r="K4" i="3"/>
  <c r="I4" i="3"/>
  <c r="F4" i="3"/>
  <c r="E4" i="3"/>
  <c r="B4" i="3"/>
  <c r="O3" i="3"/>
  <c r="I3" i="3"/>
  <c r="K3" i="3" s="1"/>
  <c r="F3" i="3"/>
  <c r="B3" i="3"/>
  <c r="E3" i="3" s="1"/>
  <c r="O2" i="3"/>
  <c r="I2" i="3"/>
  <c r="K2" i="3" s="1"/>
  <c r="F2" i="3"/>
  <c r="E2" i="3"/>
  <c r="B2" i="3"/>
  <c r="O303" i="1"/>
  <c r="N303" i="1"/>
  <c r="G303" i="1"/>
  <c r="F303" i="1"/>
  <c r="J303" i="1" s="1"/>
  <c r="M303" i="1" s="1"/>
  <c r="C303" i="1"/>
  <c r="H303" i="1" s="1"/>
  <c r="O302" i="1"/>
  <c r="N302" i="1"/>
  <c r="J302" i="1"/>
  <c r="M302" i="1" s="1"/>
  <c r="G302" i="1"/>
  <c r="F302" i="1"/>
  <c r="C302" i="1"/>
  <c r="H302" i="1" s="1"/>
  <c r="O301" i="1"/>
  <c r="N301" i="1"/>
  <c r="M301" i="1"/>
  <c r="G301" i="1"/>
  <c r="F301" i="1"/>
  <c r="J301" i="1" s="1"/>
  <c r="C301" i="1"/>
  <c r="H301" i="1" s="1"/>
  <c r="O300" i="1"/>
  <c r="N300" i="1"/>
  <c r="J300" i="1"/>
  <c r="M300" i="1" s="1"/>
  <c r="H300" i="1"/>
  <c r="G300" i="1"/>
  <c r="F300" i="1"/>
  <c r="C300" i="1"/>
  <c r="O299" i="1"/>
  <c r="N299" i="1"/>
  <c r="M299" i="1"/>
  <c r="G299" i="1"/>
  <c r="F299" i="1"/>
  <c r="J299" i="1" s="1"/>
  <c r="C299" i="1"/>
  <c r="H299" i="1" s="1"/>
  <c r="O298" i="1"/>
  <c r="N298" i="1"/>
  <c r="J298" i="1"/>
  <c r="M298" i="1" s="1"/>
  <c r="G298" i="1"/>
  <c r="F298" i="1"/>
  <c r="C298" i="1"/>
  <c r="H298" i="1" s="1"/>
  <c r="O297" i="1"/>
  <c r="N297" i="1"/>
  <c r="M297" i="1"/>
  <c r="G297" i="1"/>
  <c r="F297" i="1"/>
  <c r="J297" i="1" s="1"/>
  <c r="C297" i="1"/>
  <c r="H297" i="1" s="1"/>
  <c r="O296" i="1"/>
  <c r="N296" i="1"/>
  <c r="M296" i="1"/>
  <c r="J296" i="1"/>
  <c r="H296" i="1"/>
  <c r="G296" i="1"/>
  <c r="F296" i="1"/>
  <c r="C296" i="1"/>
  <c r="O295" i="1"/>
  <c r="N295" i="1"/>
  <c r="J295" i="1"/>
  <c r="M295" i="1" s="1"/>
  <c r="G295" i="1"/>
  <c r="F295" i="1"/>
  <c r="C295" i="1"/>
  <c r="H295" i="1" s="1"/>
  <c r="O294" i="1"/>
  <c r="N294" i="1"/>
  <c r="J294" i="1"/>
  <c r="M294" i="1" s="1"/>
  <c r="H294" i="1"/>
  <c r="G294" i="1"/>
  <c r="F294" i="1"/>
  <c r="C294" i="1"/>
  <c r="O293" i="1"/>
  <c r="N293" i="1"/>
  <c r="J293" i="1"/>
  <c r="M293" i="1" s="1"/>
  <c r="G293" i="1"/>
  <c r="F293" i="1"/>
  <c r="C293" i="1"/>
  <c r="H293" i="1" s="1"/>
  <c r="O292" i="1"/>
  <c r="N292" i="1"/>
  <c r="J292" i="1"/>
  <c r="M292" i="1" s="1"/>
  <c r="H292" i="1"/>
  <c r="G292" i="1"/>
  <c r="F292" i="1"/>
  <c r="C292" i="1"/>
  <c r="O291" i="1"/>
  <c r="N291" i="1"/>
  <c r="M291" i="1"/>
  <c r="G291" i="1"/>
  <c r="F291" i="1"/>
  <c r="J291" i="1" s="1"/>
  <c r="C291" i="1"/>
  <c r="H291" i="1" s="1"/>
  <c r="O290" i="1"/>
  <c r="N290" i="1"/>
  <c r="J290" i="1"/>
  <c r="M290" i="1" s="1"/>
  <c r="G290" i="1"/>
  <c r="F290" i="1"/>
  <c r="C290" i="1"/>
  <c r="H290" i="1" s="1"/>
  <c r="O289" i="1"/>
  <c r="N289" i="1"/>
  <c r="G289" i="1"/>
  <c r="F289" i="1"/>
  <c r="J289" i="1" s="1"/>
  <c r="M289" i="1" s="1"/>
  <c r="C289" i="1"/>
  <c r="H289" i="1" s="1"/>
  <c r="O288" i="1"/>
  <c r="N288" i="1"/>
  <c r="M288" i="1"/>
  <c r="J288" i="1"/>
  <c r="H288" i="1"/>
  <c r="G288" i="1"/>
  <c r="F288" i="1"/>
  <c r="C288" i="1"/>
  <c r="O287" i="1"/>
  <c r="N287" i="1"/>
  <c r="J287" i="1"/>
  <c r="M287" i="1" s="1"/>
  <c r="G287" i="1"/>
  <c r="F287" i="1"/>
  <c r="C287" i="1"/>
  <c r="H287" i="1" s="1"/>
  <c r="O286" i="1"/>
  <c r="N286" i="1"/>
  <c r="J286" i="1"/>
  <c r="M286" i="1" s="1"/>
  <c r="G286" i="1"/>
  <c r="F286" i="1"/>
  <c r="C286" i="1"/>
  <c r="H286" i="1" s="1"/>
  <c r="O285" i="1"/>
  <c r="N285" i="1"/>
  <c r="M285" i="1"/>
  <c r="G285" i="1"/>
  <c r="F285" i="1"/>
  <c r="J285" i="1" s="1"/>
  <c r="C285" i="1"/>
  <c r="H285" i="1" s="1"/>
  <c r="O284" i="1"/>
  <c r="N284" i="1"/>
  <c r="M284" i="1"/>
  <c r="J284" i="1"/>
  <c r="H284" i="1"/>
  <c r="G284" i="1"/>
  <c r="F284" i="1"/>
  <c r="C284" i="1"/>
  <c r="O283" i="1"/>
  <c r="N283" i="1"/>
  <c r="G283" i="1"/>
  <c r="F283" i="1"/>
  <c r="J283" i="1" s="1"/>
  <c r="M283" i="1" s="1"/>
  <c r="C283" i="1"/>
  <c r="H283" i="1" s="1"/>
  <c r="O282" i="1"/>
  <c r="N282" i="1"/>
  <c r="M282" i="1"/>
  <c r="J282" i="1"/>
  <c r="H282" i="1"/>
  <c r="G282" i="1"/>
  <c r="F282" i="1"/>
  <c r="C282" i="1"/>
  <c r="O281" i="1"/>
  <c r="N281" i="1"/>
  <c r="J281" i="1"/>
  <c r="M281" i="1" s="1"/>
  <c r="G281" i="1"/>
  <c r="F281" i="1"/>
  <c r="C281" i="1"/>
  <c r="H281" i="1" s="1"/>
  <c r="O280" i="1"/>
  <c r="N280" i="1"/>
  <c r="J280" i="1"/>
  <c r="M280" i="1" s="1"/>
  <c r="H280" i="1"/>
  <c r="G280" i="1"/>
  <c r="F280" i="1"/>
  <c r="C280" i="1"/>
  <c r="O279" i="1"/>
  <c r="N279" i="1"/>
  <c r="J279" i="1"/>
  <c r="M279" i="1" s="1"/>
  <c r="G279" i="1"/>
  <c r="F279" i="1"/>
  <c r="C279" i="1"/>
  <c r="H279" i="1" s="1"/>
  <c r="O278" i="1"/>
  <c r="N278" i="1"/>
  <c r="J278" i="1"/>
  <c r="M278" i="1" s="1"/>
  <c r="G278" i="1"/>
  <c r="F278" i="1"/>
  <c r="C278" i="1"/>
  <c r="H278" i="1" s="1"/>
  <c r="O277" i="1"/>
  <c r="N277" i="1"/>
  <c r="G277" i="1"/>
  <c r="F277" i="1"/>
  <c r="J277" i="1" s="1"/>
  <c r="M277" i="1" s="1"/>
  <c r="C277" i="1"/>
  <c r="H277" i="1" s="1"/>
  <c r="O276" i="1"/>
  <c r="N276" i="1"/>
  <c r="J276" i="1"/>
  <c r="M276" i="1" s="1"/>
  <c r="G276" i="1"/>
  <c r="F276" i="1"/>
  <c r="C276" i="1"/>
  <c r="H276" i="1" s="1"/>
  <c r="O275" i="1"/>
  <c r="N275" i="1"/>
  <c r="G275" i="1"/>
  <c r="F275" i="1"/>
  <c r="J275" i="1" s="1"/>
  <c r="M275" i="1" s="1"/>
  <c r="C275" i="1"/>
  <c r="H275" i="1" s="1"/>
  <c r="O274" i="1"/>
  <c r="N274" i="1"/>
  <c r="J274" i="1"/>
  <c r="M274" i="1" s="1"/>
  <c r="G274" i="1"/>
  <c r="F274" i="1"/>
  <c r="C274" i="1"/>
  <c r="H274" i="1" s="1"/>
  <c r="O273" i="1"/>
  <c r="N273" i="1"/>
  <c r="H273" i="1"/>
  <c r="G273" i="1"/>
  <c r="F273" i="1"/>
  <c r="J273" i="1" s="1"/>
  <c r="M273" i="1" s="1"/>
  <c r="C273" i="1"/>
  <c r="O272" i="1"/>
  <c r="N272" i="1"/>
  <c r="J272" i="1"/>
  <c r="M272" i="1" s="1"/>
  <c r="G272" i="1"/>
  <c r="F272" i="1"/>
  <c r="C272" i="1"/>
  <c r="H272" i="1" s="1"/>
  <c r="O271" i="1"/>
  <c r="N271" i="1"/>
  <c r="H271" i="1"/>
  <c r="G271" i="1"/>
  <c r="F271" i="1"/>
  <c r="J271" i="1" s="1"/>
  <c r="M271" i="1" s="1"/>
  <c r="C271" i="1"/>
  <c r="O270" i="1"/>
  <c r="N270" i="1"/>
  <c r="J270" i="1"/>
  <c r="M270" i="1" s="1"/>
  <c r="G270" i="1"/>
  <c r="F270" i="1"/>
  <c r="C270" i="1"/>
  <c r="H270" i="1" s="1"/>
  <c r="O269" i="1"/>
  <c r="N269" i="1"/>
  <c r="M269" i="1"/>
  <c r="H269" i="1"/>
  <c r="G269" i="1"/>
  <c r="F269" i="1"/>
  <c r="J269" i="1" s="1"/>
  <c r="C269" i="1"/>
  <c r="O268" i="1"/>
  <c r="N268" i="1"/>
  <c r="J268" i="1"/>
  <c r="M268" i="1" s="1"/>
  <c r="G268" i="1"/>
  <c r="F268" i="1"/>
  <c r="C268" i="1"/>
  <c r="H268" i="1" s="1"/>
  <c r="O267" i="1"/>
  <c r="N267" i="1"/>
  <c r="M267" i="1"/>
  <c r="H267" i="1"/>
  <c r="G267" i="1"/>
  <c r="F267" i="1"/>
  <c r="J267" i="1" s="1"/>
  <c r="C267" i="1"/>
  <c r="O266" i="1"/>
  <c r="N266" i="1"/>
  <c r="J266" i="1"/>
  <c r="M266" i="1" s="1"/>
  <c r="G266" i="1"/>
  <c r="F266" i="1"/>
  <c r="C266" i="1"/>
  <c r="H266" i="1" s="1"/>
  <c r="O265" i="1"/>
  <c r="N265" i="1"/>
  <c r="H265" i="1"/>
  <c r="G265" i="1"/>
  <c r="F265" i="1"/>
  <c r="J265" i="1" s="1"/>
  <c r="M265" i="1" s="1"/>
  <c r="C265" i="1"/>
  <c r="O264" i="1"/>
  <c r="N264" i="1"/>
  <c r="J264" i="1"/>
  <c r="M264" i="1" s="1"/>
  <c r="G264" i="1"/>
  <c r="F264" i="1"/>
  <c r="C264" i="1"/>
  <c r="H264" i="1" s="1"/>
  <c r="O263" i="1"/>
  <c r="N263" i="1"/>
  <c r="H263" i="1"/>
  <c r="G263" i="1"/>
  <c r="F263" i="1"/>
  <c r="J263" i="1" s="1"/>
  <c r="M263" i="1" s="1"/>
  <c r="C263" i="1"/>
  <c r="O262" i="1"/>
  <c r="N262" i="1"/>
  <c r="J262" i="1"/>
  <c r="M262" i="1" s="1"/>
  <c r="G262" i="1"/>
  <c r="F262" i="1"/>
  <c r="C262" i="1"/>
  <c r="H262" i="1" s="1"/>
  <c r="O261" i="1"/>
  <c r="N261" i="1"/>
  <c r="M261" i="1"/>
  <c r="H261" i="1"/>
  <c r="G261" i="1"/>
  <c r="F261" i="1"/>
  <c r="J261" i="1" s="1"/>
  <c r="C261" i="1"/>
  <c r="O260" i="1"/>
  <c r="N260" i="1"/>
  <c r="J260" i="1"/>
  <c r="M260" i="1" s="1"/>
  <c r="G260" i="1"/>
  <c r="F260" i="1"/>
  <c r="C260" i="1"/>
  <c r="H260" i="1" s="1"/>
  <c r="O259" i="1"/>
  <c r="N259" i="1"/>
  <c r="M259" i="1"/>
  <c r="H259" i="1"/>
  <c r="G259" i="1"/>
  <c r="F259" i="1"/>
  <c r="J259" i="1" s="1"/>
  <c r="C259" i="1"/>
  <c r="O258" i="1"/>
  <c r="N258" i="1"/>
  <c r="J258" i="1"/>
  <c r="M258" i="1" s="1"/>
  <c r="G258" i="1"/>
  <c r="F258" i="1"/>
  <c r="C258" i="1"/>
  <c r="H258" i="1" s="1"/>
  <c r="O257" i="1"/>
  <c r="N257" i="1"/>
  <c r="H257" i="1"/>
  <c r="G257" i="1"/>
  <c r="F257" i="1"/>
  <c r="J257" i="1" s="1"/>
  <c r="M257" i="1" s="1"/>
  <c r="C257" i="1"/>
  <c r="O256" i="1"/>
  <c r="N256" i="1"/>
  <c r="J256" i="1"/>
  <c r="M256" i="1" s="1"/>
  <c r="G256" i="1"/>
  <c r="F256" i="1"/>
  <c r="C256" i="1"/>
  <c r="H256" i="1" s="1"/>
  <c r="O255" i="1"/>
  <c r="N255" i="1"/>
  <c r="H255" i="1"/>
  <c r="G255" i="1"/>
  <c r="F255" i="1"/>
  <c r="J255" i="1" s="1"/>
  <c r="M255" i="1" s="1"/>
  <c r="C255" i="1"/>
  <c r="O254" i="1"/>
  <c r="N254" i="1"/>
  <c r="J254" i="1"/>
  <c r="M254" i="1" s="1"/>
  <c r="G254" i="1"/>
  <c r="F254" i="1"/>
  <c r="C254" i="1"/>
  <c r="H254" i="1" s="1"/>
  <c r="O253" i="1"/>
  <c r="N253" i="1"/>
  <c r="M253" i="1"/>
  <c r="H253" i="1"/>
  <c r="G253" i="1"/>
  <c r="F253" i="1"/>
  <c r="J253" i="1" s="1"/>
  <c r="C253" i="1"/>
  <c r="O252" i="1"/>
  <c r="N252" i="1"/>
  <c r="H252" i="1"/>
  <c r="G252" i="1"/>
  <c r="F252" i="1"/>
  <c r="J252" i="1" s="1"/>
  <c r="M252" i="1" s="1"/>
  <c r="C252" i="1"/>
  <c r="O251" i="1"/>
  <c r="N251" i="1"/>
  <c r="H251" i="1"/>
  <c r="G251" i="1"/>
  <c r="F251" i="1"/>
  <c r="J251" i="1" s="1"/>
  <c r="M251" i="1" s="1"/>
  <c r="C251" i="1"/>
  <c r="O250" i="1"/>
  <c r="N250" i="1"/>
  <c r="G250" i="1"/>
  <c r="F250" i="1"/>
  <c r="J250" i="1" s="1"/>
  <c r="M250" i="1" s="1"/>
  <c r="C250" i="1"/>
  <c r="H250" i="1" s="1"/>
  <c r="O249" i="1"/>
  <c r="N249" i="1"/>
  <c r="M249" i="1"/>
  <c r="H249" i="1"/>
  <c r="G249" i="1"/>
  <c r="F249" i="1"/>
  <c r="J249" i="1" s="1"/>
  <c r="C249" i="1"/>
  <c r="O248" i="1"/>
  <c r="N248" i="1"/>
  <c r="H248" i="1"/>
  <c r="G248" i="1"/>
  <c r="F248" i="1"/>
  <c r="J248" i="1" s="1"/>
  <c r="M248" i="1" s="1"/>
  <c r="C248" i="1"/>
  <c r="O247" i="1"/>
  <c r="N247" i="1"/>
  <c r="H247" i="1"/>
  <c r="G247" i="1"/>
  <c r="F247" i="1"/>
  <c r="J247" i="1" s="1"/>
  <c r="M247" i="1" s="1"/>
  <c r="C247" i="1"/>
  <c r="O246" i="1"/>
  <c r="N246" i="1"/>
  <c r="J246" i="1"/>
  <c r="M246" i="1" s="1"/>
  <c r="G246" i="1"/>
  <c r="F246" i="1"/>
  <c r="C246" i="1"/>
  <c r="H246" i="1" s="1"/>
  <c r="O245" i="1"/>
  <c r="N245" i="1"/>
  <c r="H245" i="1"/>
  <c r="G245" i="1"/>
  <c r="F245" i="1"/>
  <c r="J245" i="1" s="1"/>
  <c r="M245" i="1" s="1"/>
  <c r="C245" i="1"/>
  <c r="O244" i="1"/>
  <c r="N244" i="1"/>
  <c r="H244" i="1"/>
  <c r="G244" i="1"/>
  <c r="F244" i="1"/>
  <c r="J244" i="1" s="1"/>
  <c r="M244" i="1" s="1"/>
  <c r="C244" i="1"/>
  <c r="O243" i="1"/>
  <c r="N243" i="1"/>
  <c r="H243" i="1"/>
  <c r="G243" i="1"/>
  <c r="F243" i="1"/>
  <c r="J243" i="1" s="1"/>
  <c r="M243" i="1" s="1"/>
  <c r="C243" i="1"/>
  <c r="O242" i="1"/>
  <c r="N242" i="1"/>
  <c r="J242" i="1"/>
  <c r="M242" i="1" s="1"/>
  <c r="G242" i="1"/>
  <c r="F242" i="1"/>
  <c r="C242" i="1"/>
  <c r="H242" i="1" s="1"/>
  <c r="O241" i="1"/>
  <c r="N241" i="1"/>
  <c r="H241" i="1"/>
  <c r="G241" i="1"/>
  <c r="F241" i="1"/>
  <c r="J241" i="1" s="1"/>
  <c r="M241" i="1" s="1"/>
  <c r="C241" i="1"/>
  <c r="O240" i="1"/>
  <c r="N240" i="1"/>
  <c r="H240" i="1"/>
  <c r="G240" i="1"/>
  <c r="F240" i="1"/>
  <c r="J240" i="1" s="1"/>
  <c r="M240" i="1" s="1"/>
  <c r="C240" i="1"/>
  <c r="O239" i="1"/>
  <c r="N239" i="1"/>
  <c r="H239" i="1"/>
  <c r="G239" i="1"/>
  <c r="F239" i="1"/>
  <c r="J239" i="1" s="1"/>
  <c r="M239" i="1" s="1"/>
  <c r="C239" i="1"/>
  <c r="O238" i="1"/>
  <c r="N238" i="1"/>
  <c r="G238" i="1"/>
  <c r="F238" i="1"/>
  <c r="J238" i="1" s="1"/>
  <c r="M238" i="1" s="1"/>
  <c r="C238" i="1"/>
  <c r="H238" i="1" s="1"/>
  <c r="O237" i="1"/>
  <c r="N237" i="1"/>
  <c r="M237" i="1"/>
  <c r="H237" i="1"/>
  <c r="G237" i="1"/>
  <c r="F237" i="1"/>
  <c r="J237" i="1" s="1"/>
  <c r="C237" i="1"/>
  <c r="O236" i="1"/>
  <c r="N236" i="1"/>
  <c r="H236" i="1"/>
  <c r="G236" i="1"/>
  <c r="F236" i="1"/>
  <c r="J236" i="1" s="1"/>
  <c r="M236" i="1" s="1"/>
  <c r="C236" i="1"/>
  <c r="O235" i="1"/>
  <c r="N235" i="1"/>
  <c r="H235" i="1"/>
  <c r="G235" i="1"/>
  <c r="F235" i="1"/>
  <c r="J235" i="1" s="1"/>
  <c r="M235" i="1" s="1"/>
  <c r="C235" i="1"/>
  <c r="O234" i="1"/>
  <c r="N234" i="1"/>
  <c r="G234" i="1"/>
  <c r="F234" i="1"/>
  <c r="J234" i="1" s="1"/>
  <c r="M234" i="1" s="1"/>
  <c r="C234" i="1"/>
  <c r="H234" i="1" s="1"/>
  <c r="O233" i="1"/>
  <c r="N233" i="1"/>
  <c r="M233" i="1"/>
  <c r="H233" i="1"/>
  <c r="G233" i="1"/>
  <c r="F233" i="1"/>
  <c r="J233" i="1" s="1"/>
  <c r="C233" i="1"/>
  <c r="O232" i="1"/>
  <c r="N232" i="1"/>
  <c r="H232" i="1"/>
  <c r="G232" i="1"/>
  <c r="F232" i="1"/>
  <c r="J232" i="1" s="1"/>
  <c r="M232" i="1" s="1"/>
  <c r="C232" i="1"/>
  <c r="O231" i="1"/>
  <c r="N231" i="1"/>
  <c r="H231" i="1"/>
  <c r="G231" i="1"/>
  <c r="F231" i="1"/>
  <c r="J231" i="1" s="1"/>
  <c r="M231" i="1" s="1"/>
  <c r="C231" i="1"/>
  <c r="O230" i="1"/>
  <c r="N230" i="1"/>
  <c r="J230" i="1"/>
  <c r="M230" i="1" s="1"/>
  <c r="G230" i="1"/>
  <c r="F230" i="1"/>
  <c r="C230" i="1"/>
  <c r="H230" i="1" s="1"/>
  <c r="O229" i="1"/>
  <c r="N229" i="1"/>
  <c r="H229" i="1"/>
  <c r="G229" i="1"/>
  <c r="F229" i="1"/>
  <c r="J229" i="1" s="1"/>
  <c r="M229" i="1" s="1"/>
  <c r="C229" i="1"/>
  <c r="O228" i="1"/>
  <c r="N228" i="1"/>
  <c r="J228" i="1"/>
  <c r="M228" i="1" s="1"/>
  <c r="H228" i="1"/>
  <c r="G228" i="1"/>
  <c r="F228" i="1"/>
  <c r="C228" i="1"/>
  <c r="O227" i="1"/>
  <c r="N227" i="1"/>
  <c r="H227" i="1"/>
  <c r="G227" i="1"/>
  <c r="F227" i="1"/>
  <c r="J227" i="1" s="1"/>
  <c r="M227" i="1" s="1"/>
  <c r="C227" i="1"/>
  <c r="O226" i="1"/>
  <c r="N226" i="1"/>
  <c r="G226" i="1"/>
  <c r="F226" i="1"/>
  <c r="J226" i="1" s="1"/>
  <c r="M226" i="1" s="1"/>
  <c r="C226" i="1"/>
  <c r="H226" i="1" s="1"/>
  <c r="O225" i="1"/>
  <c r="N225" i="1"/>
  <c r="M225" i="1"/>
  <c r="J225" i="1"/>
  <c r="H225" i="1"/>
  <c r="G225" i="1"/>
  <c r="F225" i="1"/>
  <c r="C225" i="1"/>
  <c r="O224" i="1"/>
  <c r="N224" i="1"/>
  <c r="J224" i="1"/>
  <c r="M224" i="1" s="1"/>
  <c r="G224" i="1"/>
  <c r="F224" i="1"/>
  <c r="C224" i="1"/>
  <c r="H224" i="1" s="1"/>
  <c r="O223" i="1"/>
  <c r="N223" i="1"/>
  <c r="J223" i="1"/>
  <c r="M223" i="1" s="1"/>
  <c r="H223" i="1"/>
  <c r="G223" i="1"/>
  <c r="F223" i="1"/>
  <c r="C223" i="1"/>
  <c r="O222" i="1"/>
  <c r="N222" i="1"/>
  <c r="J222" i="1"/>
  <c r="M222" i="1" s="1"/>
  <c r="G222" i="1"/>
  <c r="F222" i="1"/>
  <c r="C222" i="1"/>
  <c r="H222" i="1" s="1"/>
  <c r="O221" i="1"/>
  <c r="N221" i="1"/>
  <c r="J221" i="1"/>
  <c r="M221" i="1" s="1"/>
  <c r="G221" i="1"/>
  <c r="F221" i="1"/>
  <c r="C221" i="1"/>
  <c r="H221" i="1" s="1"/>
  <c r="O220" i="1"/>
  <c r="N220" i="1"/>
  <c r="M220" i="1"/>
  <c r="G220" i="1"/>
  <c r="F220" i="1"/>
  <c r="J220" i="1" s="1"/>
  <c r="C220" i="1"/>
  <c r="H220" i="1" s="1"/>
  <c r="O219" i="1"/>
  <c r="N219" i="1"/>
  <c r="J219" i="1"/>
  <c r="M219" i="1" s="1"/>
  <c r="G219" i="1"/>
  <c r="F219" i="1"/>
  <c r="C219" i="1"/>
  <c r="H219" i="1" s="1"/>
  <c r="O218" i="1"/>
  <c r="N218" i="1"/>
  <c r="G218" i="1"/>
  <c r="F218" i="1"/>
  <c r="J218" i="1" s="1"/>
  <c r="M218" i="1" s="1"/>
  <c r="C218" i="1"/>
  <c r="H218" i="1" s="1"/>
  <c r="O217" i="1"/>
  <c r="N217" i="1"/>
  <c r="M217" i="1"/>
  <c r="J217" i="1"/>
  <c r="H217" i="1"/>
  <c r="G217" i="1"/>
  <c r="F217" i="1"/>
  <c r="C217" i="1"/>
  <c r="O216" i="1"/>
  <c r="N216" i="1"/>
  <c r="J216" i="1"/>
  <c r="M216" i="1" s="1"/>
  <c r="G216" i="1"/>
  <c r="F216" i="1"/>
  <c r="C216" i="1"/>
  <c r="H216" i="1" s="1"/>
  <c r="O215" i="1"/>
  <c r="N215" i="1"/>
  <c r="J215" i="1"/>
  <c r="M215" i="1" s="1"/>
  <c r="H215" i="1"/>
  <c r="G215" i="1"/>
  <c r="F215" i="1"/>
  <c r="C215" i="1"/>
  <c r="O214" i="1"/>
  <c r="N214" i="1"/>
  <c r="J214" i="1"/>
  <c r="M214" i="1" s="1"/>
  <c r="G214" i="1"/>
  <c r="F214" i="1"/>
  <c r="C214" i="1"/>
  <c r="H214" i="1" s="1"/>
  <c r="O213" i="1"/>
  <c r="N213" i="1"/>
  <c r="J213" i="1"/>
  <c r="M213" i="1" s="1"/>
  <c r="G213" i="1"/>
  <c r="F213" i="1"/>
  <c r="C213" i="1"/>
  <c r="H213" i="1" s="1"/>
  <c r="O212" i="1"/>
  <c r="N212" i="1"/>
  <c r="G212" i="1"/>
  <c r="F212" i="1"/>
  <c r="J212" i="1" s="1"/>
  <c r="M212" i="1" s="1"/>
  <c r="C212" i="1"/>
  <c r="H212" i="1" s="1"/>
  <c r="O211" i="1"/>
  <c r="N211" i="1"/>
  <c r="M211" i="1"/>
  <c r="J211" i="1"/>
  <c r="G211" i="1"/>
  <c r="F211" i="1"/>
  <c r="C211" i="1"/>
  <c r="H211" i="1" s="1"/>
  <c r="O210" i="1"/>
  <c r="N210" i="1"/>
  <c r="M210" i="1"/>
  <c r="G210" i="1"/>
  <c r="F210" i="1"/>
  <c r="J210" i="1" s="1"/>
  <c r="C210" i="1"/>
  <c r="H210" i="1" s="1"/>
  <c r="O209" i="1"/>
  <c r="N209" i="1"/>
  <c r="M209" i="1"/>
  <c r="J209" i="1"/>
  <c r="H209" i="1"/>
  <c r="G209" i="1"/>
  <c r="F209" i="1"/>
  <c r="C209" i="1"/>
  <c r="O208" i="1"/>
  <c r="N208" i="1"/>
  <c r="J208" i="1"/>
  <c r="M208" i="1" s="1"/>
  <c r="G208" i="1"/>
  <c r="F208" i="1"/>
  <c r="C208" i="1"/>
  <c r="H208" i="1" s="1"/>
  <c r="O207" i="1"/>
  <c r="N207" i="1"/>
  <c r="J207" i="1"/>
  <c r="M207" i="1" s="1"/>
  <c r="H207" i="1"/>
  <c r="G207" i="1"/>
  <c r="F207" i="1"/>
  <c r="C207" i="1"/>
  <c r="O206" i="1"/>
  <c r="N206" i="1"/>
  <c r="J206" i="1"/>
  <c r="M206" i="1" s="1"/>
  <c r="G206" i="1"/>
  <c r="F206" i="1"/>
  <c r="C206" i="1"/>
  <c r="H206" i="1" s="1"/>
  <c r="O205" i="1"/>
  <c r="N205" i="1"/>
  <c r="J205" i="1"/>
  <c r="M205" i="1" s="1"/>
  <c r="H205" i="1"/>
  <c r="G205" i="1"/>
  <c r="F205" i="1"/>
  <c r="C205" i="1"/>
  <c r="O204" i="1"/>
  <c r="N204" i="1"/>
  <c r="G204" i="1"/>
  <c r="F204" i="1"/>
  <c r="J204" i="1" s="1"/>
  <c r="M204" i="1" s="1"/>
  <c r="C204" i="1"/>
  <c r="H204" i="1" s="1"/>
  <c r="O203" i="1"/>
  <c r="N203" i="1"/>
  <c r="M203" i="1"/>
  <c r="J203" i="1"/>
  <c r="G203" i="1"/>
  <c r="F203" i="1"/>
  <c r="C203" i="1"/>
  <c r="H203" i="1" s="1"/>
  <c r="O202" i="1"/>
  <c r="N202" i="1"/>
  <c r="M202" i="1"/>
  <c r="G202" i="1"/>
  <c r="F202" i="1"/>
  <c r="J202" i="1" s="1"/>
  <c r="C202" i="1"/>
  <c r="H202" i="1" s="1"/>
  <c r="O201" i="1"/>
  <c r="N201" i="1"/>
  <c r="M201" i="1"/>
  <c r="J201" i="1"/>
  <c r="H201" i="1"/>
  <c r="G201" i="1"/>
  <c r="F201" i="1"/>
  <c r="C201" i="1"/>
  <c r="O200" i="1"/>
  <c r="N200" i="1"/>
  <c r="J200" i="1"/>
  <c r="M200" i="1" s="1"/>
  <c r="G200" i="1"/>
  <c r="F200" i="1"/>
  <c r="C200" i="1"/>
  <c r="H200" i="1" s="1"/>
  <c r="O199" i="1"/>
  <c r="N199" i="1"/>
  <c r="J199" i="1"/>
  <c r="M199" i="1" s="1"/>
  <c r="H199" i="1"/>
  <c r="G199" i="1"/>
  <c r="F199" i="1"/>
  <c r="C199" i="1"/>
  <c r="O198" i="1"/>
  <c r="N198" i="1"/>
  <c r="J198" i="1"/>
  <c r="M198" i="1" s="1"/>
  <c r="G198" i="1"/>
  <c r="F198" i="1"/>
  <c r="C198" i="1"/>
  <c r="H198" i="1" s="1"/>
  <c r="O197" i="1"/>
  <c r="N197" i="1"/>
  <c r="J197" i="1"/>
  <c r="M197" i="1" s="1"/>
  <c r="H197" i="1"/>
  <c r="G197" i="1"/>
  <c r="F197" i="1"/>
  <c r="C197" i="1"/>
  <c r="O196" i="1"/>
  <c r="N196" i="1"/>
  <c r="M196" i="1"/>
  <c r="G196" i="1"/>
  <c r="F196" i="1"/>
  <c r="J196" i="1" s="1"/>
  <c r="C196" i="1"/>
  <c r="H196" i="1" s="1"/>
  <c r="O195" i="1"/>
  <c r="N195" i="1"/>
  <c r="J195" i="1"/>
  <c r="M195" i="1" s="1"/>
  <c r="G195" i="1"/>
  <c r="F195" i="1"/>
  <c r="C195" i="1"/>
  <c r="H195" i="1" s="1"/>
  <c r="O194" i="1"/>
  <c r="N194" i="1"/>
  <c r="G194" i="1"/>
  <c r="F194" i="1"/>
  <c r="J194" i="1" s="1"/>
  <c r="M194" i="1" s="1"/>
  <c r="C194" i="1"/>
  <c r="H194" i="1" s="1"/>
  <c r="O193" i="1"/>
  <c r="N193" i="1"/>
  <c r="M193" i="1"/>
  <c r="J193" i="1"/>
  <c r="H193" i="1"/>
  <c r="G193" i="1"/>
  <c r="F193" i="1"/>
  <c r="C193" i="1"/>
  <c r="O192" i="1"/>
  <c r="N192" i="1"/>
  <c r="J192" i="1"/>
  <c r="M192" i="1" s="1"/>
  <c r="G192" i="1"/>
  <c r="F192" i="1"/>
  <c r="C192" i="1"/>
  <c r="H192" i="1" s="1"/>
  <c r="O191" i="1"/>
  <c r="N191" i="1"/>
  <c r="J191" i="1"/>
  <c r="M191" i="1" s="1"/>
  <c r="H191" i="1"/>
  <c r="G191" i="1"/>
  <c r="F191" i="1"/>
  <c r="C191" i="1"/>
  <c r="O190" i="1"/>
  <c r="N190" i="1"/>
  <c r="J190" i="1"/>
  <c r="M190" i="1" s="1"/>
  <c r="G190" i="1"/>
  <c r="F190" i="1"/>
  <c r="C190" i="1"/>
  <c r="H190" i="1" s="1"/>
  <c r="O189" i="1"/>
  <c r="N189" i="1"/>
  <c r="J189" i="1"/>
  <c r="M189" i="1" s="1"/>
  <c r="G189" i="1"/>
  <c r="F189" i="1"/>
  <c r="C189" i="1"/>
  <c r="H189" i="1" s="1"/>
  <c r="O188" i="1"/>
  <c r="N188" i="1"/>
  <c r="M188" i="1"/>
  <c r="G188" i="1"/>
  <c r="F188" i="1"/>
  <c r="J188" i="1" s="1"/>
  <c r="C188" i="1"/>
  <c r="H188" i="1" s="1"/>
  <c r="O187" i="1"/>
  <c r="N187" i="1"/>
  <c r="J187" i="1"/>
  <c r="M187" i="1" s="1"/>
  <c r="G187" i="1"/>
  <c r="F187" i="1"/>
  <c r="C187" i="1"/>
  <c r="H187" i="1" s="1"/>
  <c r="O186" i="1"/>
  <c r="N186" i="1"/>
  <c r="G186" i="1"/>
  <c r="F186" i="1"/>
  <c r="J186" i="1" s="1"/>
  <c r="M186" i="1" s="1"/>
  <c r="C186" i="1"/>
  <c r="H186" i="1" s="1"/>
  <c r="O185" i="1"/>
  <c r="N185" i="1"/>
  <c r="M185" i="1"/>
  <c r="J185" i="1"/>
  <c r="H185" i="1"/>
  <c r="G185" i="1"/>
  <c r="F185" i="1"/>
  <c r="C185" i="1"/>
  <c r="O184" i="1"/>
  <c r="N184" i="1"/>
  <c r="J184" i="1"/>
  <c r="M184" i="1" s="1"/>
  <c r="G184" i="1"/>
  <c r="F184" i="1"/>
  <c r="C184" i="1"/>
  <c r="H184" i="1" s="1"/>
  <c r="O183" i="1"/>
  <c r="N183" i="1"/>
  <c r="J183" i="1"/>
  <c r="M183" i="1" s="1"/>
  <c r="H183" i="1"/>
  <c r="G183" i="1"/>
  <c r="F183" i="1"/>
  <c r="C183" i="1"/>
  <c r="O182" i="1"/>
  <c r="N182" i="1"/>
  <c r="J182" i="1"/>
  <c r="M182" i="1" s="1"/>
  <c r="G182" i="1"/>
  <c r="F182" i="1"/>
  <c r="C182" i="1"/>
  <c r="H182" i="1" s="1"/>
  <c r="O181" i="1"/>
  <c r="N181" i="1"/>
  <c r="J181" i="1"/>
  <c r="M181" i="1" s="1"/>
  <c r="G181" i="1"/>
  <c r="F181" i="1"/>
  <c r="C181" i="1"/>
  <c r="H181" i="1" s="1"/>
  <c r="O180" i="1"/>
  <c r="N180" i="1"/>
  <c r="G180" i="1"/>
  <c r="F180" i="1"/>
  <c r="J180" i="1" s="1"/>
  <c r="M180" i="1" s="1"/>
  <c r="C180" i="1"/>
  <c r="H180" i="1" s="1"/>
  <c r="O179" i="1"/>
  <c r="N179" i="1"/>
  <c r="M179" i="1"/>
  <c r="J179" i="1"/>
  <c r="G179" i="1"/>
  <c r="F179" i="1"/>
  <c r="C179" i="1"/>
  <c r="H179" i="1" s="1"/>
  <c r="O178" i="1"/>
  <c r="N178" i="1"/>
  <c r="M178" i="1"/>
  <c r="G178" i="1"/>
  <c r="F178" i="1"/>
  <c r="J178" i="1" s="1"/>
  <c r="C178" i="1"/>
  <c r="H178" i="1" s="1"/>
  <c r="O177" i="1"/>
  <c r="N177" i="1"/>
  <c r="M177" i="1"/>
  <c r="J177" i="1"/>
  <c r="H177" i="1"/>
  <c r="G177" i="1"/>
  <c r="F177" i="1"/>
  <c r="C177" i="1"/>
  <c r="O176" i="1"/>
  <c r="N176" i="1"/>
  <c r="J176" i="1"/>
  <c r="M176" i="1" s="1"/>
  <c r="G176" i="1"/>
  <c r="F176" i="1"/>
  <c r="C176" i="1"/>
  <c r="H176" i="1" s="1"/>
  <c r="O175" i="1"/>
  <c r="N175" i="1"/>
  <c r="J175" i="1"/>
  <c r="M175" i="1" s="1"/>
  <c r="H175" i="1"/>
  <c r="G175" i="1"/>
  <c r="F175" i="1"/>
  <c r="C175" i="1"/>
  <c r="O174" i="1"/>
  <c r="N174" i="1"/>
  <c r="J174" i="1"/>
  <c r="M174" i="1" s="1"/>
  <c r="G174" i="1"/>
  <c r="F174" i="1"/>
  <c r="C174" i="1"/>
  <c r="H174" i="1" s="1"/>
  <c r="O173" i="1"/>
  <c r="N173" i="1"/>
  <c r="J173" i="1"/>
  <c r="M173" i="1" s="1"/>
  <c r="G173" i="1"/>
  <c r="F173" i="1"/>
  <c r="C173" i="1"/>
  <c r="H173" i="1" s="1"/>
  <c r="O172" i="1"/>
  <c r="N172" i="1"/>
  <c r="M172" i="1"/>
  <c r="J172" i="1"/>
  <c r="H172" i="1"/>
  <c r="G172" i="1"/>
  <c r="F172" i="1"/>
  <c r="C172" i="1"/>
  <c r="O171" i="1"/>
  <c r="N171" i="1"/>
  <c r="J171" i="1"/>
  <c r="M171" i="1" s="1"/>
  <c r="G171" i="1"/>
  <c r="F171" i="1"/>
  <c r="C171" i="1"/>
  <c r="H171" i="1" s="1"/>
  <c r="O170" i="1"/>
  <c r="N170" i="1"/>
  <c r="M170" i="1"/>
  <c r="J170" i="1"/>
  <c r="H170" i="1"/>
  <c r="G170" i="1"/>
  <c r="F170" i="1"/>
  <c r="C170" i="1"/>
  <c r="O169" i="1"/>
  <c r="N169" i="1"/>
  <c r="J169" i="1"/>
  <c r="M169" i="1" s="1"/>
  <c r="G169" i="1"/>
  <c r="F169" i="1"/>
  <c r="C169" i="1"/>
  <c r="H169" i="1" s="1"/>
  <c r="O168" i="1"/>
  <c r="N168" i="1"/>
  <c r="M168" i="1"/>
  <c r="J168" i="1"/>
  <c r="H168" i="1"/>
  <c r="G168" i="1"/>
  <c r="F168" i="1"/>
  <c r="C168" i="1"/>
  <c r="O167" i="1"/>
  <c r="N167" i="1"/>
  <c r="J167" i="1"/>
  <c r="M167" i="1" s="1"/>
  <c r="G167" i="1"/>
  <c r="F167" i="1"/>
  <c r="C167" i="1"/>
  <c r="H167" i="1" s="1"/>
  <c r="O166" i="1"/>
  <c r="N166" i="1"/>
  <c r="M166" i="1"/>
  <c r="J166" i="1"/>
  <c r="H166" i="1"/>
  <c r="G166" i="1"/>
  <c r="F166" i="1"/>
  <c r="C166" i="1"/>
  <c r="O165" i="1"/>
  <c r="N165" i="1"/>
  <c r="J165" i="1"/>
  <c r="M165" i="1" s="1"/>
  <c r="G165" i="1"/>
  <c r="F165" i="1"/>
  <c r="C165" i="1"/>
  <c r="H165" i="1" s="1"/>
  <c r="O164" i="1"/>
  <c r="N164" i="1"/>
  <c r="M164" i="1"/>
  <c r="J164" i="1"/>
  <c r="H164" i="1"/>
  <c r="G164" i="1"/>
  <c r="F164" i="1"/>
  <c r="C164" i="1"/>
  <c r="O163" i="1"/>
  <c r="N163" i="1"/>
  <c r="J163" i="1"/>
  <c r="M163" i="1" s="1"/>
  <c r="G163" i="1"/>
  <c r="F163" i="1"/>
  <c r="C163" i="1"/>
  <c r="H163" i="1" s="1"/>
  <c r="O162" i="1"/>
  <c r="N162" i="1"/>
  <c r="M162" i="1"/>
  <c r="J162" i="1"/>
  <c r="H162" i="1"/>
  <c r="G162" i="1"/>
  <c r="F162" i="1"/>
  <c r="C162" i="1"/>
  <c r="O161" i="1"/>
  <c r="N161" i="1"/>
  <c r="J161" i="1"/>
  <c r="M161" i="1" s="1"/>
  <c r="G161" i="1"/>
  <c r="F161" i="1"/>
  <c r="C161" i="1"/>
  <c r="H161" i="1" s="1"/>
  <c r="O160" i="1"/>
  <c r="N160" i="1"/>
  <c r="M160" i="1"/>
  <c r="J160" i="1"/>
  <c r="H160" i="1"/>
  <c r="G160" i="1"/>
  <c r="F160" i="1"/>
  <c r="C160" i="1"/>
  <c r="O159" i="1"/>
  <c r="N159" i="1"/>
  <c r="J159" i="1"/>
  <c r="M159" i="1" s="1"/>
  <c r="G159" i="1"/>
  <c r="F159" i="1"/>
  <c r="C159" i="1"/>
  <c r="H159" i="1" s="1"/>
  <c r="O158" i="1"/>
  <c r="N158" i="1"/>
  <c r="M158" i="1"/>
  <c r="J158" i="1"/>
  <c r="H158" i="1"/>
  <c r="G158" i="1"/>
  <c r="F158" i="1"/>
  <c r="C158" i="1"/>
  <c r="O157" i="1"/>
  <c r="N157" i="1"/>
  <c r="J157" i="1"/>
  <c r="M157" i="1" s="1"/>
  <c r="G157" i="1"/>
  <c r="F157" i="1"/>
  <c r="C157" i="1"/>
  <c r="H157" i="1" s="1"/>
  <c r="O156" i="1"/>
  <c r="N156" i="1"/>
  <c r="M156" i="1"/>
  <c r="J156" i="1"/>
  <c r="H156" i="1"/>
  <c r="G156" i="1"/>
  <c r="F156" i="1"/>
  <c r="C156" i="1"/>
  <c r="O155" i="1"/>
  <c r="N155" i="1"/>
  <c r="J155" i="1"/>
  <c r="M155" i="1" s="1"/>
  <c r="G155" i="1"/>
  <c r="F155" i="1"/>
  <c r="C155" i="1"/>
  <c r="H155" i="1" s="1"/>
  <c r="O154" i="1"/>
  <c r="N154" i="1"/>
  <c r="M154" i="1"/>
  <c r="J154" i="1"/>
  <c r="H154" i="1"/>
  <c r="G154" i="1"/>
  <c r="F154" i="1"/>
  <c r="C154" i="1"/>
  <c r="O153" i="1"/>
  <c r="N153" i="1"/>
  <c r="J153" i="1"/>
  <c r="M153" i="1" s="1"/>
  <c r="G153" i="1"/>
  <c r="F153" i="1"/>
  <c r="C153" i="1"/>
  <c r="H153" i="1" s="1"/>
  <c r="O152" i="1"/>
  <c r="N152" i="1"/>
  <c r="M152" i="1"/>
  <c r="J152" i="1"/>
  <c r="H152" i="1"/>
  <c r="G152" i="1"/>
  <c r="F152" i="1"/>
  <c r="C152" i="1"/>
  <c r="O151" i="1"/>
  <c r="N151" i="1"/>
  <c r="J151" i="1"/>
  <c r="M151" i="1" s="1"/>
  <c r="G151" i="1"/>
  <c r="F151" i="1"/>
  <c r="C151" i="1"/>
  <c r="H151" i="1" s="1"/>
  <c r="O150" i="1"/>
  <c r="N150" i="1"/>
  <c r="M150" i="1"/>
  <c r="J150" i="1"/>
  <c r="H150" i="1"/>
  <c r="G150" i="1"/>
  <c r="F150" i="1"/>
  <c r="C150" i="1"/>
  <c r="O149" i="1"/>
  <c r="N149" i="1"/>
  <c r="J149" i="1"/>
  <c r="M149" i="1" s="1"/>
  <c r="G149" i="1"/>
  <c r="F149" i="1"/>
  <c r="C149" i="1"/>
  <c r="H149" i="1" s="1"/>
  <c r="O148" i="1"/>
  <c r="N148" i="1"/>
  <c r="M148" i="1"/>
  <c r="J148" i="1"/>
  <c r="H148" i="1"/>
  <c r="G148" i="1"/>
  <c r="F148" i="1"/>
  <c r="C148" i="1"/>
  <c r="O147" i="1"/>
  <c r="N147" i="1"/>
  <c r="J147" i="1"/>
  <c r="M147" i="1" s="1"/>
  <c r="G147" i="1"/>
  <c r="F147" i="1"/>
  <c r="C147" i="1"/>
  <c r="H147" i="1" s="1"/>
  <c r="O146" i="1"/>
  <c r="N146" i="1"/>
  <c r="M146" i="1"/>
  <c r="J146" i="1"/>
  <c r="H146" i="1"/>
  <c r="G146" i="1"/>
  <c r="F146" i="1"/>
  <c r="C146" i="1"/>
  <c r="O145" i="1"/>
  <c r="N145" i="1"/>
  <c r="J145" i="1"/>
  <c r="M145" i="1" s="1"/>
  <c r="G145" i="1"/>
  <c r="F145" i="1"/>
  <c r="C145" i="1"/>
  <c r="H145" i="1" s="1"/>
  <c r="O144" i="1"/>
  <c r="N144" i="1"/>
  <c r="M144" i="1"/>
  <c r="J144" i="1"/>
  <c r="H144" i="1"/>
  <c r="G144" i="1"/>
  <c r="F144" i="1"/>
  <c r="C144" i="1"/>
  <c r="O143" i="1"/>
  <c r="N143" i="1"/>
  <c r="J143" i="1"/>
  <c r="M143" i="1" s="1"/>
  <c r="G143" i="1"/>
  <c r="F143" i="1"/>
  <c r="C143" i="1"/>
  <c r="H143" i="1" s="1"/>
  <c r="O142" i="1"/>
  <c r="N142" i="1"/>
  <c r="M142" i="1"/>
  <c r="J142" i="1"/>
  <c r="H142" i="1"/>
  <c r="G142" i="1"/>
  <c r="F142" i="1"/>
  <c r="C142" i="1"/>
  <c r="O141" i="1"/>
  <c r="N141" i="1"/>
  <c r="J141" i="1"/>
  <c r="M141" i="1" s="1"/>
  <c r="G141" i="1"/>
  <c r="F141" i="1"/>
  <c r="C141" i="1"/>
  <c r="H141" i="1" s="1"/>
  <c r="O140" i="1"/>
  <c r="N140" i="1"/>
  <c r="M140" i="1"/>
  <c r="J140" i="1"/>
  <c r="H140" i="1"/>
  <c r="G140" i="1"/>
  <c r="F140" i="1"/>
  <c r="C140" i="1"/>
  <c r="W139" i="1"/>
  <c r="O139" i="1"/>
  <c r="N139" i="1"/>
  <c r="H139" i="1"/>
  <c r="G139" i="1"/>
  <c r="F139" i="1"/>
  <c r="J139" i="1" s="1"/>
  <c r="M139" i="1" s="1"/>
  <c r="C139" i="1"/>
  <c r="W138" i="1"/>
  <c r="O138" i="1"/>
  <c r="N138" i="1"/>
  <c r="G138" i="1"/>
  <c r="F138" i="1"/>
  <c r="J138" i="1" s="1"/>
  <c r="M138" i="1" s="1"/>
  <c r="C138" i="1"/>
  <c r="H138" i="1" s="1"/>
  <c r="W137" i="1"/>
  <c r="O137" i="1"/>
  <c r="N137" i="1"/>
  <c r="J137" i="1"/>
  <c r="M137" i="1" s="1"/>
  <c r="G137" i="1"/>
  <c r="F137" i="1"/>
  <c r="C137" i="1"/>
  <c r="H137" i="1" s="1"/>
  <c r="W136" i="1"/>
  <c r="O136" i="1"/>
  <c r="N136" i="1"/>
  <c r="M136" i="1"/>
  <c r="J136" i="1"/>
  <c r="H136" i="1"/>
  <c r="G136" i="1"/>
  <c r="F136" i="1"/>
  <c r="C136" i="1"/>
  <c r="W135" i="1"/>
  <c r="O135" i="1"/>
  <c r="N135" i="1"/>
  <c r="H135" i="1"/>
  <c r="G135" i="1"/>
  <c r="F135" i="1"/>
  <c r="J135" i="1" s="1"/>
  <c r="M135" i="1" s="1"/>
  <c r="C135" i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J133" i="1"/>
  <c r="M133" i="1" s="1"/>
  <c r="G133" i="1"/>
  <c r="F133" i="1"/>
  <c r="C133" i="1"/>
  <c r="H133" i="1" s="1"/>
  <c r="W132" i="1"/>
  <c r="O132" i="1"/>
  <c r="N132" i="1"/>
  <c r="M132" i="1"/>
  <c r="J132" i="1"/>
  <c r="H132" i="1"/>
  <c r="G132" i="1"/>
  <c r="F132" i="1"/>
  <c r="C132" i="1"/>
  <c r="W131" i="1"/>
  <c r="O131" i="1"/>
  <c r="N131" i="1"/>
  <c r="H131" i="1"/>
  <c r="G131" i="1"/>
  <c r="F131" i="1"/>
  <c r="J131" i="1" s="1"/>
  <c r="M131" i="1" s="1"/>
  <c r="C131" i="1"/>
  <c r="W130" i="1"/>
  <c r="O130" i="1"/>
  <c r="N130" i="1"/>
  <c r="G130" i="1"/>
  <c r="F130" i="1"/>
  <c r="J130" i="1" s="1"/>
  <c r="M130" i="1" s="1"/>
  <c r="C130" i="1"/>
  <c r="H130" i="1" s="1"/>
  <c r="W129" i="1"/>
  <c r="O129" i="1"/>
  <c r="N129" i="1"/>
  <c r="J129" i="1"/>
  <c r="M129" i="1" s="1"/>
  <c r="G129" i="1"/>
  <c r="F129" i="1"/>
  <c r="C129" i="1"/>
  <c r="H129" i="1" s="1"/>
  <c r="W128" i="1"/>
  <c r="O128" i="1"/>
  <c r="N128" i="1"/>
  <c r="M128" i="1"/>
  <c r="J128" i="1"/>
  <c r="H128" i="1"/>
  <c r="G128" i="1"/>
  <c r="F128" i="1"/>
  <c r="C128" i="1"/>
  <c r="W127" i="1"/>
  <c r="O127" i="1"/>
  <c r="N127" i="1"/>
  <c r="H127" i="1"/>
  <c r="G127" i="1"/>
  <c r="F127" i="1"/>
  <c r="J127" i="1" s="1"/>
  <c r="M127" i="1" s="1"/>
  <c r="C127" i="1"/>
  <c r="W126" i="1"/>
  <c r="O126" i="1"/>
  <c r="N126" i="1"/>
  <c r="G126" i="1"/>
  <c r="F126" i="1"/>
  <c r="J126" i="1" s="1"/>
  <c r="M126" i="1" s="1"/>
  <c r="C126" i="1"/>
  <c r="H126" i="1" s="1"/>
  <c r="W125" i="1"/>
  <c r="O125" i="1"/>
  <c r="N125" i="1"/>
  <c r="J125" i="1"/>
  <c r="M125" i="1" s="1"/>
  <c r="G125" i="1"/>
  <c r="F125" i="1"/>
  <c r="C125" i="1"/>
  <c r="H125" i="1" s="1"/>
  <c r="W124" i="1"/>
  <c r="O124" i="1"/>
  <c r="N124" i="1"/>
  <c r="M124" i="1"/>
  <c r="J124" i="1"/>
  <c r="H124" i="1"/>
  <c r="G124" i="1"/>
  <c r="F124" i="1"/>
  <c r="C124" i="1"/>
  <c r="W123" i="1"/>
  <c r="O123" i="1"/>
  <c r="N123" i="1"/>
  <c r="H123" i="1"/>
  <c r="G123" i="1"/>
  <c r="F123" i="1"/>
  <c r="J123" i="1" s="1"/>
  <c r="M123" i="1" s="1"/>
  <c r="C123" i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J121" i="1"/>
  <c r="M121" i="1" s="1"/>
  <c r="G121" i="1"/>
  <c r="F121" i="1"/>
  <c r="C121" i="1"/>
  <c r="H121" i="1" s="1"/>
  <c r="W120" i="1"/>
  <c r="O120" i="1"/>
  <c r="N120" i="1"/>
  <c r="M120" i="1"/>
  <c r="J120" i="1"/>
  <c r="H120" i="1"/>
  <c r="G120" i="1"/>
  <c r="F120" i="1"/>
  <c r="C120" i="1"/>
  <c r="W119" i="1"/>
  <c r="O119" i="1"/>
  <c r="N119" i="1"/>
  <c r="H119" i="1"/>
  <c r="G119" i="1"/>
  <c r="F119" i="1"/>
  <c r="J119" i="1" s="1"/>
  <c r="M119" i="1" s="1"/>
  <c r="C119" i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J117" i="1"/>
  <c r="M117" i="1" s="1"/>
  <c r="G117" i="1"/>
  <c r="F117" i="1"/>
  <c r="C117" i="1"/>
  <c r="H117" i="1" s="1"/>
  <c r="W116" i="1"/>
  <c r="O116" i="1"/>
  <c r="N116" i="1"/>
  <c r="M116" i="1"/>
  <c r="J116" i="1"/>
  <c r="H116" i="1"/>
  <c r="G116" i="1"/>
  <c r="F116" i="1"/>
  <c r="C116" i="1"/>
  <c r="W115" i="1"/>
  <c r="O115" i="1"/>
  <c r="N115" i="1"/>
  <c r="H115" i="1"/>
  <c r="G115" i="1"/>
  <c r="F115" i="1"/>
  <c r="J115" i="1" s="1"/>
  <c r="M115" i="1" s="1"/>
  <c r="C115" i="1"/>
  <c r="W114" i="1"/>
  <c r="O114" i="1"/>
  <c r="N114" i="1"/>
  <c r="G114" i="1"/>
  <c r="F114" i="1"/>
  <c r="J114" i="1" s="1"/>
  <c r="M114" i="1" s="1"/>
  <c r="C114" i="1"/>
  <c r="H114" i="1" s="1"/>
  <c r="W113" i="1"/>
  <c r="O113" i="1"/>
  <c r="N113" i="1"/>
  <c r="J113" i="1"/>
  <c r="M113" i="1" s="1"/>
  <c r="G113" i="1"/>
  <c r="F113" i="1"/>
  <c r="C113" i="1"/>
  <c r="H113" i="1" s="1"/>
  <c r="W112" i="1"/>
  <c r="O112" i="1"/>
  <c r="N112" i="1"/>
  <c r="M112" i="1"/>
  <c r="J112" i="1"/>
  <c r="H112" i="1"/>
  <c r="G112" i="1"/>
  <c r="F112" i="1"/>
  <c r="C112" i="1"/>
  <c r="W111" i="1"/>
  <c r="O111" i="1"/>
  <c r="N111" i="1"/>
  <c r="H111" i="1"/>
  <c r="G111" i="1"/>
  <c r="F111" i="1"/>
  <c r="J111" i="1" s="1"/>
  <c r="M111" i="1" s="1"/>
  <c r="C111" i="1"/>
  <c r="W110" i="1"/>
  <c r="O110" i="1"/>
  <c r="N110" i="1"/>
  <c r="G110" i="1"/>
  <c r="F110" i="1"/>
  <c r="J110" i="1" s="1"/>
  <c r="M110" i="1" s="1"/>
  <c r="C110" i="1"/>
  <c r="H110" i="1" s="1"/>
  <c r="W109" i="1"/>
  <c r="O109" i="1"/>
  <c r="N109" i="1"/>
  <c r="J109" i="1"/>
  <c r="M109" i="1" s="1"/>
  <c r="G109" i="1"/>
  <c r="F109" i="1"/>
  <c r="C109" i="1"/>
  <c r="H109" i="1" s="1"/>
  <c r="W108" i="1"/>
  <c r="O108" i="1"/>
  <c r="N108" i="1"/>
  <c r="M108" i="1"/>
  <c r="J108" i="1"/>
  <c r="H108" i="1"/>
  <c r="G108" i="1"/>
  <c r="F108" i="1"/>
  <c r="C108" i="1"/>
  <c r="W107" i="1"/>
  <c r="O107" i="1"/>
  <c r="N107" i="1"/>
  <c r="H107" i="1"/>
  <c r="G107" i="1"/>
  <c r="F107" i="1"/>
  <c r="J107" i="1" s="1"/>
  <c r="M107" i="1" s="1"/>
  <c r="C107" i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J105" i="1"/>
  <c r="M105" i="1" s="1"/>
  <c r="G105" i="1"/>
  <c r="F105" i="1"/>
  <c r="C105" i="1"/>
  <c r="H105" i="1" s="1"/>
  <c r="W104" i="1"/>
  <c r="O104" i="1"/>
  <c r="N104" i="1"/>
  <c r="M104" i="1"/>
  <c r="J104" i="1"/>
  <c r="H104" i="1"/>
  <c r="G104" i="1"/>
  <c r="F104" i="1"/>
  <c r="C104" i="1"/>
  <c r="W103" i="1"/>
  <c r="O103" i="1"/>
  <c r="N103" i="1"/>
  <c r="H103" i="1"/>
  <c r="G103" i="1"/>
  <c r="F103" i="1"/>
  <c r="J103" i="1" s="1"/>
  <c r="M103" i="1" s="1"/>
  <c r="C103" i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J101" i="1"/>
  <c r="M101" i="1" s="1"/>
  <c r="G101" i="1"/>
  <c r="F101" i="1"/>
  <c r="C101" i="1"/>
  <c r="H101" i="1" s="1"/>
  <c r="W100" i="1"/>
  <c r="O100" i="1"/>
  <c r="N100" i="1"/>
  <c r="M100" i="1"/>
  <c r="J100" i="1"/>
  <c r="H100" i="1"/>
  <c r="G100" i="1"/>
  <c r="F100" i="1"/>
  <c r="C100" i="1"/>
  <c r="W99" i="1"/>
  <c r="O99" i="1"/>
  <c r="N99" i="1"/>
  <c r="H99" i="1"/>
  <c r="G99" i="1"/>
  <c r="F99" i="1"/>
  <c r="J99" i="1" s="1"/>
  <c r="M99" i="1" s="1"/>
  <c r="C99" i="1"/>
  <c r="W98" i="1"/>
  <c r="O98" i="1"/>
  <c r="N98" i="1"/>
  <c r="G98" i="1"/>
  <c r="F98" i="1"/>
  <c r="J98" i="1" s="1"/>
  <c r="M98" i="1" s="1"/>
  <c r="C98" i="1"/>
  <c r="H98" i="1" s="1"/>
  <c r="W97" i="1"/>
  <c r="O97" i="1"/>
  <c r="N97" i="1"/>
  <c r="J97" i="1"/>
  <c r="M97" i="1" s="1"/>
  <c r="G97" i="1"/>
  <c r="F97" i="1"/>
  <c r="C97" i="1"/>
  <c r="H97" i="1" s="1"/>
  <c r="W96" i="1"/>
  <c r="O96" i="1"/>
  <c r="N96" i="1"/>
  <c r="M96" i="1"/>
  <c r="J96" i="1"/>
  <c r="H96" i="1"/>
  <c r="G96" i="1"/>
  <c r="F96" i="1"/>
  <c r="C96" i="1"/>
  <c r="W95" i="1"/>
  <c r="O95" i="1"/>
  <c r="N95" i="1"/>
  <c r="H95" i="1"/>
  <c r="G95" i="1"/>
  <c r="F95" i="1"/>
  <c r="J95" i="1" s="1"/>
  <c r="M95" i="1" s="1"/>
  <c r="C95" i="1"/>
  <c r="W94" i="1"/>
  <c r="O94" i="1"/>
  <c r="N94" i="1"/>
  <c r="G94" i="1"/>
  <c r="F94" i="1"/>
  <c r="J94" i="1" s="1"/>
  <c r="M94" i="1" s="1"/>
  <c r="C94" i="1"/>
  <c r="H94" i="1" s="1"/>
  <c r="W93" i="1"/>
  <c r="O93" i="1"/>
  <c r="N93" i="1"/>
  <c r="J93" i="1"/>
  <c r="M93" i="1" s="1"/>
  <c r="G93" i="1"/>
  <c r="F93" i="1"/>
  <c r="C93" i="1"/>
  <c r="H93" i="1" s="1"/>
  <c r="W92" i="1"/>
  <c r="O92" i="1"/>
  <c r="N92" i="1"/>
  <c r="M92" i="1"/>
  <c r="J92" i="1"/>
  <c r="H92" i="1"/>
  <c r="G92" i="1"/>
  <c r="F92" i="1"/>
  <c r="C92" i="1"/>
  <c r="W91" i="1"/>
  <c r="O91" i="1"/>
  <c r="N91" i="1"/>
  <c r="H91" i="1"/>
  <c r="G91" i="1"/>
  <c r="F91" i="1"/>
  <c r="J91" i="1" s="1"/>
  <c r="M91" i="1" s="1"/>
  <c r="C91" i="1"/>
  <c r="W90" i="1"/>
  <c r="O90" i="1"/>
  <c r="N90" i="1"/>
  <c r="G90" i="1"/>
  <c r="F90" i="1"/>
  <c r="J90" i="1" s="1"/>
  <c r="M90" i="1" s="1"/>
  <c r="C90" i="1"/>
  <c r="H90" i="1" s="1"/>
  <c r="W89" i="1"/>
  <c r="O89" i="1"/>
  <c r="N89" i="1"/>
  <c r="J89" i="1"/>
  <c r="M89" i="1" s="1"/>
  <c r="G89" i="1"/>
  <c r="F89" i="1"/>
  <c r="C89" i="1"/>
  <c r="H89" i="1" s="1"/>
  <c r="W88" i="1"/>
  <c r="O88" i="1"/>
  <c r="N88" i="1"/>
  <c r="M88" i="1"/>
  <c r="J88" i="1"/>
  <c r="H88" i="1"/>
  <c r="G88" i="1"/>
  <c r="F88" i="1"/>
  <c r="C88" i="1"/>
  <c r="W87" i="1"/>
  <c r="O87" i="1"/>
  <c r="N87" i="1"/>
  <c r="H87" i="1"/>
  <c r="G87" i="1"/>
  <c r="F87" i="1"/>
  <c r="J87" i="1" s="1"/>
  <c r="M87" i="1" s="1"/>
  <c r="C87" i="1"/>
  <c r="W86" i="1"/>
  <c r="O86" i="1"/>
  <c r="N86" i="1"/>
  <c r="G86" i="1"/>
  <c r="F86" i="1"/>
  <c r="J86" i="1" s="1"/>
  <c r="M86" i="1" s="1"/>
  <c r="C86" i="1"/>
  <c r="H86" i="1" s="1"/>
  <c r="W85" i="1"/>
  <c r="O85" i="1"/>
  <c r="N85" i="1"/>
  <c r="J85" i="1"/>
  <c r="M85" i="1" s="1"/>
  <c r="G85" i="1"/>
  <c r="F85" i="1"/>
  <c r="C85" i="1"/>
  <c r="H85" i="1" s="1"/>
  <c r="W84" i="1"/>
  <c r="O84" i="1"/>
  <c r="N84" i="1"/>
  <c r="M84" i="1"/>
  <c r="J84" i="1"/>
  <c r="H84" i="1"/>
  <c r="G84" i="1"/>
  <c r="F84" i="1"/>
  <c r="C84" i="1"/>
  <c r="W83" i="1"/>
  <c r="O83" i="1"/>
  <c r="N83" i="1"/>
  <c r="H83" i="1"/>
  <c r="G83" i="1"/>
  <c r="F83" i="1"/>
  <c r="J83" i="1" s="1"/>
  <c r="M83" i="1" s="1"/>
  <c r="C83" i="1"/>
  <c r="W82" i="1"/>
  <c r="O82" i="1"/>
  <c r="N82" i="1"/>
  <c r="G82" i="1"/>
  <c r="F82" i="1"/>
  <c r="J82" i="1" s="1"/>
  <c r="M82" i="1" s="1"/>
  <c r="C82" i="1"/>
  <c r="H82" i="1" s="1"/>
  <c r="W81" i="1"/>
  <c r="O81" i="1"/>
  <c r="N81" i="1"/>
  <c r="J81" i="1"/>
  <c r="M81" i="1" s="1"/>
  <c r="G81" i="1"/>
  <c r="F81" i="1"/>
  <c r="C81" i="1"/>
  <c r="H81" i="1" s="1"/>
  <c r="W80" i="1"/>
  <c r="O80" i="1"/>
  <c r="N80" i="1"/>
  <c r="M80" i="1"/>
  <c r="J80" i="1"/>
  <c r="H80" i="1"/>
  <c r="G80" i="1"/>
  <c r="F80" i="1"/>
  <c r="C80" i="1"/>
  <c r="W79" i="1"/>
  <c r="O79" i="1"/>
  <c r="N79" i="1"/>
  <c r="H79" i="1"/>
  <c r="G79" i="1"/>
  <c r="F79" i="1"/>
  <c r="J79" i="1" s="1"/>
  <c r="M79" i="1" s="1"/>
  <c r="C79" i="1"/>
  <c r="W78" i="1"/>
  <c r="O78" i="1"/>
  <c r="N78" i="1"/>
  <c r="G78" i="1"/>
  <c r="F78" i="1"/>
  <c r="J78" i="1" s="1"/>
  <c r="M78" i="1" s="1"/>
  <c r="C78" i="1"/>
  <c r="H78" i="1" s="1"/>
  <c r="W77" i="1"/>
  <c r="O77" i="1"/>
  <c r="N77" i="1"/>
  <c r="J77" i="1"/>
  <c r="M77" i="1" s="1"/>
  <c r="G77" i="1"/>
  <c r="F77" i="1"/>
  <c r="C77" i="1"/>
  <c r="H77" i="1" s="1"/>
  <c r="W76" i="1"/>
  <c r="O76" i="1"/>
  <c r="N76" i="1"/>
  <c r="M76" i="1"/>
  <c r="J76" i="1"/>
  <c r="H76" i="1"/>
  <c r="G76" i="1"/>
  <c r="F76" i="1"/>
  <c r="C76" i="1"/>
  <c r="W75" i="1"/>
  <c r="O75" i="1"/>
  <c r="N75" i="1"/>
  <c r="H75" i="1"/>
  <c r="G75" i="1"/>
  <c r="F75" i="1"/>
  <c r="J75" i="1" s="1"/>
  <c r="M75" i="1" s="1"/>
  <c r="C75" i="1"/>
  <c r="W74" i="1"/>
  <c r="O74" i="1"/>
  <c r="N74" i="1"/>
  <c r="G74" i="1"/>
  <c r="F74" i="1"/>
  <c r="J74" i="1" s="1"/>
  <c r="M74" i="1" s="1"/>
  <c r="C74" i="1"/>
  <c r="H74" i="1" s="1"/>
  <c r="W73" i="1"/>
  <c r="O73" i="1"/>
  <c r="N73" i="1"/>
  <c r="J73" i="1"/>
  <c r="M73" i="1" s="1"/>
  <c r="G73" i="1"/>
  <c r="F73" i="1"/>
  <c r="C73" i="1"/>
  <c r="H73" i="1" s="1"/>
  <c r="W72" i="1"/>
  <c r="O72" i="1"/>
  <c r="N72" i="1"/>
  <c r="M72" i="1"/>
  <c r="J72" i="1"/>
  <c r="H72" i="1"/>
  <c r="G72" i="1"/>
  <c r="F72" i="1"/>
  <c r="C72" i="1"/>
  <c r="W71" i="1"/>
  <c r="O71" i="1"/>
  <c r="N71" i="1"/>
  <c r="H71" i="1"/>
  <c r="G71" i="1"/>
  <c r="F71" i="1"/>
  <c r="J71" i="1" s="1"/>
  <c r="M71" i="1" s="1"/>
  <c r="C71" i="1"/>
  <c r="W70" i="1"/>
  <c r="O70" i="1"/>
  <c r="N70" i="1"/>
  <c r="G70" i="1"/>
  <c r="F70" i="1"/>
  <c r="J70" i="1" s="1"/>
  <c r="M70" i="1" s="1"/>
  <c r="C70" i="1"/>
  <c r="H70" i="1" s="1"/>
  <c r="W69" i="1"/>
  <c r="O69" i="1"/>
  <c r="N69" i="1"/>
  <c r="J69" i="1"/>
  <c r="M69" i="1" s="1"/>
  <c r="G69" i="1"/>
  <c r="F69" i="1"/>
  <c r="C69" i="1"/>
  <c r="H69" i="1" s="1"/>
  <c r="W68" i="1"/>
  <c r="O68" i="1"/>
  <c r="N68" i="1"/>
  <c r="M68" i="1"/>
  <c r="J68" i="1"/>
  <c r="H68" i="1"/>
  <c r="G68" i="1"/>
  <c r="F68" i="1"/>
  <c r="C68" i="1"/>
  <c r="W67" i="1"/>
  <c r="O67" i="1"/>
  <c r="N67" i="1"/>
  <c r="H67" i="1"/>
  <c r="G67" i="1"/>
  <c r="F67" i="1"/>
  <c r="J67" i="1" s="1"/>
  <c r="M67" i="1" s="1"/>
  <c r="C67" i="1"/>
  <c r="W66" i="1"/>
  <c r="O66" i="1"/>
  <c r="N66" i="1"/>
  <c r="G66" i="1"/>
  <c r="F66" i="1"/>
  <c r="J66" i="1" s="1"/>
  <c r="M66" i="1" s="1"/>
  <c r="C66" i="1"/>
  <c r="H66" i="1" s="1"/>
  <c r="W65" i="1"/>
  <c r="O65" i="1"/>
  <c r="N65" i="1"/>
  <c r="J65" i="1"/>
  <c r="M65" i="1" s="1"/>
  <c r="G65" i="1"/>
  <c r="F65" i="1"/>
  <c r="C65" i="1"/>
  <c r="H65" i="1" s="1"/>
  <c r="W64" i="1"/>
  <c r="O64" i="1"/>
  <c r="N64" i="1"/>
  <c r="M64" i="1"/>
  <c r="J64" i="1"/>
  <c r="H64" i="1"/>
  <c r="G64" i="1"/>
  <c r="F64" i="1"/>
  <c r="C64" i="1"/>
  <c r="W63" i="1"/>
  <c r="O63" i="1"/>
  <c r="N63" i="1"/>
  <c r="H63" i="1"/>
  <c r="G63" i="1"/>
  <c r="F63" i="1"/>
  <c r="J63" i="1" s="1"/>
  <c r="M63" i="1" s="1"/>
  <c r="C63" i="1"/>
  <c r="W62" i="1"/>
  <c r="O62" i="1"/>
  <c r="N62" i="1"/>
  <c r="G62" i="1"/>
  <c r="F62" i="1"/>
  <c r="J62" i="1" s="1"/>
  <c r="M62" i="1" s="1"/>
  <c r="C62" i="1"/>
  <c r="H62" i="1" s="1"/>
  <c r="W61" i="1"/>
  <c r="O61" i="1"/>
  <c r="N61" i="1"/>
  <c r="J61" i="1"/>
  <c r="M61" i="1" s="1"/>
  <c r="G61" i="1"/>
  <c r="F61" i="1"/>
  <c r="C61" i="1"/>
  <c r="H61" i="1" s="1"/>
  <c r="W60" i="1"/>
  <c r="O60" i="1"/>
  <c r="N60" i="1"/>
  <c r="M60" i="1"/>
  <c r="J60" i="1"/>
  <c r="H60" i="1"/>
  <c r="G60" i="1"/>
  <c r="F60" i="1"/>
  <c r="C60" i="1"/>
  <c r="W59" i="1"/>
  <c r="O59" i="1"/>
  <c r="N59" i="1"/>
  <c r="H59" i="1"/>
  <c r="G59" i="1"/>
  <c r="F59" i="1"/>
  <c r="J59" i="1" s="1"/>
  <c r="M59" i="1" s="1"/>
  <c r="C59" i="1"/>
  <c r="W58" i="1"/>
  <c r="O58" i="1"/>
  <c r="N58" i="1"/>
  <c r="G58" i="1"/>
  <c r="F58" i="1"/>
  <c r="J58" i="1" s="1"/>
  <c r="M58" i="1" s="1"/>
  <c r="C58" i="1"/>
  <c r="H58" i="1" s="1"/>
  <c r="W57" i="1"/>
  <c r="O57" i="1"/>
  <c r="N57" i="1"/>
  <c r="J57" i="1"/>
  <c r="M57" i="1" s="1"/>
  <c r="G57" i="1"/>
  <c r="F57" i="1"/>
  <c r="C57" i="1"/>
  <c r="H57" i="1" s="1"/>
  <c r="W56" i="1"/>
  <c r="O56" i="1"/>
  <c r="N56" i="1"/>
  <c r="M56" i="1"/>
  <c r="J56" i="1"/>
  <c r="H56" i="1"/>
  <c r="G56" i="1"/>
  <c r="F56" i="1"/>
  <c r="C56" i="1"/>
  <c r="W55" i="1"/>
  <c r="O55" i="1"/>
  <c r="N55" i="1"/>
  <c r="H55" i="1"/>
  <c r="G55" i="1"/>
  <c r="F55" i="1"/>
  <c r="J55" i="1" s="1"/>
  <c r="M55" i="1" s="1"/>
  <c r="C55" i="1"/>
  <c r="W54" i="1"/>
  <c r="O54" i="1"/>
  <c r="N54" i="1"/>
  <c r="J54" i="1"/>
  <c r="M54" i="1" s="1"/>
  <c r="G54" i="1"/>
  <c r="F54" i="1"/>
  <c r="C54" i="1"/>
  <c r="H54" i="1" s="1"/>
  <c r="W53" i="1"/>
  <c r="O53" i="1"/>
  <c r="N53" i="1"/>
  <c r="J53" i="1"/>
  <c r="M53" i="1" s="1"/>
  <c r="G53" i="1"/>
  <c r="F53" i="1"/>
  <c r="C53" i="1"/>
  <c r="H53" i="1" s="1"/>
  <c r="W52" i="1"/>
  <c r="O52" i="1"/>
  <c r="N52" i="1"/>
  <c r="M52" i="1"/>
  <c r="J52" i="1"/>
  <c r="G52" i="1"/>
  <c r="F52" i="1"/>
  <c r="C52" i="1"/>
  <c r="H52" i="1" s="1"/>
  <c r="W51" i="1"/>
  <c r="O51" i="1"/>
  <c r="N51" i="1"/>
  <c r="H51" i="1"/>
  <c r="G51" i="1"/>
  <c r="F51" i="1"/>
  <c r="J51" i="1" s="1"/>
  <c r="M51" i="1" s="1"/>
  <c r="C51" i="1"/>
  <c r="W50" i="1"/>
  <c r="O50" i="1"/>
  <c r="N50" i="1"/>
  <c r="G50" i="1"/>
  <c r="F50" i="1"/>
  <c r="J50" i="1" s="1"/>
  <c r="M50" i="1" s="1"/>
  <c r="C50" i="1"/>
  <c r="H50" i="1" s="1"/>
  <c r="W49" i="1"/>
  <c r="O49" i="1"/>
  <c r="N49" i="1"/>
  <c r="J49" i="1"/>
  <c r="M49" i="1" s="1"/>
  <c r="H49" i="1"/>
  <c r="G49" i="1"/>
  <c r="F49" i="1"/>
  <c r="C49" i="1"/>
  <c r="W48" i="1"/>
  <c r="O48" i="1"/>
  <c r="N48" i="1"/>
  <c r="J48" i="1"/>
  <c r="M48" i="1" s="1"/>
  <c r="G48" i="1"/>
  <c r="F48" i="1"/>
  <c r="C48" i="1"/>
  <c r="H48" i="1" s="1"/>
  <c r="W47" i="1"/>
  <c r="O47" i="1"/>
  <c r="N47" i="1"/>
  <c r="H47" i="1"/>
  <c r="G47" i="1"/>
  <c r="F47" i="1"/>
  <c r="J47" i="1" s="1"/>
  <c r="M47" i="1" s="1"/>
  <c r="C47" i="1"/>
  <c r="W46" i="1"/>
  <c r="O46" i="1"/>
  <c r="N46" i="1"/>
  <c r="G46" i="1"/>
  <c r="F46" i="1"/>
  <c r="J46" i="1" s="1"/>
  <c r="M46" i="1" s="1"/>
  <c r="C46" i="1"/>
  <c r="H46" i="1" s="1"/>
  <c r="W45" i="1"/>
  <c r="O45" i="1"/>
  <c r="N45" i="1"/>
  <c r="H45" i="1"/>
  <c r="G45" i="1"/>
  <c r="F45" i="1"/>
  <c r="J45" i="1" s="1"/>
  <c r="M45" i="1" s="1"/>
  <c r="C45" i="1"/>
  <c r="W44" i="1"/>
  <c r="O44" i="1"/>
  <c r="N44" i="1"/>
  <c r="J44" i="1"/>
  <c r="M44" i="1" s="1"/>
  <c r="H44" i="1"/>
  <c r="G44" i="1"/>
  <c r="F44" i="1"/>
  <c r="C44" i="1"/>
  <c r="W43" i="1"/>
  <c r="O43" i="1"/>
  <c r="N43" i="1"/>
  <c r="H43" i="1"/>
  <c r="G43" i="1"/>
  <c r="F43" i="1"/>
  <c r="J43" i="1" s="1"/>
  <c r="M43" i="1" s="1"/>
  <c r="C43" i="1"/>
  <c r="W42" i="1"/>
  <c r="O42" i="1"/>
  <c r="N42" i="1"/>
  <c r="J42" i="1"/>
  <c r="M42" i="1" s="1"/>
  <c r="G42" i="1"/>
  <c r="F42" i="1"/>
  <c r="C42" i="1"/>
  <c r="H42" i="1" s="1"/>
  <c r="W41" i="1"/>
  <c r="O41" i="1"/>
  <c r="N41" i="1"/>
  <c r="G41" i="1"/>
  <c r="F41" i="1"/>
  <c r="J41" i="1" s="1"/>
  <c r="M41" i="1" s="1"/>
  <c r="C41" i="1"/>
  <c r="H41" i="1" s="1"/>
  <c r="W40" i="1"/>
  <c r="O40" i="1"/>
  <c r="N40" i="1"/>
  <c r="M40" i="1"/>
  <c r="J40" i="1"/>
  <c r="H40" i="1"/>
  <c r="G40" i="1"/>
  <c r="F40" i="1"/>
  <c r="C40" i="1"/>
  <c r="W39" i="1"/>
  <c r="O39" i="1"/>
  <c r="N39" i="1"/>
  <c r="H39" i="1"/>
  <c r="G39" i="1"/>
  <c r="F39" i="1"/>
  <c r="J39" i="1" s="1"/>
  <c r="M39" i="1" s="1"/>
  <c r="C39" i="1"/>
  <c r="W38" i="1"/>
  <c r="O38" i="1"/>
  <c r="N38" i="1"/>
  <c r="J38" i="1"/>
  <c r="M38" i="1" s="1"/>
  <c r="G38" i="1"/>
  <c r="F38" i="1"/>
  <c r="C38" i="1"/>
  <c r="H38" i="1" s="1"/>
  <c r="W37" i="1"/>
  <c r="O37" i="1"/>
  <c r="N37" i="1"/>
  <c r="J37" i="1"/>
  <c r="M37" i="1" s="1"/>
  <c r="G37" i="1"/>
  <c r="F37" i="1"/>
  <c r="C37" i="1"/>
  <c r="H37" i="1" s="1"/>
  <c r="W36" i="1"/>
  <c r="O36" i="1"/>
  <c r="N36" i="1"/>
  <c r="M36" i="1"/>
  <c r="J36" i="1"/>
  <c r="G36" i="1"/>
  <c r="F36" i="1"/>
  <c r="C36" i="1"/>
  <c r="H36" i="1" s="1"/>
  <c r="W35" i="1"/>
  <c r="O35" i="1"/>
  <c r="N35" i="1"/>
  <c r="H35" i="1"/>
  <c r="G35" i="1"/>
  <c r="F35" i="1"/>
  <c r="J35" i="1" s="1"/>
  <c r="M35" i="1" s="1"/>
  <c r="C35" i="1"/>
  <c r="W34" i="1"/>
  <c r="O34" i="1"/>
  <c r="N34" i="1"/>
  <c r="G34" i="1"/>
  <c r="F34" i="1"/>
  <c r="J34" i="1" s="1"/>
  <c r="M34" i="1" s="1"/>
  <c r="C34" i="1"/>
  <c r="H34" i="1" s="1"/>
  <c r="W33" i="1"/>
  <c r="O33" i="1"/>
  <c r="N33" i="1"/>
  <c r="J33" i="1"/>
  <c r="M33" i="1" s="1"/>
  <c r="H33" i="1"/>
  <c r="G33" i="1"/>
  <c r="F33" i="1"/>
  <c r="C33" i="1"/>
  <c r="W32" i="1"/>
  <c r="O32" i="1"/>
  <c r="N32" i="1"/>
  <c r="J32" i="1"/>
  <c r="M32" i="1" s="1"/>
  <c r="G32" i="1"/>
  <c r="F32" i="1"/>
  <c r="C32" i="1"/>
  <c r="H32" i="1" s="1"/>
  <c r="Z31" i="1"/>
  <c r="W31" i="1"/>
  <c r="O31" i="1"/>
  <c r="N31" i="1"/>
  <c r="M31" i="1"/>
  <c r="J31" i="1"/>
  <c r="H31" i="1"/>
  <c r="G31" i="1"/>
  <c r="F31" i="1"/>
  <c r="C31" i="1"/>
  <c r="Z30" i="1"/>
  <c r="W30" i="1"/>
  <c r="O30" i="1"/>
  <c r="N30" i="1"/>
  <c r="J30" i="1"/>
  <c r="M30" i="1" s="1"/>
  <c r="G30" i="1"/>
  <c r="F30" i="1"/>
  <c r="C30" i="1"/>
  <c r="H30" i="1" s="1"/>
  <c r="Z29" i="1"/>
  <c r="W29" i="1"/>
  <c r="O29" i="1"/>
  <c r="N29" i="1"/>
  <c r="M29" i="1"/>
  <c r="J29" i="1"/>
  <c r="H29" i="1"/>
  <c r="G29" i="1"/>
  <c r="F29" i="1"/>
  <c r="C29" i="1"/>
  <c r="Z28" i="1"/>
  <c r="W28" i="1"/>
  <c r="O28" i="1"/>
  <c r="N28" i="1"/>
  <c r="J28" i="1"/>
  <c r="M28" i="1" s="1"/>
  <c r="G28" i="1"/>
  <c r="F28" i="1"/>
  <c r="C28" i="1"/>
  <c r="H28" i="1" s="1"/>
  <c r="Z27" i="1"/>
  <c r="W27" i="1"/>
  <c r="O27" i="1"/>
  <c r="N27" i="1"/>
  <c r="M27" i="1"/>
  <c r="J27" i="1"/>
  <c r="H27" i="1"/>
  <c r="G27" i="1"/>
  <c r="F27" i="1"/>
  <c r="C27" i="1"/>
  <c r="Z26" i="1"/>
  <c r="W26" i="1"/>
  <c r="O26" i="1"/>
  <c r="N26" i="1"/>
  <c r="J26" i="1"/>
  <c r="M26" i="1" s="1"/>
  <c r="G26" i="1"/>
  <c r="F26" i="1"/>
  <c r="C26" i="1"/>
  <c r="H26" i="1" s="1"/>
  <c r="Z25" i="1"/>
  <c r="W25" i="1"/>
  <c r="O25" i="1"/>
  <c r="N25" i="1"/>
  <c r="M25" i="1"/>
  <c r="J25" i="1"/>
  <c r="H25" i="1"/>
  <c r="G25" i="1"/>
  <c r="F25" i="1"/>
  <c r="C25" i="1"/>
  <c r="Z24" i="1"/>
  <c r="W24" i="1"/>
  <c r="O24" i="1"/>
  <c r="N24" i="1"/>
  <c r="G24" i="1"/>
  <c r="F24" i="1"/>
  <c r="J24" i="1" s="1"/>
  <c r="M24" i="1" s="1"/>
  <c r="C24" i="1"/>
  <c r="H24" i="1" s="1"/>
  <c r="Z23" i="1"/>
  <c r="W23" i="1"/>
  <c r="O23" i="1"/>
  <c r="N23" i="1"/>
  <c r="G23" i="1"/>
  <c r="F23" i="1"/>
  <c r="J23" i="1" s="1"/>
  <c r="M23" i="1" s="1"/>
  <c r="C23" i="1"/>
  <c r="H23" i="1" s="1"/>
  <c r="Z22" i="1"/>
  <c r="W22" i="1"/>
  <c r="O22" i="1"/>
  <c r="N22" i="1"/>
  <c r="G22" i="1"/>
  <c r="F22" i="1"/>
  <c r="J22" i="1" s="1"/>
  <c r="M22" i="1" s="1"/>
  <c r="C22" i="1"/>
  <c r="H22" i="1" s="1"/>
  <c r="Z21" i="1"/>
  <c r="W21" i="1"/>
  <c r="O21" i="1"/>
  <c r="N21" i="1"/>
  <c r="G21" i="1"/>
  <c r="F21" i="1"/>
  <c r="J21" i="1" s="1"/>
  <c r="M21" i="1" s="1"/>
  <c r="C21" i="1"/>
  <c r="H21" i="1" s="1"/>
  <c r="Z20" i="1"/>
  <c r="W20" i="1"/>
  <c r="O20" i="1"/>
  <c r="N20" i="1"/>
  <c r="G20" i="1"/>
  <c r="F20" i="1"/>
  <c r="J20" i="1" s="1"/>
  <c r="M20" i="1" s="1"/>
  <c r="C20" i="1"/>
  <c r="H20" i="1" s="1"/>
  <c r="Z19" i="1"/>
  <c r="W19" i="1"/>
  <c r="O19" i="1"/>
  <c r="N19" i="1"/>
  <c r="G19" i="1"/>
  <c r="F19" i="1"/>
  <c r="J19" i="1" s="1"/>
  <c r="M19" i="1" s="1"/>
  <c r="C19" i="1"/>
  <c r="H19" i="1" s="1"/>
  <c r="Z18" i="1"/>
  <c r="W18" i="1"/>
  <c r="O18" i="1"/>
  <c r="N18" i="1"/>
  <c r="G18" i="1"/>
  <c r="F18" i="1"/>
  <c r="J18" i="1" s="1"/>
  <c r="M18" i="1" s="1"/>
  <c r="C18" i="1"/>
  <c r="H18" i="1" s="1"/>
  <c r="Z17" i="1"/>
  <c r="W17" i="1"/>
  <c r="O17" i="1"/>
  <c r="N17" i="1"/>
  <c r="G17" i="1"/>
  <c r="F17" i="1"/>
  <c r="J17" i="1" s="1"/>
  <c r="M17" i="1" s="1"/>
  <c r="C17" i="1"/>
  <c r="H17" i="1" s="1"/>
  <c r="Z16" i="1"/>
  <c r="W16" i="1"/>
  <c r="O16" i="1"/>
  <c r="N16" i="1"/>
  <c r="G16" i="1"/>
  <c r="F16" i="1"/>
  <c r="J16" i="1" s="1"/>
  <c r="M16" i="1" s="1"/>
  <c r="C16" i="1"/>
  <c r="H16" i="1" s="1"/>
  <c r="Z15" i="1"/>
  <c r="W15" i="1"/>
  <c r="O15" i="1"/>
  <c r="N15" i="1"/>
  <c r="G15" i="1"/>
  <c r="F15" i="1"/>
  <c r="J15" i="1" s="1"/>
  <c r="M15" i="1" s="1"/>
  <c r="C15" i="1"/>
  <c r="H15" i="1" s="1"/>
  <c r="Z14" i="1"/>
  <c r="W14" i="1"/>
  <c r="O14" i="1"/>
  <c r="N14" i="1"/>
  <c r="G14" i="1"/>
  <c r="F14" i="1"/>
  <c r="J14" i="1" s="1"/>
  <c r="M14" i="1" s="1"/>
  <c r="C14" i="1"/>
  <c r="H14" i="1" s="1"/>
  <c r="Z13" i="1"/>
  <c r="W13" i="1"/>
  <c r="O13" i="1"/>
  <c r="N13" i="1"/>
  <c r="G13" i="1"/>
  <c r="F13" i="1"/>
  <c r="J13" i="1" s="1"/>
  <c r="M13" i="1" s="1"/>
  <c r="C13" i="1"/>
  <c r="H13" i="1" s="1"/>
  <c r="Z12" i="1"/>
  <c r="W12" i="1"/>
  <c r="O12" i="1"/>
  <c r="N12" i="1"/>
  <c r="H12" i="1"/>
  <c r="G12" i="1"/>
  <c r="F12" i="1"/>
  <c r="J12" i="1" s="1"/>
  <c r="M12" i="1" s="1"/>
  <c r="C12" i="1"/>
  <c r="Z11" i="1"/>
  <c r="W11" i="1"/>
  <c r="O11" i="1"/>
  <c r="N11" i="1"/>
  <c r="J11" i="1"/>
  <c r="M11" i="1" s="1"/>
  <c r="H11" i="1"/>
  <c r="G11" i="1"/>
  <c r="F11" i="1"/>
  <c r="C11" i="1"/>
  <c r="Z10" i="1"/>
  <c r="W10" i="1"/>
  <c r="O10" i="1"/>
  <c r="N10" i="1"/>
  <c r="J10" i="1"/>
  <c r="M10" i="1" s="1"/>
  <c r="H10" i="1"/>
  <c r="G10" i="1"/>
  <c r="F10" i="1"/>
  <c r="C10" i="1"/>
  <c r="Z9" i="1"/>
  <c r="W9" i="1"/>
  <c r="O9" i="1"/>
  <c r="N9" i="1"/>
  <c r="J9" i="1"/>
  <c r="M9" i="1" s="1"/>
  <c r="H9" i="1"/>
  <c r="G9" i="1"/>
  <c r="F9" i="1"/>
  <c r="C9" i="1"/>
  <c r="Z8" i="1"/>
  <c r="W8" i="1"/>
  <c r="O8" i="1"/>
  <c r="N8" i="1"/>
  <c r="J8" i="1"/>
  <c r="M8" i="1" s="1"/>
  <c r="H8" i="1"/>
  <c r="G8" i="1"/>
  <c r="F8" i="1"/>
  <c r="C8" i="1"/>
  <c r="AC7" i="1"/>
  <c r="AC11" i="1" s="1"/>
  <c r="AC12" i="1" s="1"/>
  <c r="Z7" i="1"/>
  <c r="W7" i="1"/>
  <c r="O7" i="1"/>
  <c r="N7" i="1"/>
  <c r="J7" i="1"/>
  <c r="M7" i="1" s="1"/>
  <c r="G7" i="1"/>
  <c r="F7" i="1"/>
  <c r="C7" i="1"/>
  <c r="H7" i="1" s="1"/>
  <c r="Z6" i="1"/>
  <c r="W6" i="1"/>
  <c r="O6" i="1"/>
  <c r="N6" i="1"/>
  <c r="J6" i="1"/>
  <c r="M6" i="1" s="1"/>
  <c r="G6" i="1"/>
  <c r="F6" i="1"/>
  <c r="C6" i="1"/>
  <c r="H6" i="1" s="1"/>
  <c r="Z5" i="1"/>
  <c r="W5" i="1"/>
  <c r="O5" i="1"/>
  <c r="N5" i="1"/>
  <c r="J5" i="1"/>
  <c r="M5" i="1" s="1"/>
  <c r="G5" i="1"/>
  <c r="F5" i="1"/>
  <c r="C5" i="1"/>
  <c r="H5" i="1" s="1"/>
  <c r="Z4" i="1"/>
  <c r="W4" i="1"/>
  <c r="O4" i="1"/>
  <c r="N4" i="1"/>
  <c r="J4" i="1"/>
  <c r="M4" i="1" s="1"/>
  <c r="G4" i="1"/>
  <c r="F4" i="1"/>
  <c r="C4" i="1"/>
  <c r="H4" i="1" s="1"/>
  <c r="S2" i="1"/>
  <c r="N2" i="1" s="1"/>
  <c r="K285" i="1" l="1"/>
  <c r="P285" i="1" s="1"/>
  <c r="I1" i="3"/>
  <c r="K274" i="1"/>
  <c r="P274" i="1" s="1"/>
  <c r="K272" i="1"/>
  <c r="P272" i="1" s="1"/>
  <c r="K270" i="1"/>
  <c r="P270" i="1" s="1"/>
  <c r="K268" i="1"/>
  <c r="P268" i="1" s="1"/>
  <c r="K266" i="1"/>
  <c r="P266" i="1" s="1"/>
  <c r="K264" i="1"/>
  <c r="P264" i="1" s="1"/>
  <c r="K262" i="1"/>
  <c r="P262" i="1" s="1"/>
  <c r="K260" i="1"/>
  <c r="P260" i="1" s="1"/>
  <c r="K258" i="1"/>
  <c r="P258" i="1" s="1"/>
  <c r="K256" i="1"/>
  <c r="P256" i="1" s="1"/>
  <c r="K254" i="1"/>
  <c r="P254" i="1" s="1"/>
  <c r="K301" i="1"/>
  <c r="P301" i="1" s="1"/>
  <c r="K279" i="1"/>
  <c r="P279" i="1" s="1"/>
  <c r="K277" i="1"/>
  <c r="P277" i="1" s="1"/>
  <c r="K252" i="1"/>
  <c r="P252" i="1" s="1"/>
  <c r="K248" i="1"/>
  <c r="P248" i="1" s="1"/>
  <c r="K244" i="1"/>
  <c r="P244" i="1" s="1"/>
  <c r="K240" i="1"/>
  <c r="P240" i="1" s="1"/>
  <c r="K236" i="1"/>
  <c r="P236" i="1" s="1"/>
  <c r="K232" i="1"/>
  <c r="P232" i="1" s="1"/>
  <c r="K228" i="1"/>
  <c r="P228" i="1" s="1"/>
  <c r="K137" i="1"/>
  <c r="P137" i="1" s="1"/>
  <c r="K133" i="1"/>
  <c r="P133" i="1" s="1"/>
  <c r="K129" i="1"/>
  <c r="P129" i="1" s="1"/>
  <c r="K125" i="1"/>
  <c r="P125" i="1" s="1"/>
  <c r="K121" i="1"/>
  <c r="P121" i="1" s="1"/>
  <c r="K117" i="1"/>
  <c r="P117" i="1" s="1"/>
  <c r="K113" i="1"/>
  <c r="P113" i="1" s="1"/>
  <c r="K109" i="1"/>
  <c r="P109" i="1" s="1"/>
  <c r="K105" i="1"/>
  <c r="P105" i="1" s="1"/>
  <c r="K101" i="1"/>
  <c r="P101" i="1" s="1"/>
  <c r="K97" i="1"/>
  <c r="P97" i="1" s="1"/>
  <c r="K93" i="1"/>
  <c r="P93" i="1" s="1"/>
  <c r="K89" i="1"/>
  <c r="P89" i="1" s="1"/>
  <c r="K85" i="1"/>
  <c r="P85" i="1" s="1"/>
  <c r="K81" i="1"/>
  <c r="P81" i="1" s="1"/>
  <c r="K77" i="1"/>
  <c r="P77" i="1" s="1"/>
  <c r="K73" i="1"/>
  <c r="P73" i="1" s="1"/>
  <c r="K69" i="1"/>
  <c r="P69" i="1" s="1"/>
  <c r="K65" i="1"/>
  <c r="P65" i="1" s="1"/>
  <c r="K61" i="1"/>
  <c r="P61" i="1" s="1"/>
  <c r="K57" i="1"/>
  <c r="P57" i="1" s="1"/>
  <c r="K299" i="1"/>
  <c r="P299" i="1" s="1"/>
  <c r="K251" i="1"/>
  <c r="P251" i="1" s="1"/>
  <c r="K250" i="1"/>
  <c r="P250" i="1" s="1"/>
  <c r="K235" i="1"/>
  <c r="P235" i="1" s="1"/>
  <c r="K234" i="1"/>
  <c r="P234" i="1" s="1"/>
  <c r="K222" i="1"/>
  <c r="P222" i="1" s="1"/>
  <c r="K220" i="1"/>
  <c r="P220" i="1" s="1"/>
  <c r="K190" i="1"/>
  <c r="P190" i="1" s="1"/>
  <c r="K188" i="1"/>
  <c r="P188" i="1" s="1"/>
  <c r="K138" i="1"/>
  <c r="P138" i="1" s="1"/>
  <c r="K134" i="1"/>
  <c r="P134" i="1" s="1"/>
  <c r="K130" i="1"/>
  <c r="P130" i="1" s="1"/>
  <c r="K126" i="1"/>
  <c r="P126" i="1" s="1"/>
  <c r="K122" i="1"/>
  <c r="P122" i="1" s="1"/>
  <c r="K118" i="1"/>
  <c r="P118" i="1" s="1"/>
  <c r="K114" i="1"/>
  <c r="P114" i="1" s="1"/>
  <c r="K110" i="1"/>
  <c r="P110" i="1" s="1"/>
  <c r="K106" i="1"/>
  <c r="P106" i="1" s="1"/>
  <c r="K102" i="1"/>
  <c r="P102" i="1" s="1"/>
  <c r="K98" i="1"/>
  <c r="P98" i="1" s="1"/>
  <c r="K94" i="1"/>
  <c r="P94" i="1" s="1"/>
  <c r="K90" i="1"/>
  <c r="P90" i="1" s="1"/>
  <c r="K86" i="1"/>
  <c r="P86" i="1" s="1"/>
  <c r="K82" i="1"/>
  <c r="P82" i="1" s="1"/>
  <c r="K78" i="1"/>
  <c r="P78" i="1" s="1"/>
  <c r="K74" i="1"/>
  <c r="P74" i="1" s="1"/>
  <c r="K70" i="1"/>
  <c r="P70" i="1" s="1"/>
  <c r="K66" i="1"/>
  <c r="P66" i="1" s="1"/>
  <c r="K62" i="1"/>
  <c r="P62" i="1" s="1"/>
  <c r="K58" i="1"/>
  <c r="P58" i="1" s="1"/>
  <c r="K45" i="1"/>
  <c r="P45" i="1" s="1"/>
  <c r="K243" i="1"/>
  <c r="P243" i="1" s="1"/>
  <c r="K174" i="1"/>
  <c r="P174" i="1" s="1"/>
  <c r="K35" i="1"/>
  <c r="P35" i="1" s="1"/>
  <c r="K5" i="1"/>
  <c r="P5" i="1" s="1"/>
  <c r="K4" i="1"/>
  <c r="P4" i="1" s="1"/>
  <c r="K291" i="1"/>
  <c r="P291" i="1" s="1"/>
  <c r="K238" i="1"/>
  <c r="P238" i="1" s="1"/>
  <c r="K227" i="1"/>
  <c r="P227" i="1" s="1"/>
  <c r="K226" i="1"/>
  <c r="P226" i="1" s="1"/>
  <c r="K198" i="1"/>
  <c r="P198" i="1" s="1"/>
  <c r="K135" i="1"/>
  <c r="P135" i="1" s="1"/>
  <c r="K127" i="1"/>
  <c r="P127" i="1" s="1"/>
  <c r="K119" i="1"/>
  <c r="P119" i="1" s="1"/>
  <c r="K111" i="1"/>
  <c r="P111" i="1" s="1"/>
  <c r="K103" i="1"/>
  <c r="P103" i="1" s="1"/>
  <c r="K99" i="1"/>
  <c r="P99" i="1" s="1"/>
  <c r="K91" i="1"/>
  <c r="P91" i="1" s="1"/>
  <c r="K83" i="1"/>
  <c r="P83" i="1" s="1"/>
  <c r="K75" i="1"/>
  <c r="P75" i="1" s="1"/>
  <c r="K67" i="1"/>
  <c r="P67" i="1" s="1"/>
  <c r="K63" i="1"/>
  <c r="P63" i="1" s="1"/>
  <c r="K55" i="1"/>
  <c r="P55" i="1" s="1"/>
  <c r="K39" i="1"/>
  <c r="P39" i="1" s="1"/>
  <c r="K24" i="1"/>
  <c r="P24" i="1" s="1"/>
  <c r="K23" i="1"/>
  <c r="P23" i="1" s="1"/>
  <c r="K20" i="1"/>
  <c r="P20" i="1" s="1"/>
  <c r="K19" i="1"/>
  <c r="P19" i="1" s="1"/>
  <c r="K18" i="1"/>
  <c r="P18" i="1" s="1"/>
  <c r="K17" i="1"/>
  <c r="P17" i="1" s="1"/>
  <c r="K15" i="1"/>
  <c r="P15" i="1" s="1"/>
  <c r="K14" i="1"/>
  <c r="P14" i="1" s="1"/>
  <c r="K13" i="1"/>
  <c r="P13" i="1" s="1"/>
  <c r="K247" i="1"/>
  <c r="P247" i="1" s="1"/>
  <c r="K246" i="1"/>
  <c r="P246" i="1" s="1"/>
  <c r="K231" i="1"/>
  <c r="P231" i="1" s="1"/>
  <c r="K230" i="1"/>
  <c r="P230" i="1" s="1"/>
  <c r="K214" i="1"/>
  <c r="P214" i="1" s="1"/>
  <c r="K212" i="1"/>
  <c r="P212" i="1" s="1"/>
  <c r="K182" i="1"/>
  <c r="P182" i="1" s="1"/>
  <c r="K180" i="1"/>
  <c r="P180" i="1" s="1"/>
  <c r="K173" i="1"/>
  <c r="P173" i="1" s="1"/>
  <c r="K171" i="1"/>
  <c r="P171" i="1" s="1"/>
  <c r="K169" i="1"/>
  <c r="P169" i="1" s="1"/>
  <c r="K167" i="1"/>
  <c r="P167" i="1" s="1"/>
  <c r="K165" i="1"/>
  <c r="P165" i="1" s="1"/>
  <c r="K163" i="1"/>
  <c r="P163" i="1" s="1"/>
  <c r="K161" i="1"/>
  <c r="P161" i="1" s="1"/>
  <c r="K159" i="1"/>
  <c r="P159" i="1" s="1"/>
  <c r="K157" i="1"/>
  <c r="P157" i="1" s="1"/>
  <c r="K155" i="1"/>
  <c r="P155" i="1" s="1"/>
  <c r="K153" i="1"/>
  <c r="P153" i="1" s="1"/>
  <c r="K151" i="1"/>
  <c r="P151" i="1" s="1"/>
  <c r="K149" i="1"/>
  <c r="P149" i="1" s="1"/>
  <c r="K147" i="1"/>
  <c r="P147" i="1" s="1"/>
  <c r="K145" i="1"/>
  <c r="P145" i="1" s="1"/>
  <c r="K143" i="1"/>
  <c r="P143" i="1" s="1"/>
  <c r="K141" i="1"/>
  <c r="P141" i="1" s="1"/>
  <c r="K49" i="1"/>
  <c r="P49" i="1" s="1"/>
  <c r="K33" i="1"/>
  <c r="P33" i="1" s="1"/>
  <c r="K242" i="1"/>
  <c r="P242" i="1" s="1"/>
  <c r="K206" i="1"/>
  <c r="P206" i="1" s="1"/>
  <c r="K204" i="1"/>
  <c r="P204" i="1" s="1"/>
  <c r="K53" i="1"/>
  <c r="P53" i="1" s="1"/>
  <c r="K51" i="1"/>
  <c r="P51" i="1" s="1"/>
  <c r="K42" i="1"/>
  <c r="P42" i="1" s="1"/>
  <c r="K37" i="1"/>
  <c r="P37" i="1" s="1"/>
  <c r="K7" i="1"/>
  <c r="P7" i="1" s="1"/>
  <c r="K6" i="1"/>
  <c r="P6" i="1" s="1"/>
  <c r="K293" i="1"/>
  <c r="P293" i="1" s="1"/>
  <c r="K239" i="1"/>
  <c r="P239" i="1" s="1"/>
  <c r="K196" i="1"/>
  <c r="P196" i="1" s="1"/>
  <c r="K139" i="1"/>
  <c r="P139" i="1" s="1"/>
  <c r="K131" i="1"/>
  <c r="P131" i="1" s="1"/>
  <c r="K123" i="1"/>
  <c r="P123" i="1" s="1"/>
  <c r="K115" i="1"/>
  <c r="P115" i="1" s="1"/>
  <c r="K107" i="1"/>
  <c r="P107" i="1" s="1"/>
  <c r="K95" i="1"/>
  <c r="P95" i="1" s="1"/>
  <c r="K87" i="1"/>
  <c r="P87" i="1" s="1"/>
  <c r="K79" i="1"/>
  <c r="P79" i="1" s="1"/>
  <c r="K71" i="1"/>
  <c r="P71" i="1" s="1"/>
  <c r="K59" i="1"/>
  <c r="P59" i="1" s="1"/>
  <c r="K46" i="1"/>
  <c r="P46" i="1" s="1"/>
  <c r="K41" i="1"/>
  <c r="P41" i="1" s="1"/>
  <c r="K22" i="1"/>
  <c r="P22" i="1" s="1"/>
  <c r="K21" i="1"/>
  <c r="P21" i="1" s="1"/>
  <c r="K16" i="1"/>
  <c r="P16" i="1" s="1"/>
  <c r="K8" i="1"/>
  <c r="P8" i="1" s="1"/>
  <c r="K54" i="1"/>
  <c r="P54" i="1" s="1"/>
  <c r="K10" i="1"/>
  <c r="P10" i="1" s="1"/>
  <c r="L222" i="3"/>
  <c r="K12" i="1"/>
  <c r="P12" i="1" s="1"/>
  <c r="K9" i="1"/>
  <c r="P9" i="1" s="1"/>
  <c r="K50" i="1"/>
  <c r="P50" i="1" s="1"/>
  <c r="L223" i="3"/>
  <c r="K11" i="1"/>
  <c r="P11" i="1" s="1"/>
  <c r="K34" i="1"/>
  <c r="P34" i="1" s="1"/>
  <c r="K38" i="1"/>
  <c r="P38" i="1" s="1"/>
  <c r="K43" i="1"/>
  <c r="P43" i="1" s="1"/>
  <c r="K47" i="1"/>
  <c r="P47" i="1" s="1"/>
  <c r="K40" i="1"/>
  <c r="P40" i="1" s="1"/>
  <c r="K56" i="1"/>
  <c r="P56" i="1" s="1"/>
  <c r="K64" i="1"/>
  <c r="P64" i="1" s="1"/>
  <c r="K68" i="1"/>
  <c r="P68" i="1" s="1"/>
  <c r="K76" i="1"/>
  <c r="P76" i="1" s="1"/>
  <c r="K84" i="1"/>
  <c r="P84" i="1" s="1"/>
  <c r="K92" i="1"/>
  <c r="P92" i="1" s="1"/>
  <c r="K100" i="1"/>
  <c r="P100" i="1" s="1"/>
  <c r="K104" i="1"/>
  <c r="P104" i="1" s="1"/>
  <c r="K112" i="1"/>
  <c r="P112" i="1" s="1"/>
  <c r="K120" i="1"/>
  <c r="P120" i="1" s="1"/>
  <c r="K128" i="1"/>
  <c r="P128" i="1" s="1"/>
  <c r="K136" i="1"/>
  <c r="P136" i="1" s="1"/>
  <c r="K140" i="1"/>
  <c r="P140" i="1" s="1"/>
  <c r="K142" i="1"/>
  <c r="P142" i="1" s="1"/>
  <c r="K146" i="1"/>
  <c r="P146" i="1" s="1"/>
  <c r="K150" i="1"/>
  <c r="P150" i="1" s="1"/>
  <c r="K154" i="1"/>
  <c r="P154" i="1" s="1"/>
  <c r="K158" i="1"/>
  <c r="P158" i="1" s="1"/>
  <c r="K162" i="1"/>
  <c r="P162" i="1" s="1"/>
  <c r="K166" i="1"/>
  <c r="P166" i="1" s="1"/>
  <c r="K170" i="1"/>
  <c r="P170" i="1" s="1"/>
  <c r="K209" i="1"/>
  <c r="P209" i="1" s="1"/>
  <c r="K224" i="1"/>
  <c r="P224" i="1" s="1"/>
  <c r="K263" i="1"/>
  <c r="P263" i="1" s="1"/>
  <c r="K271" i="1"/>
  <c r="P271" i="1" s="1"/>
  <c r="K288" i="1"/>
  <c r="P288" i="1" s="1"/>
  <c r="K289" i="1"/>
  <c r="P289" i="1" s="1"/>
  <c r="K295" i="1"/>
  <c r="P295" i="1" s="1"/>
  <c r="L43" i="3"/>
  <c r="L78" i="3"/>
  <c r="L83" i="3"/>
  <c r="L134" i="3"/>
  <c r="L143" i="3"/>
  <c r="L221" i="3"/>
  <c r="K185" i="1"/>
  <c r="P185" i="1" s="1"/>
  <c r="K186" i="1"/>
  <c r="P186" i="1" s="1"/>
  <c r="K191" i="1"/>
  <c r="P191" i="1" s="1"/>
  <c r="K223" i="1"/>
  <c r="P223" i="1" s="1"/>
  <c r="K229" i="1"/>
  <c r="P229" i="1" s="1"/>
  <c r="K257" i="1"/>
  <c r="P257" i="1" s="1"/>
  <c r="K265" i="1"/>
  <c r="P265" i="1" s="1"/>
  <c r="K273" i="1"/>
  <c r="P273" i="1" s="1"/>
  <c r="L39" i="3"/>
  <c r="L75" i="3"/>
  <c r="L110" i="3"/>
  <c r="L111" i="3"/>
  <c r="L115" i="3"/>
  <c r="L122" i="3"/>
  <c r="L126" i="3"/>
  <c r="L217" i="3"/>
  <c r="K26" i="1"/>
  <c r="P26" i="1" s="1"/>
  <c r="K28" i="1"/>
  <c r="P28" i="1" s="1"/>
  <c r="K30" i="1"/>
  <c r="P30" i="1" s="1"/>
  <c r="K32" i="1"/>
  <c r="P32" i="1" s="1"/>
  <c r="K48" i="1"/>
  <c r="P48" i="1" s="1"/>
  <c r="K176" i="1"/>
  <c r="P176" i="1" s="1"/>
  <c r="K193" i="1"/>
  <c r="P193" i="1" s="1"/>
  <c r="K194" i="1"/>
  <c r="P194" i="1" s="1"/>
  <c r="K199" i="1"/>
  <c r="P199" i="1" s="1"/>
  <c r="K208" i="1"/>
  <c r="P208" i="1" s="1"/>
  <c r="K225" i="1"/>
  <c r="P225" i="1" s="1"/>
  <c r="K233" i="1"/>
  <c r="P233" i="1" s="1"/>
  <c r="K249" i="1"/>
  <c r="P249" i="1" s="1"/>
  <c r="K259" i="1"/>
  <c r="P259" i="1" s="1"/>
  <c r="K267" i="1"/>
  <c r="P267" i="1" s="1"/>
  <c r="K275" i="1"/>
  <c r="P275" i="1" s="1"/>
  <c r="L14" i="3"/>
  <c r="L15" i="3"/>
  <c r="L19" i="3"/>
  <c r="L33" i="3"/>
  <c r="L71" i="3"/>
  <c r="L107" i="3"/>
  <c r="L175" i="3"/>
  <c r="L199" i="3"/>
  <c r="L200" i="3"/>
  <c r="L207" i="3"/>
  <c r="K25" i="1"/>
  <c r="P25" i="1" s="1"/>
  <c r="K27" i="1"/>
  <c r="P27" i="1" s="1"/>
  <c r="K29" i="1"/>
  <c r="P29" i="1" s="1"/>
  <c r="K31" i="1"/>
  <c r="P31" i="1" s="1"/>
  <c r="K60" i="1"/>
  <c r="P60" i="1" s="1"/>
  <c r="K72" i="1"/>
  <c r="P72" i="1" s="1"/>
  <c r="K80" i="1"/>
  <c r="P80" i="1" s="1"/>
  <c r="K88" i="1"/>
  <c r="P88" i="1" s="1"/>
  <c r="K96" i="1"/>
  <c r="P96" i="1" s="1"/>
  <c r="K108" i="1"/>
  <c r="P108" i="1" s="1"/>
  <c r="K116" i="1"/>
  <c r="P116" i="1" s="1"/>
  <c r="K124" i="1"/>
  <c r="P124" i="1" s="1"/>
  <c r="K132" i="1"/>
  <c r="P132" i="1" s="1"/>
  <c r="K144" i="1"/>
  <c r="P144" i="1" s="1"/>
  <c r="K148" i="1"/>
  <c r="P148" i="1" s="1"/>
  <c r="K152" i="1"/>
  <c r="P152" i="1" s="1"/>
  <c r="K156" i="1"/>
  <c r="P156" i="1" s="1"/>
  <c r="K160" i="1"/>
  <c r="P160" i="1" s="1"/>
  <c r="K164" i="1"/>
  <c r="P164" i="1" s="1"/>
  <c r="K168" i="1"/>
  <c r="P168" i="1" s="1"/>
  <c r="K172" i="1"/>
  <c r="P172" i="1" s="1"/>
  <c r="K177" i="1"/>
  <c r="P177" i="1" s="1"/>
  <c r="K178" i="1"/>
  <c r="P178" i="1" s="1"/>
  <c r="K183" i="1"/>
  <c r="P183" i="1" s="1"/>
  <c r="K192" i="1"/>
  <c r="P192" i="1" s="1"/>
  <c r="K210" i="1"/>
  <c r="P210" i="1" s="1"/>
  <c r="K215" i="1"/>
  <c r="P215" i="1" s="1"/>
  <c r="K241" i="1"/>
  <c r="P241" i="1" s="1"/>
  <c r="K255" i="1"/>
  <c r="P255" i="1" s="1"/>
  <c r="K280" i="1"/>
  <c r="P280" i="1" s="1"/>
  <c r="L7" i="3"/>
  <c r="L79" i="3"/>
  <c r="L97" i="3"/>
  <c r="L138" i="3"/>
  <c r="L142" i="3"/>
  <c r="K36" i="1"/>
  <c r="P36" i="1" s="1"/>
  <c r="K52" i="1"/>
  <c r="P52" i="1" s="1"/>
  <c r="K200" i="1"/>
  <c r="P200" i="1" s="1"/>
  <c r="K217" i="1"/>
  <c r="P217" i="1" s="1"/>
  <c r="K218" i="1"/>
  <c r="P218" i="1" s="1"/>
  <c r="K245" i="1"/>
  <c r="P245" i="1" s="1"/>
  <c r="K44" i="1"/>
  <c r="P44" i="1" s="1"/>
  <c r="K175" i="1"/>
  <c r="P175" i="1" s="1"/>
  <c r="K184" i="1"/>
  <c r="P184" i="1" s="1"/>
  <c r="K201" i="1"/>
  <c r="P201" i="1" s="1"/>
  <c r="K202" i="1"/>
  <c r="P202" i="1" s="1"/>
  <c r="K207" i="1"/>
  <c r="P207" i="1" s="1"/>
  <c r="K216" i="1"/>
  <c r="P216" i="1" s="1"/>
  <c r="R225" i="1"/>
  <c r="K237" i="1"/>
  <c r="P237" i="1" s="1"/>
  <c r="K253" i="1"/>
  <c r="P253" i="1" s="1"/>
  <c r="K261" i="1"/>
  <c r="P261" i="1" s="1"/>
  <c r="K269" i="1"/>
  <c r="P269" i="1" s="1"/>
  <c r="K281" i="1"/>
  <c r="P281" i="1" s="1"/>
  <c r="L11" i="3"/>
  <c r="L46" i="3"/>
  <c r="L47" i="3"/>
  <c r="L51" i="3"/>
  <c r="L65" i="3"/>
  <c r="L103" i="3"/>
  <c r="L156" i="3"/>
  <c r="L167" i="3"/>
  <c r="K179" i="1"/>
  <c r="P179" i="1" s="1"/>
  <c r="K187" i="1"/>
  <c r="P187" i="1" s="1"/>
  <c r="K195" i="1"/>
  <c r="P195" i="1" s="1"/>
  <c r="K203" i="1"/>
  <c r="P203" i="1" s="1"/>
  <c r="K211" i="1"/>
  <c r="P211" i="1" s="1"/>
  <c r="K219" i="1"/>
  <c r="P219" i="1" s="1"/>
  <c r="K282" i="1"/>
  <c r="P282" i="1" s="1"/>
  <c r="K283" i="1"/>
  <c r="P283" i="1" s="1"/>
  <c r="K290" i="1"/>
  <c r="P290" i="1" s="1"/>
  <c r="L23" i="3"/>
  <c r="L27" i="3"/>
  <c r="K30" i="3"/>
  <c r="L30" i="3" s="1"/>
  <c r="L31" i="3"/>
  <c r="L55" i="3"/>
  <c r="L59" i="3"/>
  <c r="K62" i="3"/>
  <c r="L62" i="3" s="1"/>
  <c r="L63" i="3"/>
  <c r="L87" i="3"/>
  <c r="L91" i="3"/>
  <c r="K94" i="3"/>
  <c r="L94" i="3" s="1"/>
  <c r="L95" i="3"/>
  <c r="L119" i="3"/>
  <c r="L159" i="3"/>
  <c r="L206" i="3"/>
  <c r="L215" i="3"/>
  <c r="K181" i="1"/>
  <c r="P181" i="1" s="1"/>
  <c r="K189" i="1"/>
  <c r="P189" i="1" s="1"/>
  <c r="K197" i="1"/>
  <c r="P197" i="1" s="1"/>
  <c r="K205" i="1"/>
  <c r="P205" i="1" s="1"/>
  <c r="K213" i="1"/>
  <c r="P213" i="1" s="1"/>
  <c r="K221" i="1"/>
  <c r="P221" i="1" s="1"/>
  <c r="K287" i="1"/>
  <c r="P287" i="1" s="1"/>
  <c r="L3" i="3"/>
  <c r="L17" i="3"/>
  <c r="L35" i="3"/>
  <c r="L49" i="3"/>
  <c r="L67" i="3"/>
  <c r="L81" i="3"/>
  <c r="L99" i="3"/>
  <c r="L113" i="3"/>
  <c r="L177" i="3"/>
  <c r="L182" i="3"/>
  <c r="L183" i="3"/>
  <c r="L213" i="3"/>
  <c r="L214" i="3"/>
  <c r="K276" i="1"/>
  <c r="P276" i="1" s="1"/>
  <c r="K286" i="1"/>
  <c r="P286" i="1" s="1"/>
  <c r="K294" i="1"/>
  <c r="P294" i="1" s="1"/>
  <c r="K303" i="1"/>
  <c r="P303" i="1" s="1"/>
  <c r="L2" i="3"/>
  <c r="L5" i="3"/>
  <c r="L8" i="3"/>
  <c r="L12" i="3"/>
  <c r="L18" i="3"/>
  <c r="L21" i="3"/>
  <c r="L24" i="3"/>
  <c r="L28" i="3"/>
  <c r="L34" i="3"/>
  <c r="L37" i="3"/>
  <c r="L40" i="3"/>
  <c r="L44" i="3"/>
  <c r="L50" i="3"/>
  <c r="L53" i="3"/>
  <c r="L56" i="3"/>
  <c r="L60" i="3"/>
  <c r="L66" i="3"/>
  <c r="L69" i="3"/>
  <c r="L72" i="3"/>
  <c r="L76" i="3"/>
  <c r="L82" i="3"/>
  <c r="L85" i="3"/>
  <c r="L88" i="3"/>
  <c r="L92" i="3"/>
  <c r="L98" i="3"/>
  <c r="L101" i="3"/>
  <c r="L104" i="3"/>
  <c r="L108" i="3"/>
  <c r="L114" i="3"/>
  <c r="L117" i="3"/>
  <c r="L120" i="3"/>
  <c r="L130" i="3"/>
  <c r="L135" i="3"/>
  <c r="L139" i="3"/>
  <c r="K145" i="3"/>
  <c r="L145" i="3" s="1"/>
  <c r="L150" i="3"/>
  <c r="L151" i="3"/>
  <c r="L164" i="3"/>
  <c r="L188" i="3"/>
  <c r="L205" i="3"/>
  <c r="L209" i="3"/>
  <c r="L216" i="3"/>
  <c r="K278" i="1"/>
  <c r="P278" i="1" s="1"/>
  <c r="K296" i="1"/>
  <c r="P296" i="1" s="1"/>
  <c r="K297" i="1"/>
  <c r="P297" i="1" s="1"/>
  <c r="L128" i="3"/>
  <c r="L131" i="3"/>
  <c r="L136" i="3"/>
  <c r="L169" i="3"/>
  <c r="L174" i="3"/>
  <c r="L191" i="3"/>
  <c r="L197" i="3"/>
  <c r="L201" i="3"/>
  <c r="L208" i="3"/>
  <c r="K298" i="1"/>
  <c r="P298" i="1" s="1"/>
  <c r="K10" i="3"/>
  <c r="L10" i="3" s="1"/>
  <c r="K26" i="3"/>
  <c r="L26" i="3" s="1"/>
  <c r="K42" i="3"/>
  <c r="L42" i="3" s="1"/>
  <c r="K58" i="3"/>
  <c r="L58" i="3" s="1"/>
  <c r="K74" i="3"/>
  <c r="L74" i="3" s="1"/>
  <c r="K90" i="3"/>
  <c r="L90" i="3" s="1"/>
  <c r="K106" i="3"/>
  <c r="L106" i="3" s="1"/>
  <c r="L123" i="3"/>
  <c r="K133" i="3"/>
  <c r="L133" i="3" s="1"/>
  <c r="L140" i="3"/>
  <c r="K153" i="3"/>
  <c r="L153" i="3" s="1"/>
  <c r="L158" i="3"/>
  <c r="L172" i="3"/>
  <c r="K185" i="3"/>
  <c r="L185" i="3" s="1"/>
  <c r="L190" i="3"/>
  <c r="K284" i="1"/>
  <c r="P284" i="1" s="1"/>
  <c r="K292" i="1"/>
  <c r="P292" i="1" s="1"/>
  <c r="K300" i="1"/>
  <c r="P300" i="1" s="1"/>
  <c r="K302" i="1"/>
  <c r="P302" i="1" s="1"/>
  <c r="K6" i="3"/>
  <c r="L6" i="3" s="1"/>
  <c r="K22" i="3"/>
  <c r="L22" i="3" s="1"/>
  <c r="K38" i="3"/>
  <c r="L38" i="3" s="1"/>
  <c r="K54" i="3"/>
  <c r="L54" i="3" s="1"/>
  <c r="K70" i="3"/>
  <c r="L70" i="3" s="1"/>
  <c r="K86" i="3"/>
  <c r="L86" i="3" s="1"/>
  <c r="K102" i="3"/>
  <c r="L102" i="3" s="1"/>
  <c r="K118" i="3"/>
  <c r="L118" i="3" s="1"/>
  <c r="L124" i="3"/>
  <c r="L148" i="3"/>
  <c r="K161" i="3"/>
  <c r="L161" i="3" s="1"/>
  <c r="L166" i="3"/>
  <c r="L180" i="3"/>
  <c r="K193" i="3"/>
  <c r="L193" i="3" s="1"/>
  <c r="K121" i="3"/>
  <c r="L121" i="3" s="1"/>
  <c r="K137" i="3"/>
  <c r="L137" i="3" s="1"/>
  <c r="K146" i="3"/>
  <c r="L146" i="3" s="1"/>
  <c r="K154" i="3"/>
  <c r="L154" i="3" s="1"/>
  <c r="K162" i="3"/>
  <c r="L162" i="3" s="1"/>
  <c r="K170" i="3"/>
  <c r="L170" i="3" s="1"/>
  <c r="K178" i="3"/>
  <c r="L178" i="3" s="1"/>
  <c r="K186" i="3"/>
  <c r="L186" i="3" s="1"/>
  <c r="K194" i="3"/>
  <c r="L194" i="3" s="1"/>
  <c r="L147" i="3"/>
  <c r="L155" i="3"/>
  <c r="L163" i="3"/>
  <c r="L171" i="3"/>
  <c r="L179" i="3"/>
  <c r="L187" i="3"/>
  <c r="L195" i="3"/>
  <c r="L203" i="3"/>
  <c r="L211" i="3"/>
  <c r="L219" i="3"/>
  <c r="L218" i="3" l="1"/>
  <c r="L210" i="3"/>
  <c r="L202" i="3"/>
  <c r="L168" i="3"/>
  <c r="L165" i="3"/>
  <c r="L192" i="3"/>
  <c r="L189" i="3"/>
  <c r="L160" i="3"/>
  <c r="L157" i="3"/>
  <c r="L196" i="3"/>
  <c r="L184" i="3"/>
  <c r="L176" i="3"/>
  <c r="L173" i="3"/>
  <c r="L127" i="3"/>
  <c r="L204" i="3"/>
  <c r="L149" i="3"/>
  <c r="L129" i="3"/>
  <c r="L116" i="3"/>
  <c r="L100" i="3"/>
  <c r="L84" i="3"/>
  <c r="L68" i="3"/>
  <c r="L52" i="3"/>
  <c r="L36" i="3"/>
  <c r="L20" i="3"/>
  <c r="L4" i="3"/>
  <c r="L212" i="3"/>
  <c r="L181" i="3"/>
  <c r="L144" i="3"/>
  <c r="L112" i="3"/>
  <c r="L109" i="3"/>
  <c r="L105" i="3"/>
  <c r="L80" i="3"/>
  <c r="L77" i="3"/>
  <c r="L73" i="3"/>
  <c r="L48" i="3"/>
  <c r="L45" i="3"/>
  <c r="L41" i="3"/>
  <c r="L16" i="3"/>
  <c r="L13" i="3"/>
  <c r="L9" i="3"/>
  <c r="L152" i="3"/>
  <c r="L64" i="3"/>
  <c r="L61" i="3"/>
  <c r="L57" i="3"/>
  <c r="L220" i="3"/>
  <c r="L132" i="3"/>
  <c r="L198" i="3"/>
  <c r="L32" i="3"/>
  <c r="L29" i="3"/>
  <c r="L25" i="3"/>
  <c r="L125" i="3"/>
  <c r="L141" i="3"/>
  <c r="L96" i="3"/>
  <c r="L93" i="3"/>
  <c r="L89" i="3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<sst xmlns="http://schemas.openxmlformats.org/spreadsheetml/2006/main" count="40" uniqueCount="33">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</sst>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A2" zoomScale="85" zoomScaleNormal="85" workbookViewId="0">
      <selection activeCell="S5" sqref="S5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-0.51007999999999998</v>
      </c>
      <c r="AC3" t="s">
        <v>24</v>
      </c>
    </row>
    <row r="4" spans="1:29" x14ac:dyDescent="0.3">
      <c r="A4">
        <v>3.8128200000000001E-2</v>
      </c>
      <c r="B4">
        <v>0.94379999999999997</v>
      </c>
      <c r="C4">
        <f t="shared" ref="C4:C67" si="0">A4*B4</f>
        <v>3.5985395160000003E-2</v>
      </c>
      <c r="D4">
        <v>1.6299999999999999E-2</v>
      </c>
      <c r="E4">
        <v>3.3E-3</v>
      </c>
      <c r="F4">
        <f t="shared" ref="F4:F67" si="1">A4*200</f>
        <v>7.6256400000000006</v>
      </c>
      <c r="G4">
        <f t="shared" ref="G4:G67" si="2">-B4</f>
        <v>-0.94379999999999997</v>
      </c>
      <c r="H4">
        <f t="shared" ref="H4:H67" si="3">-C4*200</f>
        <v>-7.1970790320000004</v>
      </c>
      <c r="I4">
        <v>1</v>
      </c>
      <c r="J4">
        <f t="shared" ref="J4:J67" si="4">LN(F4/1000)</f>
        <v>-4.876239025584729</v>
      </c>
      <c r="K4">
        <f t="shared" ref="K4:K67" si="5">((-G4)-$N$2)</f>
        <v>-0.27792515177521748</v>
      </c>
      <c r="L4">
        <v>1</v>
      </c>
      <c r="M4">
        <f t="shared" ref="M4:M67" si="6">-1*($S$4+($S$5*J4))</f>
        <v>0.28865196545745186</v>
      </c>
      <c r="N4">
        <f t="shared" ref="N4:N67" si="7">D4*A4</f>
        <v>6.2148965999999999E-4</v>
      </c>
      <c r="O4">
        <f t="shared" ref="O4:O67" si="8">E4*A4</f>
        <v>1.2582306000000001E-4</v>
      </c>
      <c r="P4">
        <f t="shared" ref="P4:P67" si="9">-K4-M4-N4-O4</f>
        <v>-1.1474126402234382E-2</v>
      </c>
      <c r="R4" s="2" t="s">
        <v>25</v>
      </c>
      <c r="S4">
        <v>-0.51212999999999997</v>
      </c>
      <c r="V4">
        <v>-6</v>
      </c>
      <c r="W4">
        <f t="shared" ref="W4:W35" si="10">V4*$S$5+$S$4</f>
        <v>-0.23714999999999997</v>
      </c>
      <c r="Y4">
        <v>0</v>
      </c>
      <c r="Z4">
        <f t="shared" ref="Z4:Z31" si="11">$AB$4*Y4+$AB$3</f>
        <v>-0.51007999999999998</v>
      </c>
      <c r="AB4">
        <v>14.426349999999999</v>
      </c>
      <c r="AC4" t="s">
        <v>26</v>
      </c>
    </row>
    <row r="5" spans="1:29" x14ac:dyDescent="0.3">
      <c r="A5">
        <v>9.1083250000000004E-2</v>
      </c>
      <c r="B5">
        <v>0.91418999999999995</v>
      </c>
      <c r="C5">
        <f t="shared" si="0"/>
        <v>8.3267396317500006E-2</v>
      </c>
      <c r="D5">
        <v>1.6299999999999999E-2</v>
      </c>
      <c r="E5">
        <v>3.3E-3</v>
      </c>
      <c r="F5">
        <f t="shared" si="1"/>
        <v>18.216650000000001</v>
      </c>
      <c r="G5">
        <f t="shared" si="2"/>
        <v>-0.91418999999999995</v>
      </c>
      <c r="H5">
        <f t="shared" si="3"/>
        <v>-16.6534792635</v>
      </c>
      <c r="I5">
        <v>1</v>
      </c>
      <c r="J5">
        <f t="shared" si="4"/>
        <v>-4.0054192679412006</v>
      </c>
      <c r="K5">
        <f t="shared" si="5"/>
        <v>-0.30753515177521751</v>
      </c>
      <c r="L5">
        <v>1</v>
      </c>
      <c r="M5">
        <f t="shared" si="6"/>
        <v>0.3285616349502547</v>
      </c>
      <c r="N5">
        <f t="shared" si="7"/>
        <v>1.484656975E-3</v>
      </c>
      <c r="O5">
        <f t="shared" si="8"/>
        <v>3.0057472499999999E-4</v>
      </c>
      <c r="P5">
        <f t="shared" si="9"/>
        <v>-2.2811714875037189E-2</v>
      </c>
      <c r="R5" s="2" t="s">
        <v>27</v>
      </c>
      <c r="S5">
        <v>-4.5830000000000003E-2</v>
      </c>
      <c r="V5">
        <v>-5.9</v>
      </c>
      <c r="W5">
        <f t="shared" si="10"/>
        <v>-0.24173299999999992</v>
      </c>
      <c r="Y5">
        <v>0.01</v>
      </c>
      <c r="Z5">
        <f t="shared" si="11"/>
        <v>-0.36581649999999999</v>
      </c>
    </row>
    <row r="6" spans="1:29" x14ac:dyDescent="0.3">
      <c r="A6">
        <v>0.14200160000000001</v>
      </c>
      <c r="B6">
        <v>0.87692000000000003</v>
      </c>
      <c r="C6">
        <f t="shared" si="0"/>
        <v>0.124524043072</v>
      </c>
      <c r="D6">
        <v>1.6299999999999999E-2</v>
      </c>
      <c r="E6">
        <v>3.3E-3</v>
      </c>
      <c r="F6">
        <f t="shared" si="1"/>
        <v>28.400320000000001</v>
      </c>
      <c r="G6">
        <f t="shared" si="2"/>
        <v>-0.87692000000000003</v>
      </c>
      <c r="H6">
        <f t="shared" si="3"/>
        <v>-24.9048086144</v>
      </c>
      <c r="I6">
        <v>1</v>
      </c>
      <c r="J6">
        <f t="shared" si="4"/>
        <v>-3.5613548662728221</v>
      </c>
      <c r="K6">
        <f t="shared" si="5"/>
        <v>-0.34480515177521742</v>
      </c>
      <c r="L6">
        <v>1</v>
      </c>
      <c r="M6">
        <f t="shared" si="6"/>
        <v>0.34891310647871654</v>
      </c>
      <c r="N6">
        <f t="shared" si="7"/>
        <v>2.3146260799999999E-3</v>
      </c>
      <c r="O6">
        <f t="shared" si="8"/>
        <v>4.6860528E-4</v>
      </c>
      <c r="P6">
        <f t="shared" si="9"/>
        <v>-6.8911860634991171E-3</v>
      </c>
      <c r="V6">
        <v>-5.8</v>
      </c>
      <c r="W6">
        <f t="shared" si="10"/>
        <v>-0.24631599999999998</v>
      </c>
      <c r="Y6">
        <v>0.02</v>
      </c>
      <c r="Z6">
        <f t="shared" si="11"/>
        <v>-0.221553</v>
      </c>
      <c r="AB6" t="s">
        <v>28</v>
      </c>
    </row>
    <row r="7" spans="1:29" x14ac:dyDescent="0.3">
      <c r="A7">
        <v>0.19393830000000001</v>
      </c>
      <c r="B7">
        <v>0.85951</v>
      </c>
      <c r="C7">
        <f t="shared" si="0"/>
        <v>0.16669190823300001</v>
      </c>
      <c r="D7">
        <v>1.6299999999999999E-2</v>
      </c>
      <c r="E7">
        <v>3.3E-3</v>
      </c>
      <c r="F7">
        <f t="shared" si="1"/>
        <v>38.787660000000002</v>
      </c>
      <c r="G7">
        <f t="shared" si="2"/>
        <v>-0.85951</v>
      </c>
      <c r="H7">
        <f t="shared" si="3"/>
        <v>-33.338381646599998</v>
      </c>
      <c r="I7">
        <v>1</v>
      </c>
      <c r="J7">
        <f t="shared" si="4"/>
        <v>-3.2496531241758628</v>
      </c>
      <c r="K7">
        <f t="shared" si="5"/>
        <v>-0.36221515177521746</v>
      </c>
      <c r="L7">
        <v>1</v>
      </c>
      <c r="M7">
        <f t="shared" si="6"/>
        <v>0.36319839731902015</v>
      </c>
      <c r="N7">
        <f t="shared" si="7"/>
        <v>3.1611942899999997E-3</v>
      </c>
      <c r="O7">
        <f t="shared" si="8"/>
        <v>6.3999639000000006E-4</v>
      </c>
      <c r="P7">
        <f t="shared" si="9"/>
        <v>-4.7844362238026912E-3</v>
      </c>
      <c r="V7">
        <v>-5.7</v>
      </c>
      <c r="W7">
        <f t="shared" si="10"/>
        <v>-0.25089899999999993</v>
      </c>
      <c r="Y7">
        <v>0.03</v>
      </c>
      <c r="Z7">
        <f t="shared" si="11"/>
        <v>-7.7289500000000011E-2</v>
      </c>
      <c r="AB7" t="s">
        <v>29</v>
      </c>
      <c r="AC7">
        <f>-AB3/AB4</f>
        <v>3.5357522866144242E-2</v>
      </c>
    </row>
    <row r="8" spans="1:29" x14ac:dyDescent="0.3">
      <c r="A8">
        <v>0.24434744999999999</v>
      </c>
      <c r="B8">
        <v>0.84765000000000001</v>
      </c>
      <c r="C8">
        <f t="shared" si="0"/>
        <v>0.20712111599249999</v>
      </c>
      <c r="D8">
        <v>1.6299999999999999E-2</v>
      </c>
      <c r="E8">
        <v>3.3E-3</v>
      </c>
      <c r="F8">
        <f t="shared" si="1"/>
        <v>48.869489999999999</v>
      </c>
      <c r="G8">
        <f t="shared" si="2"/>
        <v>-0.84765000000000001</v>
      </c>
      <c r="H8">
        <f t="shared" si="3"/>
        <v>-41.424223198500002</v>
      </c>
      <c r="I8">
        <v>1</v>
      </c>
      <c r="J8">
        <f t="shared" si="4"/>
        <v>-3.0186020036047423</v>
      </c>
      <c r="K8">
        <f t="shared" si="5"/>
        <v>-0.37407515177521744</v>
      </c>
      <c r="L8">
        <v>1</v>
      </c>
      <c r="M8">
        <f t="shared" si="6"/>
        <v>0.37378747017479463</v>
      </c>
      <c r="N8">
        <f t="shared" si="7"/>
        <v>3.9828634349999992E-3</v>
      </c>
      <c r="O8">
        <f t="shared" si="8"/>
        <v>8.0634658499999993E-4</v>
      </c>
      <c r="P8">
        <f t="shared" si="9"/>
        <v>-4.5015284195771927E-3</v>
      </c>
      <c r="V8">
        <v>-5.6</v>
      </c>
      <c r="W8">
        <f t="shared" si="10"/>
        <v>-0.25548199999999999</v>
      </c>
      <c r="Y8">
        <v>0.04</v>
      </c>
      <c r="Z8">
        <f t="shared" si="11"/>
        <v>6.6973999999999978E-2</v>
      </c>
    </row>
    <row r="9" spans="1:29" x14ac:dyDescent="0.3">
      <c r="A9">
        <v>0.29781170000000001</v>
      </c>
      <c r="B9">
        <v>0.83899999999999997</v>
      </c>
      <c r="C9">
        <f t="shared" si="0"/>
        <v>0.24986401629999999</v>
      </c>
      <c r="D9">
        <v>1.6299999999999999E-2</v>
      </c>
      <c r="E9">
        <v>3.3E-3</v>
      </c>
      <c r="F9">
        <f t="shared" si="1"/>
        <v>59.562340000000006</v>
      </c>
      <c r="G9">
        <f t="shared" si="2"/>
        <v>-0.83899999999999997</v>
      </c>
      <c r="H9">
        <f t="shared" si="3"/>
        <v>-49.972803259999999</v>
      </c>
      <c r="I9">
        <v>1</v>
      </c>
      <c r="J9">
        <f t="shared" si="4"/>
        <v>-2.8207317838252588</v>
      </c>
      <c r="K9">
        <f t="shared" si="5"/>
        <v>-0.38272515177521749</v>
      </c>
      <c r="L9">
        <v>1</v>
      </c>
      <c r="M9">
        <f t="shared" si="6"/>
        <v>0.38285586234728836</v>
      </c>
      <c r="N9">
        <f t="shared" si="7"/>
        <v>4.8543307099999993E-3</v>
      </c>
      <c r="O9">
        <f t="shared" si="8"/>
        <v>9.8277861000000007E-4</v>
      </c>
      <c r="P9">
        <f t="shared" si="9"/>
        <v>-5.9678198920708686E-3</v>
      </c>
      <c r="V9">
        <v>-5.5</v>
      </c>
      <c r="W9">
        <f t="shared" si="10"/>
        <v>-0.26006499999999994</v>
      </c>
      <c r="Y9">
        <v>0.05</v>
      </c>
      <c r="Z9">
        <f t="shared" si="11"/>
        <v>0.21123750000000008</v>
      </c>
      <c r="AB9" t="s">
        <v>30</v>
      </c>
      <c r="AC9">
        <v>3.4079999999999999E-2</v>
      </c>
    </row>
    <row r="10" spans="1:29" x14ac:dyDescent="0.3">
      <c r="A10">
        <v>0.3522943</v>
      </c>
      <c r="B10">
        <v>0.83135999999999999</v>
      </c>
      <c r="C10">
        <f t="shared" si="0"/>
        <v>0.292883389248</v>
      </c>
      <c r="D10">
        <v>1.6299999999999999E-2</v>
      </c>
      <c r="E10">
        <v>3.3E-3</v>
      </c>
      <c r="F10">
        <f t="shared" si="1"/>
        <v>70.458860000000001</v>
      </c>
      <c r="G10">
        <f t="shared" si="2"/>
        <v>-0.83135999999999999</v>
      </c>
      <c r="H10">
        <f t="shared" si="3"/>
        <v>-58.576677849600003</v>
      </c>
      <c r="I10">
        <v>1</v>
      </c>
      <c r="J10">
        <f t="shared" si="4"/>
        <v>-2.6527262855924962</v>
      </c>
      <c r="K10">
        <f t="shared" si="5"/>
        <v>-0.39036515177521747</v>
      </c>
      <c r="L10">
        <v>1</v>
      </c>
      <c r="M10">
        <f t="shared" si="6"/>
        <v>0.39055555433129585</v>
      </c>
      <c r="N10">
        <f t="shared" si="7"/>
        <v>5.7423970899999994E-3</v>
      </c>
      <c r="O10">
        <f t="shared" si="8"/>
        <v>1.1625711899999999E-3</v>
      </c>
      <c r="P10">
        <f t="shared" si="9"/>
        <v>-7.0953708360783838E-3</v>
      </c>
      <c r="V10">
        <v>-5.4</v>
      </c>
      <c r="W10">
        <f t="shared" si="10"/>
        <v>-0.26464799999999994</v>
      </c>
      <c r="Y10">
        <v>0.06</v>
      </c>
      <c r="Z10">
        <f t="shared" si="11"/>
        <v>0.35550099999999996</v>
      </c>
    </row>
    <row r="11" spans="1:29" x14ac:dyDescent="0.3">
      <c r="A11">
        <v>0.40372184999999999</v>
      </c>
      <c r="B11">
        <v>0.82486999999999999</v>
      </c>
      <c r="C11">
        <f t="shared" si="0"/>
        <v>0.3330180424095</v>
      </c>
      <c r="D11">
        <v>1.6299999999999999E-2</v>
      </c>
      <c r="E11">
        <v>3.3E-3</v>
      </c>
      <c r="F11">
        <f t="shared" si="1"/>
        <v>80.744370000000004</v>
      </c>
      <c r="G11">
        <f t="shared" si="2"/>
        <v>-0.82486999999999999</v>
      </c>
      <c r="H11">
        <f t="shared" si="3"/>
        <v>-66.603608481899997</v>
      </c>
      <c r="I11">
        <v>1</v>
      </c>
      <c r="J11">
        <f t="shared" si="4"/>
        <v>-2.5164670406722474</v>
      </c>
      <c r="K11">
        <f t="shared" si="5"/>
        <v>-0.39685515177521746</v>
      </c>
      <c r="L11">
        <v>1</v>
      </c>
      <c r="M11">
        <f t="shared" si="6"/>
        <v>0.39680031552599088</v>
      </c>
      <c r="N11">
        <f t="shared" si="7"/>
        <v>6.5806661549999996E-3</v>
      </c>
      <c r="O11">
        <f t="shared" si="8"/>
        <v>1.332282105E-3</v>
      </c>
      <c r="P11">
        <f t="shared" si="9"/>
        <v>-7.8581120107734138E-3</v>
      </c>
      <c r="V11">
        <v>-5.3</v>
      </c>
      <c r="W11">
        <f t="shared" si="10"/>
        <v>-0.269231</v>
      </c>
      <c r="Y11">
        <v>7.0000000000000007E-2</v>
      </c>
      <c r="Z11">
        <f t="shared" si="11"/>
        <v>0.49976450000000006</v>
      </c>
      <c r="AB11" t="s">
        <v>31</v>
      </c>
      <c r="AC11">
        <f>AC7-AC9</f>
        <v>1.2775228661442428E-3</v>
      </c>
    </row>
    <row r="12" spans="1:29" x14ac:dyDescent="0.3">
      <c r="A12">
        <v>0.45565855</v>
      </c>
      <c r="B12">
        <v>0.81966000000000006</v>
      </c>
      <c r="C12">
        <f t="shared" si="0"/>
        <v>0.37348508709300005</v>
      </c>
      <c r="D12">
        <v>1.6299999999999999E-2</v>
      </c>
      <c r="E12">
        <v>3.3E-3</v>
      </c>
      <c r="F12">
        <f t="shared" si="1"/>
        <v>91.131709999999998</v>
      </c>
      <c r="G12">
        <f t="shared" si="2"/>
        <v>-0.81966000000000006</v>
      </c>
      <c r="H12">
        <f t="shared" si="3"/>
        <v>-74.697017418600012</v>
      </c>
      <c r="I12">
        <v>1</v>
      </c>
      <c r="J12">
        <f t="shared" si="4"/>
        <v>-2.3954494562476487</v>
      </c>
      <c r="K12">
        <f t="shared" si="5"/>
        <v>-0.4020651517752174</v>
      </c>
      <c r="L12">
        <v>1</v>
      </c>
      <c r="M12">
        <f t="shared" si="6"/>
        <v>0.40234655142017023</v>
      </c>
      <c r="N12">
        <f t="shared" si="7"/>
        <v>7.4272343649999994E-3</v>
      </c>
      <c r="O12">
        <f t="shared" si="8"/>
        <v>1.5036732150000001E-3</v>
      </c>
      <c r="P12">
        <f t="shared" si="9"/>
        <v>-9.2123072249528284E-3</v>
      </c>
      <c r="V12">
        <v>-5.2</v>
      </c>
      <c r="W12">
        <f t="shared" si="10"/>
        <v>-0.27381399999999995</v>
      </c>
      <c r="Y12">
        <v>0.08</v>
      </c>
      <c r="Z12">
        <f t="shared" si="11"/>
        <v>0.64402799999999993</v>
      </c>
      <c r="AC12">
        <f>AC11*3</f>
        <v>3.8325685984327285E-3</v>
      </c>
    </row>
    <row r="13" spans="1:29" x14ac:dyDescent="0.3">
      <c r="A13">
        <v>0.50708600000000004</v>
      </c>
      <c r="B13">
        <v>0.81430000000000002</v>
      </c>
      <c r="C13">
        <f t="shared" si="0"/>
        <v>0.41292012980000004</v>
      </c>
      <c r="D13">
        <v>1.6299999999999999E-2</v>
      </c>
      <c r="E13">
        <v>3.3E-3</v>
      </c>
      <c r="F13">
        <f t="shared" si="1"/>
        <v>101.41720000000001</v>
      </c>
      <c r="G13">
        <f t="shared" si="2"/>
        <v>-0.81430000000000002</v>
      </c>
      <c r="H13">
        <f t="shared" si="3"/>
        <v>-82.584025960000005</v>
      </c>
      <c r="I13">
        <v>1</v>
      </c>
      <c r="J13">
        <f t="shared" si="4"/>
        <v>-2.2885125769632415</v>
      </c>
      <c r="K13">
        <f t="shared" si="5"/>
        <v>-0.40742515177521743</v>
      </c>
      <c r="L13">
        <v>1</v>
      </c>
      <c r="M13">
        <f t="shared" si="6"/>
        <v>0.40724746859777461</v>
      </c>
      <c r="N13">
        <f t="shared" si="7"/>
        <v>8.2655018E-3</v>
      </c>
      <c r="O13">
        <f t="shared" si="8"/>
        <v>1.6733838000000001E-3</v>
      </c>
      <c r="P13">
        <f t="shared" si="9"/>
        <v>-9.7612024225571786E-3</v>
      </c>
      <c r="V13">
        <v>-5.0999999999999996</v>
      </c>
      <c r="W13">
        <f t="shared" si="10"/>
        <v>-0.27839700000000001</v>
      </c>
      <c r="Y13">
        <v>0.09</v>
      </c>
      <c r="Z13">
        <f t="shared" si="11"/>
        <v>0.78829149999999981</v>
      </c>
    </row>
    <row r="14" spans="1:29" x14ac:dyDescent="0.3">
      <c r="A14">
        <v>0.56666050000000001</v>
      </c>
      <c r="B14">
        <v>0.80983000000000005</v>
      </c>
      <c r="C14">
        <f t="shared" si="0"/>
        <v>0.45889867271500001</v>
      </c>
      <c r="D14">
        <v>1.6299999999999999E-2</v>
      </c>
      <c r="E14">
        <v>3.3E-3</v>
      </c>
      <c r="F14">
        <f t="shared" si="1"/>
        <v>113.3321</v>
      </c>
      <c r="G14">
        <f t="shared" si="2"/>
        <v>-0.80983000000000005</v>
      </c>
      <c r="H14">
        <f t="shared" si="3"/>
        <v>-91.779734543000004</v>
      </c>
      <c r="I14">
        <v>1</v>
      </c>
      <c r="J14">
        <f t="shared" si="4"/>
        <v>-2.1774328324521943</v>
      </c>
      <c r="K14">
        <f t="shared" si="5"/>
        <v>-0.41189515177521741</v>
      </c>
      <c r="L14">
        <v>1</v>
      </c>
      <c r="M14">
        <f t="shared" si="6"/>
        <v>0.41233825328871587</v>
      </c>
      <c r="N14">
        <f t="shared" si="7"/>
        <v>9.2365661500000001E-3</v>
      </c>
      <c r="O14">
        <f t="shared" si="8"/>
        <v>1.8699796500000001E-3</v>
      </c>
      <c r="P14">
        <f t="shared" si="9"/>
        <v>-1.1549647313498468E-2</v>
      </c>
      <c r="V14">
        <v>-5</v>
      </c>
      <c r="W14">
        <f t="shared" si="10"/>
        <v>-0.28297999999999995</v>
      </c>
      <c r="Y14">
        <v>0.1</v>
      </c>
      <c r="Z14">
        <f t="shared" si="11"/>
        <v>0.93255500000000013</v>
      </c>
    </row>
    <row r="15" spans="1:29" x14ac:dyDescent="0.3">
      <c r="A15">
        <v>0.61706965000000003</v>
      </c>
      <c r="B15">
        <v>0.80532000000000004</v>
      </c>
      <c r="C15">
        <f t="shared" si="0"/>
        <v>0.49693853053800002</v>
      </c>
      <c r="D15">
        <v>1.6299999999999999E-2</v>
      </c>
      <c r="E15">
        <v>3.3E-3</v>
      </c>
      <c r="F15">
        <f t="shared" si="1"/>
        <v>123.41393000000001</v>
      </c>
      <c r="G15">
        <f t="shared" si="2"/>
        <v>-0.80532000000000004</v>
      </c>
      <c r="H15">
        <f t="shared" si="3"/>
        <v>-99.38770610760001</v>
      </c>
      <c r="I15">
        <v>1</v>
      </c>
      <c r="J15">
        <f t="shared" si="4"/>
        <v>-2.092211288954807</v>
      </c>
      <c r="K15">
        <f t="shared" si="5"/>
        <v>-0.41640515177521742</v>
      </c>
      <c r="L15">
        <v>1</v>
      </c>
      <c r="M15">
        <f t="shared" si="6"/>
        <v>0.41624395662720115</v>
      </c>
      <c r="N15">
        <f t="shared" si="7"/>
        <v>1.0058235294999999E-2</v>
      </c>
      <c r="O15">
        <f t="shared" si="8"/>
        <v>2.036329845E-3</v>
      </c>
      <c r="P15">
        <f t="shared" si="9"/>
        <v>-1.193336999198373E-2</v>
      </c>
      <c r="V15">
        <v>-4.9000000000000004</v>
      </c>
      <c r="W15">
        <f t="shared" si="10"/>
        <v>-0.28756299999999996</v>
      </c>
      <c r="Y15">
        <v>0.11</v>
      </c>
      <c r="Z15">
        <f t="shared" si="11"/>
        <v>1.0768184999999999</v>
      </c>
    </row>
    <row r="16" spans="1:29" x14ac:dyDescent="0.3">
      <c r="A16">
        <v>0.67002470000000003</v>
      </c>
      <c r="B16">
        <v>0.80140999999999996</v>
      </c>
      <c r="C16">
        <f t="shared" si="0"/>
        <v>0.53696449482700004</v>
      </c>
      <c r="D16">
        <v>1.6299999999999999E-2</v>
      </c>
      <c r="E16">
        <v>3.3E-3</v>
      </c>
      <c r="F16">
        <f t="shared" si="1"/>
        <v>134.00494</v>
      </c>
      <c r="G16">
        <f t="shared" si="2"/>
        <v>-0.80140999999999996</v>
      </c>
      <c r="H16">
        <f t="shared" si="3"/>
        <v>-107.39289896540001</v>
      </c>
      <c r="I16">
        <v>1</v>
      </c>
      <c r="J16">
        <f t="shared" si="4"/>
        <v>-2.0098786140391058</v>
      </c>
      <c r="K16">
        <f t="shared" si="5"/>
        <v>-0.4203151517752175</v>
      </c>
      <c r="L16">
        <v>1</v>
      </c>
      <c r="M16">
        <f t="shared" si="6"/>
        <v>0.42001726311858778</v>
      </c>
      <c r="N16">
        <f t="shared" si="7"/>
        <v>1.0921402609999999E-2</v>
      </c>
      <c r="O16">
        <f t="shared" si="8"/>
        <v>2.2110815100000003E-3</v>
      </c>
      <c r="P16">
        <f t="shared" si="9"/>
        <v>-1.283459546337028E-2</v>
      </c>
      <c r="V16">
        <v>-4.8</v>
      </c>
      <c r="W16">
        <f t="shared" si="10"/>
        <v>-0.29214599999999996</v>
      </c>
      <c r="Y16">
        <v>0.12</v>
      </c>
      <c r="Z16">
        <f t="shared" si="11"/>
        <v>1.221082</v>
      </c>
    </row>
    <row r="17" spans="1:26" x14ac:dyDescent="0.3">
      <c r="A17">
        <v>0.720943</v>
      </c>
      <c r="B17">
        <v>0.79745999999999995</v>
      </c>
      <c r="C17">
        <f t="shared" si="0"/>
        <v>0.57492320477999992</v>
      </c>
      <c r="D17">
        <v>1.6299999999999999E-2</v>
      </c>
      <c r="E17">
        <v>3.3E-3</v>
      </c>
      <c r="F17">
        <f t="shared" si="1"/>
        <v>144.18860000000001</v>
      </c>
      <c r="G17">
        <f t="shared" si="2"/>
        <v>-0.79745999999999995</v>
      </c>
      <c r="H17">
        <f t="shared" si="3"/>
        <v>-114.98464095599998</v>
      </c>
      <c r="I17">
        <v>1</v>
      </c>
      <c r="J17">
        <f t="shared" si="4"/>
        <v>-1.9366331141219117</v>
      </c>
      <c r="K17">
        <f t="shared" si="5"/>
        <v>-0.42426515177521751</v>
      </c>
      <c r="L17">
        <v>1</v>
      </c>
      <c r="M17">
        <f t="shared" si="6"/>
        <v>0.42337410437979273</v>
      </c>
      <c r="N17">
        <f t="shared" si="7"/>
        <v>1.1751370899999999E-2</v>
      </c>
      <c r="O17">
        <f t="shared" si="8"/>
        <v>2.3791119E-3</v>
      </c>
      <c r="P17">
        <f t="shared" si="9"/>
        <v>-1.3239435404575216E-2</v>
      </c>
      <c r="V17">
        <v>-4.7</v>
      </c>
      <c r="W17">
        <f t="shared" si="10"/>
        <v>-0.29672899999999997</v>
      </c>
      <c r="Y17">
        <v>0.13</v>
      </c>
      <c r="Z17">
        <f t="shared" si="11"/>
        <v>1.3653455000000001</v>
      </c>
    </row>
    <row r="18" spans="1:26" x14ac:dyDescent="0.3">
      <c r="A18">
        <v>0.77186135</v>
      </c>
      <c r="B18">
        <v>0.79410000000000003</v>
      </c>
      <c r="C18">
        <f t="shared" si="0"/>
        <v>0.61293509803500001</v>
      </c>
      <c r="D18">
        <v>1.6299999999999999E-2</v>
      </c>
      <c r="E18">
        <v>3.3E-3</v>
      </c>
      <c r="F18">
        <f t="shared" si="1"/>
        <v>154.37227000000001</v>
      </c>
      <c r="G18">
        <f t="shared" si="2"/>
        <v>-0.79410000000000003</v>
      </c>
      <c r="H18">
        <f t="shared" si="3"/>
        <v>-122.587019607</v>
      </c>
      <c r="I18">
        <v>1</v>
      </c>
      <c r="J18">
        <f t="shared" si="4"/>
        <v>-1.8683882559667893</v>
      </c>
      <c r="K18">
        <f t="shared" si="5"/>
        <v>-0.42762515177521743</v>
      </c>
      <c r="L18">
        <v>1</v>
      </c>
      <c r="M18">
        <f t="shared" si="6"/>
        <v>0.42650176622904201</v>
      </c>
      <c r="N18">
        <f t="shared" si="7"/>
        <v>1.2581340004999999E-2</v>
      </c>
      <c r="O18">
        <f t="shared" si="8"/>
        <v>2.547142455E-3</v>
      </c>
      <c r="P18">
        <f t="shared" si="9"/>
        <v>-1.4005096913824584E-2</v>
      </c>
      <c r="V18">
        <v>-4.5999999999999996</v>
      </c>
      <c r="W18">
        <f t="shared" si="10"/>
        <v>-0.30131199999999997</v>
      </c>
      <c r="Y18">
        <v>0.14000000000000001</v>
      </c>
      <c r="Z18">
        <f t="shared" si="11"/>
        <v>1.5096090000000002</v>
      </c>
    </row>
    <row r="19" spans="1:26" x14ac:dyDescent="0.3">
      <c r="A19">
        <v>0.82328880000000004</v>
      </c>
      <c r="B19">
        <v>0.79057999999999995</v>
      </c>
      <c r="C19">
        <f t="shared" si="0"/>
        <v>0.65087565950399995</v>
      </c>
      <c r="D19">
        <v>1.6299999999999999E-2</v>
      </c>
      <c r="E19">
        <v>3.3E-3</v>
      </c>
      <c r="F19">
        <f t="shared" si="1"/>
        <v>164.65776</v>
      </c>
      <c r="G19">
        <f t="shared" si="2"/>
        <v>-0.79057999999999995</v>
      </c>
      <c r="H19">
        <f t="shared" si="3"/>
        <v>-130.17513190079998</v>
      </c>
      <c r="I19">
        <v>1</v>
      </c>
      <c r="J19">
        <f t="shared" si="4"/>
        <v>-1.8038861409940166</v>
      </c>
      <c r="K19">
        <f t="shared" si="5"/>
        <v>-0.43114515177521751</v>
      </c>
      <c r="L19">
        <v>1</v>
      </c>
      <c r="M19">
        <f t="shared" si="6"/>
        <v>0.4294578981582442</v>
      </c>
      <c r="N19">
        <f t="shared" si="7"/>
        <v>1.341960744E-2</v>
      </c>
      <c r="O19">
        <f t="shared" si="8"/>
        <v>2.7168530400000003E-3</v>
      </c>
      <c r="P19">
        <f t="shared" si="9"/>
        <v>-1.4449206863026694E-2</v>
      </c>
      <c r="V19">
        <v>-4.5000000000000098</v>
      </c>
      <c r="W19">
        <f t="shared" si="10"/>
        <v>-0.30589499999999947</v>
      </c>
      <c r="Y19">
        <v>0.15</v>
      </c>
      <c r="Z19">
        <f t="shared" si="11"/>
        <v>1.6538724999999999</v>
      </c>
    </row>
    <row r="20" spans="1:26" x14ac:dyDescent="0.3">
      <c r="A20">
        <v>0.87624389999999996</v>
      </c>
      <c r="B20">
        <v>0.78756999999999999</v>
      </c>
      <c r="C20">
        <f t="shared" si="0"/>
        <v>0.69010340832299999</v>
      </c>
      <c r="D20">
        <v>1.6299999999999999E-2</v>
      </c>
      <c r="E20">
        <v>3.3E-3</v>
      </c>
      <c r="F20">
        <f t="shared" si="1"/>
        <v>175.24877999999998</v>
      </c>
      <c r="G20">
        <f t="shared" si="2"/>
        <v>-0.78756999999999999</v>
      </c>
      <c r="H20">
        <f t="shared" si="3"/>
        <v>-138.0206816646</v>
      </c>
      <c r="I20">
        <v>1</v>
      </c>
      <c r="J20">
        <f t="shared" si="4"/>
        <v>-1.7415487145752637</v>
      </c>
      <c r="K20">
        <f t="shared" si="5"/>
        <v>-0.43415515177521746</v>
      </c>
      <c r="L20">
        <v>1</v>
      </c>
      <c r="M20">
        <f t="shared" si="6"/>
        <v>0.43231482241101565</v>
      </c>
      <c r="N20">
        <f t="shared" si="7"/>
        <v>1.4282775569999998E-2</v>
      </c>
      <c r="O20">
        <f t="shared" si="8"/>
        <v>2.8916048699999999E-3</v>
      </c>
      <c r="P20">
        <f t="shared" si="9"/>
        <v>-1.5334051075798188E-2</v>
      </c>
      <c r="V20">
        <v>-4.4000000000000101</v>
      </c>
      <c r="W20">
        <f t="shared" si="10"/>
        <v>-0.31047799999999948</v>
      </c>
      <c r="Y20">
        <v>0.16</v>
      </c>
      <c r="Z20">
        <f t="shared" si="11"/>
        <v>1.798136</v>
      </c>
    </row>
    <row r="21" spans="1:26" x14ac:dyDescent="0.3">
      <c r="A21">
        <v>0.93174480000000004</v>
      </c>
      <c r="B21">
        <v>0.78417000000000003</v>
      </c>
      <c r="C21">
        <f t="shared" si="0"/>
        <v>0.73064631981600003</v>
      </c>
      <c r="D21">
        <v>1.6299999999999999E-2</v>
      </c>
      <c r="E21">
        <v>3.3E-3</v>
      </c>
      <c r="F21">
        <f t="shared" si="1"/>
        <v>186.34896000000001</v>
      </c>
      <c r="G21">
        <f t="shared" si="2"/>
        <v>-0.78417000000000003</v>
      </c>
      <c r="H21">
        <f t="shared" si="3"/>
        <v>-146.1292639632</v>
      </c>
      <c r="I21">
        <v>1</v>
      </c>
      <c r="J21">
        <f t="shared" si="4"/>
        <v>-1.6801342339686061</v>
      </c>
      <c r="K21">
        <f t="shared" si="5"/>
        <v>-0.43755515177521742</v>
      </c>
      <c r="L21">
        <v>1</v>
      </c>
      <c r="M21">
        <f t="shared" si="6"/>
        <v>0.43512944805721876</v>
      </c>
      <c r="N21">
        <f t="shared" si="7"/>
        <v>1.5187440239999999E-2</v>
      </c>
      <c r="O21">
        <f t="shared" si="8"/>
        <v>3.0747578400000001E-3</v>
      </c>
      <c r="P21">
        <f t="shared" si="9"/>
        <v>-1.5836494362001338E-2</v>
      </c>
      <c r="V21">
        <v>-4.3000000000000096</v>
      </c>
      <c r="W21">
        <f t="shared" si="10"/>
        <v>-0.31506099999999954</v>
      </c>
      <c r="Y21">
        <v>0.17</v>
      </c>
      <c r="Z21">
        <f t="shared" si="11"/>
        <v>1.9423995000000001</v>
      </c>
    </row>
    <row r="22" spans="1:26" x14ac:dyDescent="0.3">
      <c r="A22">
        <v>0.98673670000000002</v>
      </c>
      <c r="B22">
        <v>0.78100000000000003</v>
      </c>
      <c r="C22">
        <f t="shared" si="0"/>
        <v>0.77064136270000005</v>
      </c>
      <c r="D22">
        <v>1.6299999999999999E-2</v>
      </c>
      <c r="E22">
        <v>3.3E-3</v>
      </c>
      <c r="F22">
        <f t="shared" si="1"/>
        <v>197.34734</v>
      </c>
      <c r="G22">
        <f t="shared" si="2"/>
        <v>-0.78100000000000003</v>
      </c>
      <c r="H22">
        <f t="shared" si="3"/>
        <v>-154.12827254000001</v>
      </c>
      <c r="I22">
        <v>1</v>
      </c>
      <c r="J22">
        <f t="shared" si="4"/>
        <v>-1.622789955555453</v>
      </c>
      <c r="K22">
        <f t="shared" si="5"/>
        <v>-0.44072515177521743</v>
      </c>
      <c r="L22">
        <v>1</v>
      </c>
      <c r="M22">
        <f t="shared" si="6"/>
        <v>0.43775753633689357</v>
      </c>
      <c r="N22">
        <f t="shared" si="7"/>
        <v>1.6083808209999998E-2</v>
      </c>
      <c r="O22">
        <f t="shared" si="8"/>
        <v>3.2562311100000001E-3</v>
      </c>
      <c r="P22">
        <f t="shared" si="9"/>
        <v>-1.6372423881676142E-2</v>
      </c>
      <c r="V22">
        <v>-4.2000000000000099</v>
      </c>
      <c r="W22">
        <f t="shared" si="10"/>
        <v>-0.31964399999999948</v>
      </c>
      <c r="Y22">
        <v>0.18</v>
      </c>
      <c r="Z22">
        <f t="shared" si="11"/>
        <v>2.0866629999999997</v>
      </c>
    </row>
    <row r="23" spans="1:26" x14ac:dyDescent="0.3">
      <c r="A23">
        <v>1.037655</v>
      </c>
      <c r="B23">
        <v>0.77805999999999997</v>
      </c>
      <c r="C23">
        <f t="shared" si="0"/>
        <v>0.80735784929999999</v>
      </c>
      <c r="D23">
        <v>1.6299999999999999E-2</v>
      </c>
      <c r="E23">
        <v>3.3E-3</v>
      </c>
      <c r="F23">
        <f t="shared" si="1"/>
        <v>207.53100000000001</v>
      </c>
      <c r="G23">
        <f t="shared" si="2"/>
        <v>-0.77805999999999997</v>
      </c>
      <c r="H23">
        <f t="shared" si="3"/>
        <v>-161.47156985999999</v>
      </c>
      <c r="I23">
        <v>1</v>
      </c>
      <c r="J23">
        <f t="shared" si="4"/>
        <v>-1.5724745528797313</v>
      </c>
      <c r="K23">
        <f t="shared" si="5"/>
        <v>-0.44366515177521748</v>
      </c>
      <c r="L23">
        <v>1</v>
      </c>
      <c r="M23">
        <f t="shared" si="6"/>
        <v>0.44006349124152189</v>
      </c>
      <c r="N23">
        <f t="shared" si="7"/>
        <v>1.6913776499999998E-2</v>
      </c>
      <c r="O23">
        <f t="shared" si="8"/>
        <v>3.4242614999999998E-3</v>
      </c>
      <c r="P23">
        <f t="shared" si="9"/>
        <v>-1.6736377466304405E-2</v>
      </c>
      <c r="V23">
        <v>-4.1000000000000103</v>
      </c>
      <c r="W23">
        <f t="shared" si="10"/>
        <v>-0.32422699999999949</v>
      </c>
      <c r="Y23">
        <v>0.19</v>
      </c>
      <c r="Z23">
        <f t="shared" si="11"/>
        <v>2.2309265000000003</v>
      </c>
    </row>
    <row r="24" spans="1:26" x14ac:dyDescent="0.3">
      <c r="A24">
        <v>1.0895918</v>
      </c>
      <c r="B24">
        <v>0.77537</v>
      </c>
      <c r="C24">
        <f t="shared" si="0"/>
        <v>0.84483679396599998</v>
      </c>
      <c r="D24">
        <v>1.6299999999999999E-2</v>
      </c>
      <c r="E24">
        <v>3.3E-3</v>
      </c>
      <c r="F24">
        <f t="shared" si="1"/>
        <v>217.91836000000001</v>
      </c>
      <c r="G24">
        <f t="shared" si="2"/>
        <v>-0.77537</v>
      </c>
      <c r="H24">
        <f t="shared" si="3"/>
        <v>-168.96735879319999</v>
      </c>
      <c r="I24">
        <v>1</v>
      </c>
      <c r="J24">
        <f t="shared" si="4"/>
        <v>-1.5236347817468114</v>
      </c>
      <c r="K24">
        <f t="shared" si="5"/>
        <v>-0.44635515177521745</v>
      </c>
      <c r="L24">
        <v>1</v>
      </c>
      <c r="M24">
        <f t="shared" si="6"/>
        <v>0.44230181795254359</v>
      </c>
      <c r="N24">
        <f t="shared" si="7"/>
        <v>1.7760346339999997E-2</v>
      </c>
      <c r="O24">
        <f t="shared" si="8"/>
        <v>3.5956529400000001E-3</v>
      </c>
      <c r="P24">
        <f t="shared" si="9"/>
        <v>-1.730266545732613E-2</v>
      </c>
      <c r="V24">
        <v>-4.0000000000000098</v>
      </c>
      <c r="W24">
        <f t="shared" si="10"/>
        <v>-0.32880999999999949</v>
      </c>
      <c r="Y24">
        <v>0.2</v>
      </c>
      <c r="Z24">
        <f t="shared" si="11"/>
        <v>2.3751900000000004</v>
      </c>
    </row>
    <row r="25" spans="1:26" x14ac:dyDescent="0.3">
      <c r="A25">
        <v>1.1400009</v>
      </c>
      <c r="B25">
        <v>0.77283000000000002</v>
      </c>
      <c r="C25">
        <f t="shared" si="0"/>
        <v>0.88102689554699998</v>
      </c>
      <c r="D25">
        <v>1.6299999999999999E-2</v>
      </c>
      <c r="E25">
        <v>3.3E-3</v>
      </c>
      <c r="F25">
        <f t="shared" si="1"/>
        <v>228.00018</v>
      </c>
      <c r="G25">
        <f t="shared" si="2"/>
        <v>-0.77283000000000002</v>
      </c>
      <c r="H25">
        <f t="shared" si="3"/>
        <v>-176.20537910939998</v>
      </c>
      <c r="I25">
        <v>1</v>
      </c>
      <c r="J25">
        <f t="shared" si="4"/>
        <v>-1.4784088605543237</v>
      </c>
      <c r="K25">
        <f t="shared" si="5"/>
        <v>-0.44889515177521744</v>
      </c>
      <c r="L25">
        <v>1</v>
      </c>
      <c r="M25">
        <f t="shared" si="6"/>
        <v>0.4443745219207953</v>
      </c>
      <c r="N25">
        <f t="shared" si="7"/>
        <v>1.8582014669999997E-2</v>
      </c>
      <c r="O25">
        <f t="shared" si="8"/>
        <v>3.76200297E-3</v>
      </c>
      <c r="P25">
        <f t="shared" si="9"/>
        <v>-1.7823387785577856E-2</v>
      </c>
      <c r="V25">
        <v>-3.9000000000000101</v>
      </c>
      <c r="W25">
        <f t="shared" si="10"/>
        <v>-0.3333929999999995</v>
      </c>
      <c r="Y25">
        <v>0.21</v>
      </c>
      <c r="Z25">
        <f t="shared" si="11"/>
        <v>2.5194535</v>
      </c>
    </row>
    <row r="26" spans="1:26" x14ac:dyDescent="0.3">
      <c r="A26">
        <v>1.1929561</v>
      </c>
      <c r="B26">
        <v>0.76990000000000003</v>
      </c>
      <c r="C26">
        <f t="shared" si="0"/>
        <v>0.91845690139000002</v>
      </c>
      <c r="D26">
        <v>1.6299999999999999E-2</v>
      </c>
      <c r="E26">
        <v>3.3E-3</v>
      </c>
      <c r="F26">
        <f t="shared" si="1"/>
        <v>238.59121999999999</v>
      </c>
      <c r="G26">
        <f t="shared" si="2"/>
        <v>-0.76990000000000003</v>
      </c>
      <c r="H26">
        <f t="shared" si="3"/>
        <v>-183.691380278</v>
      </c>
      <c r="I26">
        <v>1</v>
      </c>
      <c r="J26">
        <f t="shared" si="4"/>
        <v>-1.4330035679836488</v>
      </c>
      <c r="K26">
        <f t="shared" si="5"/>
        <v>-0.45182515177521743</v>
      </c>
      <c r="L26">
        <v>1</v>
      </c>
      <c r="M26">
        <f t="shared" si="6"/>
        <v>0.44645544647930935</v>
      </c>
      <c r="N26">
        <f t="shared" si="7"/>
        <v>1.9445184429999998E-2</v>
      </c>
      <c r="O26">
        <f t="shared" si="8"/>
        <v>3.9367551299999996E-3</v>
      </c>
      <c r="P26">
        <f t="shared" si="9"/>
        <v>-1.801223426409192E-2</v>
      </c>
      <c r="V26">
        <v>-3.80000000000001</v>
      </c>
      <c r="W26">
        <f t="shared" si="10"/>
        <v>-0.3379759999999995</v>
      </c>
      <c r="Y26">
        <v>0.22</v>
      </c>
      <c r="Z26">
        <f t="shared" si="11"/>
        <v>2.6637170000000001</v>
      </c>
    </row>
    <row r="27" spans="1:26" x14ac:dyDescent="0.3">
      <c r="A27">
        <v>1.2438743000000001</v>
      </c>
      <c r="B27">
        <v>0.76717000000000002</v>
      </c>
      <c r="C27">
        <f t="shared" si="0"/>
        <v>0.95426304673100015</v>
      </c>
      <c r="D27">
        <v>1.6299999999999999E-2</v>
      </c>
      <c r="E27">
        <v>3.3E-3</v>
      </c>
      <c r="F27">
        <f t="shared" si="1"/>
        <v>248.77486000000002</v>
      </c>
      <c r="G27">
        <f t="shared" si="2"/>
        <v>-0.76717000000000002</v>
      </c>
      <c r="H27">
        <f t="shared" si="3"/>
        <v>-190.85260934620004</v>
      </c>
      <c r="I27">
        <v>1</v>
      </c>
      <c r="J27">
        <f t="shared" si="4"/>
        <v>-1.3912069682385813</v>
      </c>
      <c r="K27">
        <f t="shared" si="5"/>
        <v>-0.45455515177521744</v>
      </c>
      <c r="L27">
        <v>1</v>
      </c>
      <c r="M27">
        <f t="shared" si="6"/>
        <v>0.4483709846456258</v>
      </c>
      <c r="N27">
        <f t="shared" si="7"/>
        <v>2.0275151089999999E-2</v>
      </c>
      <c r="O27">
        <f t="shared" si="8"/>
        <v>4.1047851900000007E-3</v>
      </c>
      <c r="P27">
        <f t="shared" si="9"/>
        <v>-1.8195769150408367E-2</v>
      </c>
      <c r="V27">
        <v>-3.7000000000000099</v>
      </c>
      <c r="W27">
        <f t="shared" si="10"/>
        <v>-0.3425589999999995</v>
      </c>
      <c r="Y27">
        <v>0.23</v>
      </c>
      <c r="Z27">
        <f t="shared" si="11"/>
        <v>2.8079805000000002</v>
      </c>
    </row>
    <row r="28" spans="1:26" x14ac:dyDescent="0.3">
      <c r="A28">
        <v>1.2968293</v>
      </c>
      <c r="B28">
        <v>0.76480999999999999</v>
      </c>
      <c r="C28">
        <f t="shared" si="0"/>
        <v>0.99182801693299993</v>
      </c>
      <c r="D28">
        <v>1.6299999999999999E-2</v>
      </c>
      <c r="E28">
        <v>3.3E-3</v>
      </c>
      <c r="F28">
        <f t="shared" si="1"/>
        <v>259.36586</v>
      </c>
      <c r="G28">
        <f t="shared" si="2"/>
        <v>-0.76480999999999999</v>
      </c>
      <c r="H28">
        <f t="shared" si="3"/>
        <v>-198.36560338659999</v>
      </c>
      <c r="I28">
        <v>1</v>
      </c>
      <c r="J28">
        <f t="shared" si="4"/>
        <v>-1.3495156271722837</v>
      </c>
      <c r="K28">
        <f t="shared" si="5"/>
        <v>-0.45691515177521747</v>
      </c>
      <c r="L28">
        <v>1</v>
      </c>
      <c r="M28">
        <f t="shared" si="6"/>
        <v>0.45028169880669422</v>
      </c>
      <c r="N28">
        <f t="shared" si="7"/>
        <v>2.1138317589999997E-2</v>
      </c>
      <c r="O28">
        <f t="shared" si="8"/>
        <v>4.2795366899999994E-3</v>
      </c>
      <c r="P28">
        <f t="shared" si="9"/>
        <v>-1.878440131147675E-2</v>
      </c>
      <c r="V28">
        <v>-3.6000000000000099</v>
      </c>
      <c r="W28">
        <f t="shared" si="10"/>
        <v>-0.34714199999999951</v>
      </c>
      <c r="Y28">
        <v>0.24</v>
      </c>
      <c r="Z28">
        <f t="shared" si="11"/>
        <v>2.9522439999999999</v>
      </c>
    </row>
    <row r="29" spans="1:26" x14ac:dyDescent="0.3">
      <c r="A29">
        <v>1.3477477</v>
      </c>
      <c r="B29">
        <v>0.76204000000000005</v>
      </c>
      <c r="C29">
        <f t="shared" si="0"/>
        <v>1.027037657308</v>
      </c>
      <c r="D29">
        <v>1.6299999999999999E-2</v>
      </c>
      <c r="E29">
        <v>3.3E-3</v>
      </c>
      <c r="F29">
        <f t="shared" si="1"/>
        <v>269.54953999999998</v>
      </c>
      <c r="G29">
        <f t="shared" si="2"/>
        <v>-0.76204000000000005</v>
      </c>
      <c r="H29">
        <f t="shared" si="3"/>
        <v>-205.4075314616</v>
      </c>
      <c r="I29">
        <v>1</v>
      </c>
      <c r="J29">
        <f t="shared" si="4"/>
        <v>-1.3110030836338658</v>
      </c>
      <c r="K29">
        <f t="shared" si="5"/>
        <v>-0.4596851517752174</v>
      </c>
      <c r="L29">
        <v>1</v>
      </c>
      <c r="M29">
        <f t="shared" si="6"/>
        <v>0.45204672867705992</v>
      </c>
      <c r="N29">
        <f t="shared" si="7"/>
        <v>2.1968287509999997E-2</v>
      </c>
      <c r="O29">
        <f t="shared" si="8"/>
        <v>4.4475674099999996E-3</v>
      </c>
      <c r="P29">
        <f t="shared" si="9"/>
        <v>-1.8777431821842508E-2</v>
      </c>
      <c r="V29">
        <v>-3.5000000000000102</v>
      </c>
      <c r="W29">
        <f t="shared" si="10"/>
        <v>-0.35172499999999951</v>
      </c>
      <c r="Y29">
        <v>0.25</v>
      </c>
      <c r="Z29">
        <f t="shared" si="11"/>
        <v>3.0965075</v>
      </c>
    </row>
    <row r="30" spans="1:26" x14ac:dyDescent="0.3">
      <c r="A30">
        <v>1.3991752</v>
      </c>
      <c r="B30">
        <v>0.75951999999999997</v>
      </c>
      <c r="C30">
        <f t="shared" si="0"/>
        <v>1.0627015479039998</v>
      </c>
      <c r="D30">
        <v>1.6299999999999999E-2</v>
      </c>
      <c r="E30">
        <v>3.3E-3</v>
      </c>
      <c r="F30">
        <f t="shared" si="1"/>
        <v>279.83503999999999</v>
      </c>
      <c r="G30">
        <f t="shared" si="2"/>
        <v>-0.75951999999999997</v>
      </c>
      <c r="H30">
        <f t="shared" si="3"/>
        <v>-212.54030958079997</v>
      </c>
      <c r="I30">
        <v>1</v>
      </c>
      <c r="J30">
        <f t="shared" si="4"/>
        <v>-1.2735549922828753</v>
      </c>
      <c r="K30">
        <f t="shared" si="5"/>
        <v>-0.46220515177521748</v>
      </c>
      <c r="L30">
        <v>1</v>
      </c>
      <c r="M30">
        <f t="shared" si="6"/>
        <v>0.45376297470367577</v>
      </c>
      <c r="N30">
        <f t="shared" si="7"/>
        <v>2.2806555759999996E-2</v>
      </c>
      <c r="O30">
        <f t="shared" si="8"/>
        <v>4.6172781600000001E-3</v>
      </c>
      <c r="P30">
        <f t="shared" si="9"/>
        <v>-1.8981656848458282E-2</v>
      </c>
      <c r="V30">
        <v>-3.4000000000000101</v>
      </c>
      <c r="W30">
        <f t="shared" si="10"/>
        <v>-0.35630799999999951</v>
      </c>
      <c r="Y30">
        <v>0.26</v>
      </c>
      <c r="Z30">
        <f t="shared" si="11"/>
        <v>3.2407710000000001</v>
      </c>
    </row>
    <row r="31" spans="1:26" x14ac:dyDescent="0.3">
      <c r="A31">
        <v>1.4495842000000001</v>
      </c>
      <c r="B31">
        <v>0.75734000000000001</v>
      </c>
      <c r="C31">
        <f t="shared" si="0"/>
        <v>1.0978280980280002</v>
      </c>
      <c r="D31">
        <v>1.6299999999999999E-2</v>
      </c>
      <c r="E31">
        <v>3.3E-3</v>
      </c>
      <c r="F31">
        <f t="shared" si="1"/>
        <v>289.91684000000004</v>
      </c>
      <c r="G31">
        <f t="shared" si="2"/>
        <v>-0.75734000000000001</v>
      </c>
      <c r="H31">
        <f t="shared" si="3"/>
        <v>-219.56561960560003</v>
      </c>
      <c r="I31">
        <v>1</v>
      </c>
      <c r="J31">
        <f t="shared" si="4"/>
        <v>-1.238161155745422</v>
      </c>
      <c r="K31">
        <f t="shared" si="5"/>
        <v>-0.46438515177521744</v>
      </c>
      <c r="L31">
        <v>1</v>
      </c>
      <c r="M31">
        <f t="shared" si="6"/>
        <v>0.45538507423218727</v>
      </c>
      <c r="N31">
        <f t="shared" si="7"/>
        <v>2.3628222460000001E-2</v>
      </c>
      <c r="O31">
        <f t="shared" si="8"/>
        <v>4.7836278600000004E-3</v>
      </c>
      <c r="P31">
        <f t="shared" si="9"/>
        <v>-1.941177277696983E-2</v>
      </c>
      <c r="V31">
        <v>-3.30000000000001</v>
      </c>
      <c r="W31">
        <f t="shared" si="10"/>
        <v>-0.36089099999999952</v>
      </c>
      <c r="Y31">
        <v>0.27</v>
      </c>
      <c r="Z31">
        <f t="shared" si="11"/>
        <v>3.3850345000000002</v>
      </c>
    </row>
    <row r="32" spans="1:26" x14ac:dyDescent="0.3">
      <c r="A32">
        <v>1.5010117000000001</v>
      </c>
      <c r="B32">
        <v>0.75478000000000001</v>
      </c>
      <c r="C32">
        <f t="shared" si="0"/>
        <v>1.132933610926</v>
      </c>
      <c r="D32">
        <v>1.6299999999999999E-2</v>
      </c>
      <c r="E32">
        <v>3.3E-3</v>
      </c>
      <c r="F32">
        <f t="shared" si="1"/>
        <v>300.20233999999999</v>
      </c>
      <c r="G32">
        <f t="shared" si="2"/>
        <v>-0.75478000000000001</v>
      </c>
      <c r="H32">
        <f t="shared" si="3"/>
        <v>-226.58672218519999</v>
      </c>
      <c r="I32">
        <v>1</v>
      </c>
      <c r="J32">
        <f t="shared" si="4"/>
        <v>-1.2032985650096903</v>
      </c>
      <c r="K32">
        <f t="shared" si="5"/>
        <v>-0.46694515177521745</v>
      </c>
      <c r="L32">
        <v>1</v>
      </c>
      <c r="M32">
        <f t="shared" si="6"/>
        <v>0.45698282676560587</v>
      </c>
      <c r="N32">
        <f t="shared" si="7"/>
        <v>2.446649071E-2</v>
      </c>
      <c r="O32">
        <f t="shared" si="8"/>
        <v>4.95333861E-3</v>
      </c>
      <c r="P32">
        <f t="shared" si="9"/>
        <v>-1.9457504310388417E-2</v>
      </c>
      <c r="V32">
        <v>-3.2000000000000099</v>
      </c>
      <c r="W32">
        <f t="shared" si="10"/>
        <v>-0.36547399999999952</v>
      </c>
    </row>
    <row r="33" spans="1:23" x14ac:dyDescent="0.3">
      <c r="A33">
        <v>1.5519301999999999</v>
      </c>
      <c r="B33">
        <v>0.75255000000000005</v>
      </c>
      <c r="C33">
        <f t="shared" si="0"/>
        <v>1.1679050720099999</v>
      </c>
      <c r="D33">
        <v>1.6299999999999999E-2</v>
      </c>
      <c r="E33">
        <v>3.3E-3</v>
      </c>
      <c r="F33">
        <f t="shared" si="1"/>
        <v>310.38603999999998</v>
      </c>
      <c r="G33">
        <f t="shared" si="2"/>
        <v>-0.75255000000000005</v>
      </c>
      <c r="H33">
        <f t="shared" si="3"/>
        <v>-233.58101440199999</v>
      </c>
      <c r="I33">
        <v>1</v>
      </c>
      <c r="J33">
        <f t="shared" si="4"/>
        <v>-1.1699384659112484</v>
      </c>
      <c r="K33">
        <f t="shared" si="5"/>
        <v>-0.4691751517752174</v>
      </c>
      <c r="L33">
        <v>1</v>
      </c>
      <c r="M33">
        <f t="shared" si="6"/>
        <v>0.45851172010728747</v>
      </c>
      <c r="N33">
        <f t="shared" si="7"/>
        <v>2.5296462259999996E-2</v>
      </c>
      <c r="O33">
        <f t="shared" si="8"/>
        <v>5.1213696599999997E-3</v>
      </c>
      <c r="P33">
        <f t="shared" si="9"/>
        <v>-1.9754400252070061E-2</v>
      </c>
      <c r="V33">
        <v>-3.1000000000000099</v>
      </c>
      <c r="W33">
        <f t="shared" si="10"/>
        <v>-0.37005699999999953</v>
      </c>
    </row>
    <row r="34" spans="1:23" x14ac:dyDescent="0.3">
      <c r="A34">
        <v>1.6048851</v>
      </c>
      <c r="B34">
        <v>0.74982000000000004</v>
      </c>
      <c r="C34">
        <f t="shared" si="0"/>
        <v>1.203374945682</v>
      </c>
      <c r="D34">
        <v>1.6299999999999999E-2</v>
      </c>
      <c r="E34">
        <v>3.3E-3</v>
      </c>
      <c r="F34">
        <f t="shared" si="1"/>
        <v>320.97701999999998</v>
      </c>
      <c r="G34">
        <f t="shared" si="2"/>
        <v>-0.74982000000000004</v>
      </c>
      <c r="H34">
        <f t="shared" si="3"/>
        <v>-240.6749891364</v>
      </c>
      <c r="I34">
        <v>1</v>
      </c>
      <c r="J34">
        <f t="shared" si="4"/>
        <v>-1.1363857471997674</v>
      </c>
      <c r="K34">
        <f t="shared" si="5"/>
        <v>-0.47190515177521741</v>
      </c>
      <c r="L34">
        <v>1</v>
      </c>
      <c r="M34">
        <f t="shared" si="6"/>
        <v>0.46004944120583463</v>
      </c>
      <c r="N34">
        <f t="shared" si="7"/>
        <v>2.6159627129999998E-2</v>
      </c>
      <c r="O34">
        <f t="shared" si="8"/>
        <v>5.2961208299999998E-3</v>
      </c>
      <c r="P34">
        <f t="shared" si="9"/>
        <v>-1.9600037390617216E-2</v>
      </c>
      <c r="V34">
        <v>-3.0000000000000102</v>
      </c>
      <c r="W34">
        <f t="shared" si="10"/>
        <v>-0.37463999999999953</v>
      </c>
    </row>
    <row r="35" spans="1:23" x14ac:dyDescent="0.3">
      <c r="A35">
        <v>1.6558036</v>
      </c>
      <c r="B35">
        <v>0.74797000000000002</v>
      </c>
      <c r="C35">
        <f t="shared" si="0"/>
        <v>1.238491418692</v>
      </c>
      <c r="D35">
        <v>1.6299999999999999E-2</v>
      </c>
      <c r="E35">
        <v>3.3E-3</v>
      </c>
      <c r="F35">
        <f t="shared" si="1"/>
        <v>331.16072000000003</v>
      </c>
      <c r="G35">
        <f t="shared" si="2"/>
        <v>-0.74797000000000002</v>
      </c>
      <c r="H35">
        <f t="shared" si="3"/>
        <v>-247.69828373839999</v>
      </c>
      <c r="I35">
        <v>1</v>
      </c>
      <c r="J35">
        <f t="shared" si="4"/>
        <v>-1.1051514625382703</v>
      </c>
      <c r="K35">
        <f t="shared" si="5"/>
        <v>-0.47375515177521743</v>
      </c>
      <c r="L35">
        <v>1</v>
      </c>
      <c r="M35">
        <f t="shared" si="6"/>
        <v>0.46148090847187107</v>
      </c>
      <c r="N35">
        <f t="shared" si="7"/>
        <v>2.6989598679999997E-2</v>
      </c>
      <c r="O35">
        <f t="shared" si="8"/>
        <v>5.4641518800000004E-3</v>
      </c>
      <c r="P35">
        <f t="shared" si="9"/>
        <v>-2.0179507256653632E-2</v>
      </c>
      <c r="V35">
        <v>-2.9000000000000101</v>
      </c>
      <c r="W35">
        <f t="shared" si="10"/>
        <v>-0.37922299999999953</v>
      </c>
    </row>
    <row r="36" spans="1:23" x14ac:dyDescent="0.3">
      <c r="A36">
        <v>1.7072309999999999</v>
      </c>
      <c r="B36">
        <v>0.74533000000000005</v>
      </c>
      <c r="C36">
        <f t="shared" si="0"/>
        <v>1.2724504812299999</v>
      </c>
      <c r="D36">
        <v>1.6299999999999999E-2</v>
      </c>
      <c r="E36">
        <v>3.3E-3</v>
      </c>
      <c r="F36">
        <f t="shared" si="1"/>
        <v>341.44619999999998</v>
      </c>
      <c r="G36">
        <f t="shared" si="2"/>
        <v>-0.74533000000000005</v>
      </c>
      <c r="H36">
        <f t="shared" si="3"/>
        <v>-254.49009624599998</v>
      </c>
      <c r="I36">
        <v>1</v>
      </c>
      <c r="J36">
        <f t="shared" si="4"/>
        <v>-1.0745651526456064</v>
      </c>
      <c r="K36">
        <f t="shared" si="5"/>
        <v>-0.47639515177521741</v>
      </c>
      <c r="L36">
        <v>1</v>
      </c>
      <c r="M36">
        <f t="shared" si="6"/>
        <v>0.46288267905425184</v>
      </c>
      <c r="N36">
        <f t="shared" si="7"/>
        <v>2.7827865299999997E-2</v>
      </c>
      <c r="O36">
        <f t="shared" si="8"/>
        <v>5.6338622999999996E-3</v>
      </c>
      <c r="P36">
        <f t="shared" si="9"/>
        <v>-1.9949254879034435E-2</v>
      </c>
      <c r="V36">
        <v>-2.80000000000001</v>
      </c>
      <c r="W36">
        <f t="shared" ref="W36:W67" si="12">V36*$S$5+$S$4</f>
        <v>-0.38380599999999954</v>
      </c>
    </row>
    <row r="37" spans="1:23" x14ac:dyDescent="0.3">
      <c r="A37">
        <v>1.7581492999999999</v>
      </c>
      <c r="B37">
        <v>0.74314000000000002</v>
      </c>
      <c r="C37">
        <f t="shared" si="0"/>
        <v>1.3065510708020001</v>
      </c>
      <c r="D37">
        <v>1.6299999999999999E-2</v>
      </c>
      <c r="E37">
        <v>3.3E-3</v>
      </c>
      <c r="F37">
        <f t="shared" si="1"/>
        <v>351.62986000000001</v>
      </c>
      <c r="G37">
        <f t="shared" si="2"/>
        <v>-0.74314000000000002</v>
      </c>
      <c r="H37">
        <f t="shared" si="3"/>
        <v>-261.31021416039999</v>
      </c>
      <c r="I37">
        <v>1</v>
      </c>
      <c r="J37">
        <f t="shared" si="4"/>
        <v>-1.0451761907247958</v>
      </c>
      <c r="K37">
        <f t="shared" si="5"/>
        <v>-0.47858515177521743</v>
      </c>
      <c r="L37">
        <v>1</v>
      </c>
      <c r="M37">
        <f t="shared" si="6"/>
        <v>0.46422957517908259</v>
      </c>
      <c r="N37">
        <f t="shared" si="7"/>
        <v>2.8657833589999997E-2</v>
      </c>
      <c r="O37">
        <f t="shared" si="8"/>
        <v>5.8018926899999993E-3</v>
      </c>
      <c r="P37">
        <f t="shared" si="9"/>
        <v>-2.0104149683865154E-2</v>
      </c>
      <c r="V37">
        <v>-2.7000000000000099</v>
      </c>
      <c r="W37">
        <f t="shared" si="12"/>
        <v>-0.38838899999999954</v>
      </c>
    </row>
    <row r="38" spans="1:23" x14ac:dyDescent="0.3">
      <c r="A38">
        <v>1.8111044000000001</v>
      </c>
      <c r="B38">
        <v>0.74094000000000004</v>
      </c>
      <c r="C38">
        <f t="shared" si="0"/>
        <v>1.3419196941360001</v>
      </c>
      <c r="D38">
        <v>1.6299999999999999E-2</v>
      </c>
      <c r="E38">
        <v>3.3E-3</v>
      </c>
      <c r="F38">
        <f t="shared" si="1"/>
        <v>362.22088000000002</v>
      </c>
      <c r="G38">
        <f t="shared" si="2"/>
        <v>-0.74094000000000004</v>
      </c>
      <c r="H38">
        <f t="shared" si="3"/>
        <v>-268.38393882720004</v>
      </c>
      <c r="I38">
        <v>1</v>
      </c>
      <c r="J38">
        <f t="shared" si="4"/>
        <v>-1.0155010874859409</v>
      </c>
      <c r="K38">
        <f t="shared" si="5"/>
        <v>-0.48078515177521741</v>
      </c>
      <c r="L38">
        <v>1</v>
      </c>
      <c r="M38">
        <f t="shared" si="6"/>
        <v>0.46558958516051929</v>
      </c>
      <c r="N38">
        <f t="shared" si="7"/>
        <v>2.9521001719999999E-2</v>
      </c>
      <c r="O38">
        <f t="shared" si="8"/>
        <v>5.9766445200000002E-3</v>
      </c>
      <c r="P38">
        <f t="shared" si="9"/>
        <v>-2.030207962530188E-2</v>
      </c>
      <c r="V38">
        <v>-2.6000000000000099</v>
      </c>
      <c r="W38">
        <f t="shared" si="12"/>
        <v>-0.39297199999999954</v>
      </c>
    </row>
    <row r="39" spans="1:23" x14ac:dyDescent="0.3">
      <c r="A39">
        <v>1.8630409999999999</v>
      </c>
      <c r="B39">
        <v>0.73877999999999999</v>
      </c>
      <c r="C39">
        <f t="shared" si="0"/>
        <v>1.37637742998</v>
      </c>
      <c r="D39">
        <v>1.6299999999999999E-2</v>
      </c>
      <c r="E39">
        <v>3.3E-3</v>
      </c>
      <c r="F39">
        <f t="shared" si="1"/>
        <v>372.60820000000001</v>
      </c>
      <c r="G39">
        <f t="shared" si="2"/>
        <v>-0.73877999999999999</v>
      </c>
      <c r="H39">
        <f t="shared" si="3"/>
        <v>-275.27548599599999</v>
      </c>
      <c r="I39">
        <v>1</v>
      </c>
      <c r="J39">
        <f t="shared" si="4"/>
        <v>-0.98722781354204958</v>
      </c>
      <c r="K39">
        <f t="shared" si="5"/>
        <v>-0.48294515177521746</v>
      </c>
      <c r="L39">
        <v>1</v>
      </c>
      <c r="M39">
        <f t="shared" si="6"/>
        <v>0.46688534930536785</v>
      </c>
      <c r="N39">
        <f t="shared" si="7"/>
        <v>3.0367568299999998E-2</v>
      </c>
      <c r="O39">
        <f t="shared" si="8"/>
        <v>6.1480353000000001E-3</v>
      </c>
      <c r="P39">
        <f t="shared" si="9"/>
        <v>-2.0455801130150383E-2</v>
      </c>
      <c r="V39">
        <v>-2.5000000000000102</v>
      </c>
      <c r="W39">
        <f t="shared" si="12"/>
        <v>-0.39755499999999949</v>
      </c>
    </row>
    <row r="40" spans="1:23" x14ac:dyDescent="0.3">
      <c r="A40">
        <v>1.9144686</v>
      </c>
      <c r="B40">
        <v>0.73660999999999999</v>
      </c>
      <c r="C40">
        <f t="shared" si="0"/>
        <v>1.4102167154459999</v>
      </c>
      <c r="D40">
        <v>1.6299999999999999E-2</v>
      </c>
      <c r="E40">
        <v>3.3E-3</v>
      </c>
      <c r="F40">
        <f t="shared" si="1"/>
        <v>382.89371999999997</v>
      </c>
      <c r="G40">
        <f t="shared" si="2"/>
        <v>-0.73660999999999999</v>
      </c>
      <c r="H40">
        <f t="shared" si="3"/>
        <v>-282.04334308919999</v>
      </c>
      <c r="I40">
        <v>1</v>
      </c>
      <c r="J40">
        <f t="shared" si="4"/>
        <v>-0.95999782178251369</v>
      </c>
      <c r="K40">
        <f t="shared" si="5"/>
        <v>-0.48511515177521747</v>
      </c>
      <c r="L40">
        <v>1</v>
      </c>
      <c r="M40">
        <f t="shared" si="6"/>
        <v>0.46813329982770735</v>
      </c>
      <c r="N40">
        <f t="shared" si="7"/>
        <v>3.1205838179999997E-2</v>
      </c>
      <c r="O40">
        <f t="shared" si="8"/>
        <v>6.3177463800000002E-3</v>
      </c>
      <c r="P40">
        <f t="shared" si="9"/>
        <v>-2.0541732612489878E-2</v>
      </c>
      <c r="V40">
        <v>-2.4000000000000101</v>
      </c>
      <c r="W40">
        <f t="shared" si="12"/>
        <v>-0.4021379999999995</v>
      </c>
    </row>
    <row r="41" spans="1:23" x14ac:dyDescent="0.3">
      <c r="A41">
        <v>1.968442</v>
      </c>
      <c r="B41">
        <v>0.73418000000000005</v>
      </c>
      <c r="C41">
        <f t="shared" si="0"/>
        <v>1.4451907475600001</v>
      </c>
      <c r="D41">
        <v>1.6299999999999999E-2</v>
      </c>
      <c r="E41">
        <v>3.3E-3</v>
      </c>
      <c r="F41">
        <f t="shared" si="1"/>
        <v>393.6884</v>
      </c>
      <c r="G41">
        <f t="shared" si="2"/>
        <v>-0.73418000000000005</v>
      </c>
      <c r="H41">
        <f t="shared" si="3"/>
        <v>-289.03814951200002</v>
      </c>
      <c r="I41">
        <v>1</v>
      </c>
      <c r="J41">
        <f t="shared" si="4"/>
        <v>-0.93219554552544726</v>
      </c>
      <c r="K41">
        <f t="shared" si="5"/>
        <v>-0.4875451517752174</v>
      </c>
      <c r="L41">
        <v>1</v>
      </c>
      <c r="M41">
        <f t="shared" si="6"/>
        <v>0.4694074781485687</v>
      </c>
      <c r="N41">
        <f t="shared" si="7"/>
        <v>3.2085604599999998E-2</v>
      </c>
      <c r="O41">
        <f t="shared" si="8"/>
        <v>6.4958586000000004E-3</v>
      </c>
      <c r="P41">
        <f t="shared" si="9"/>
        <v>-2.0443789573351301E-2</v>
      </c>
      <c r="V41">
        <v>-2.30000000000001</v>
      </c>
      <c r="W41">
        <f t="shared" si="12"/>
        <v>-0.4067209999999995</v>
      </c>
    </row>
    <row r="42" spans="1:23" x14ac:dyDescent="0.3">
      <c r="A42">
        <v>2.0188511</v>
      </c>
      <c r="B42">
        <v>0.73204000000000002</v>
      </c>
      <c r="C42">
        <f t="shared" si="0"/>
        <v>1.4778797592440001</v>
      </c>
      <c r="D42">
        <v>1.6299999999999999E-2</v>
      </c>
      <c r="E42">
        <v>3.3E-3</v>
      </c>
      <c r="F42">
        <f t="shared" si="1"/>
        <v>403.77021999999999</v>
      </c>
      <c r="G42">
        <f t="shared" si="2"/>
        <v>-0.73204000000000002</v>
      </c>
      <c r="H42">
        <f t="shared" si="3"/>
        <v>-295.5759518488</v>
      </c>
      <c r="I42">
        <v>1</v>
      </c>
      <c r="J42">
        <f t="shared" si="4"/>
        <v>-0.90690932520390077</v>
      </c>
      <c r="K42">
        <f t="shared" si="5"/>
        <v>-0.48968515177521743</v>
      </c>
      <c r="L42">
        <v>1</v>
      </c>
      <c r="M42">
        <f t="shared" si="6"/>
        <v>0.47056634562590521</v>
      </c>
      <c r="N42">
        <f t="shared" si="7"/>
        <v>3.2907272929999995E-2</v>
      </c>
      <c r="O42">
        <f t="shared" si="8"/>
        <v>6.6622086300000003E-3</v>
      </c>
      <c r="P42">
        <f t="shared" si="9"/>
        <v>-2.0450675410687777E-2</v>
      </c>
      <c r="V42">
        <v>-2.2000000000000099</v>
      </c>
      <c r="W42">
        <f t="shared" si="12"/>
        <v>-0.4113039999999995</v>
      </c>
    </row>
    <row r="43" spans="1:23" x14ac:dyDescent="0.3">
      <c r="A43">
        <v>2.0702788000000001</v>
      </c>
      <c r="B43">
        <v>0.73014999999999997</v>
      </c>
      <c r="C43">
        <f t="shared" si="0"/>
        <v>1.5116140658199999</v>
      </c>
      <c r="D43">
        <v>1.6299999999999999E-2</v>
      </c>
      <c r="E43">
        <v>3.3E-3</v>
      </c>
      <c r="F43">
        <f t="shared" si="1"/>
        <v>414.05576000000002</v>
      </c>
      <c r="G43">
        <f t="shared" si="2"/>
        <v>-0.73014999999999997</v>
      </c>
      <c r="H43">
        <f t="shared" si="3"/>
        <v>-302.32281316399997</v>
      </c>
      <c r="I43">
        <v>1</v>
      </c>
      <c r="J43">
        <f t="shared" si="4"/>
        <v>-0.88175462823582818</v>
      </c>
      <c r="K43">
        <f t="shared" si="5"/>
        <v>-0.49157515177521749</v>
      </c>
      <c r="L43">
        <v>1</v>
      </c>
      <c r="M43">
        <f t="shared" si="6"/>
        <v>0.47171918538795199</v>
      </c>
      <c r="N43">
        <f t="shared" si="7"/>
        <v>3.3745544439999997E-2</v>
      </c>
      <c r="O43">
        <f t="shared" si="8"/>
        <v>6.8319200399999998E-3</v>
      </c>
      <c r="P43">
        <f t="shared" si="9"/>
        <v>-2.0721498092734499E-2</v>
      </c>
      <c r="V43">
        <v>-2.1000000000000099</v>
      </c>
      <c r="W43">
        <f t="shared" si="12"/>
        <v>-0.41588699999999951</v>
      </c>
    </row>
    <row r="44" spans="1:23" x14ac:dyDescent="0.3">
      <c r="A44">
        <v>2.1211973</v>
      </c>
      <c r="B44">
        <v>0.72802999999999995</v>
      </c>
      <c r="C44">
        <f t="shared" si="0"/>
        <v>1.5442952703189998</v>
      </c>
      <c r="D44">
        <v>1.6299999999999999E-2</v>
      </c>
      <c r="E44">
        <v>3.3E-3</v>
      </c>
      <c r="F44">
        <f t="shared" si="1"/>
        <v>424.23946000000001</v>
      </c>
      <c r="G44">
        <f t="shared" si="2"/>
        <v>-0.72802999999999995</v>
      </c>
      <c r="H44">
        <f t="shared" si="3"/>
        <v>-308.85905406379999</v>
      </c>
      <c r="I44">
        <v>1</v>
      </c>
      <c r="J44">
        <f t="shared" si="4"/>
        <v>-0.85745721901848893</v>
      </c>
      <c r="K44">
        <f t="shared" si="5"/>
        <v>-0.4936951517752175</v>
      </c>
      <c r="L44">
        <v>1</v>
      </c>
      <c r="M44">
        <f t="shared" si="6"/>
        <v>0.4728327356523826</v>
      </c>
      <c r="N44">
        <f t="shared" si="7"/>
        <v>3.4575515989999993E-2</v>
      </c>
      <c r="O44">
        <f t="shared" si="8"/>
        <v>6.9999510899999996E-3</v>
      </c>
      <c r="P44">
        <f t="shared" si="9"/>
        <v>-2.0713050957165087E-2</v>
      </c>
      <c r="V44">
        <v>-2.0000000000000102</v>
      </c>
      <c r="W44">
        <f t="shared" si="12"/>
        <v>-0.42046999999999951</v>
      </c>
    </row>
    <row r="45" spans="1:23" x14ac:dyDescent="0.3">
      <c r="A45">
        <v>2.1716063999999999</v>
      </c>
      <c r="B45">
        <v>0.72611999999999999</v>
      </c>
      <c r="C45">
        <f t="shared" si="0"/>
        <v>1.5768468391679999</v>
      </c>
      <c r="D45">
        <v>1.6299999999999999E-2</v>
      </c>
      <c r="E45">
        <v>3.3E-3</v>
      </c>
      <c r="F45">
        <f t="shared" si="1"/>
        <v>434.32128</v>
      </c>
      <c r="G45">
        <f t="shared" si="2"/>
        <v>-0.72611999999999999</v>
      </c>
      <c r="H45">
        <f t="shared" si="3"/>
        <v>-315.36936783359999</v>
      </c>
      <c r="I45">
        <v>1</v>
      </c>
      <c r="J45">
        <f t="shared" si="4"/>
        <v>-0.83397074225353185</v>
      </c>
      <c r="K45">
        <f t="shared" si="5"/>
        <v>-0.49560515177521747</v>
      </c>
      <c r="L45">
        <v>1</v>
      </c>
      <c r="M45">
        <f t="shared" si="6"/>
        <v>0.47390912088252063</v>
      </c>
      <c r="N45">
        <f t="shared" si="7"/>
        <v>3.5397184319999997E-2</v>
      </c>
      <c r="O45">
        <f t="shared" si="8"/>
        <v>7.1663011199999994E-3</v>
      </c>
      <c r="P45">
        <f t="shared" si="9"/>
        <v>-2.0867454547303158E-2</v>
      </c>
      <c r="V45">
        <v>-1.9000000000000099</v>
      </c>
      <c r="W45">
        <f t="shared" si="12"/>
        <v>-0.42505299999999951</v>
      </c>
    </row>
    <row r="46" spans="1:23" x14ac:dyDescent="0.3">
      <c r="A46">
        <v>2.2220156000000002</v>
      </c>
      <c r="B46">
        <v>0.72392999999999996</v>
      </c>
      <c r="C46">
        <f t="shared" si="0"/>
        <v>1.6085837533080001</v>
      </c>
      <c r="D46">
        <v>1.6299999999999999E-2</v>
      </c>
      <c r="E46">
        <v>3.3E-3</v>
      </c>
      <c r="F46">
        <f t="shared" si="1"/>
        <v>444.40312000000006</v>
      </c>
      <c r="G46">
        <f t="shared" si="2"/>
        <v>-0.72392999999999996</v>
      </c>
      <c r="H46">
        <f t="shared" si="3"/>
        <v>-321.71675066160003</v>
      </c>
      <c r="I46">
        <v>1</v>
      </c>
      <c r="J46">
        <f t="shared" si="4"/>
        <v>-0.81102320053923682</v>
      </c>
      <c r="K46">
        <f t="shared" si="5"/>
        <v>-0.49779515177521749</v>
      </c>
      <c r="L46">
        <v>1</v>
      </c>
      <c r="M46">
        <f t="shared" si="6"/>
        <v>0.47496080671928675</v>
      </c>
      <c r="N46">
        <f t="shared" si="7"/>
        <v>3.6218854279999997E-2</v>
      </c>
      <c r="O46">
        <f t="shared" si="8"/>
        <v>7.3326514800000006E-3</v>
      </c>
      <c r="P46">
        <f t="shared" si="9"/>
        <v>-2.071716070406926E-2</v>
      </c>
      <c r="V46">
        <v>-1.80000000000001</v>
      </c>
      <c r="W46">
        <f t="shared" si="12"/>
        <v>-0.42963599999999952</v>
      </c>
    </row>
    <row r="47" spans="1:23" x14ac:dyDescent="0.3">
      <c r="A47">
        <v>2.2739520999999998</v>
      </c>
      <c r="B47">
        <v>0.72177000000000002</v>
      </c>
      <c r="C47">
        <f t="shared" si="0"/>
        <v>1.6412704072169999</v>
      </c>
      <c r="D47">
        <v>1.6299999999999999E-2</v>
      </c>
      <c r="E47">
        <v>3.3E-3</v>
      </c>
      <c r="F47">
        <f t="shared" si="1"/>
        <v>454.79041999999998</v>
      </c>
      <c r="G47">
        <f t="shared" si="2"/>
        <v>-0.72177000000000002</v>
      </c>
      <c r="H47">
        <f t="shared" si="3"/>
        <v>-328.25408144339997</v>
      </c>
      <c r="I47">
        <v>1</v>
      </c>
      <c r="J47">
        <f t="shared" si="4"/>
        <v>-0.78791858153165528</v>
      </c>
      <c r="K47">
        <f t="shared" si="5"/>
        <v>-0.49995515177521743</v>
      </c>
      <c r="L47">
        <v>1</v>
      </c>
      <c r="M47">
        <f t="shared" si="6"/>
        <v>0.47601969140840422</v>
      </c>
      <c r="N47">
        <f t="shared" si="7"/>
        <v>3.7065419229999994E-2</v>
      </c>
      <c r="O47">
        <f t="shared" si="8"/>
        <v>7.5040419299999992E-3</v>
      </c>
      <c r="P47">
        <f t="shared" si="9"/>
        <v>-2.0634000793186783E-2</v>
      </c>
      <c r="V47">
        <v>-1.7000000000000199</v>
      </c>
      <c r="W47">
        <f t="shared" si="12"/>
        <v>-0.43421899999999902</v>
      </c>
    </row>
    <row r="48" spans="1:23" x14ac:dyDescent="0.3">
      <c r="A48">
        <v>2.3263978999999999</v>
      </c>
      <c r="B48">
        <v>0.71984000000000004</v>
      </c>
      <c r="C48">
        <f t="shared" si="0"/>
        <v>1.6746342643359999</v>
      </c>
      <c r="D48">
        <v>1.6299999999999999E-2</v>
      </c>
      <c r="E48">
        <v>3.3E-3</v>
      </c>
      <c r="F48">
        <f t="shared" si="1"/>
        <v>465.27958000000001</v>
      </c>
      <c r="G48">
        <f t="shared" si="2"/>
        <v>-0.71984000000000004</v>
      </c>
      <c r="H48">
        <f t="shared" si="3"/>
        <v>-334.92685286720001</v>
      </c>
      <c r="I48">
        <v>1</v>
      </c>
      <c r="J48">
        <f t="shared" si="4"/>
        <v>-0.7651168067597004</v>
      </c>
      <c r="K48">
        <f t="shared" si="5"/>
        <v>-0.50188515177521742</v>
      </c>
      <c r="L48">
        <v>1</v>
      </c>
      <c r="M48">
        <f t="shared" si="6"/>
        <v>0.47706469674620289</v>
      </c>
      <c r="N48">
        <f t="shared" si="7"/>
        <v>3.7920285769999992E-2</v>
      </c>
      <c r="O48">
        <f t="shared" si="8"/>
        <v>7.6771130699999999E-3</v>
      </c>
      <c r="P48">
        <f t="shared" si="9"/>
        <v>-2.0776943810985458E-2</v>
      </c>
      <c r="V48">
        <v>-1.6000000000000201</v>
      </c>
      <c r="W48">
        <f t="shared" si="12"/>
        <v>-0.43880199999999903</v>
      </c>
    </row>
    <row r="49" spans="1:23" x14ac:dyDescent="0.3">
      <c r="A49">
        <v>2.3778256999999998</v>
      </c>
      <c r="B49">
        <v>0.71779999999999999</v>
      </c>
      <c r="C49">
        <f t="shared" si="0"/>
        <v>1.7068032874599999</v>
      </c>
      <c r="D49">
        <v>1.6299999999999999E-2</v>
      </c>
      <c r="E49">
        <v>3.3E-3</v>
      </c>
      <c r="F49">
        <f t="shared" si="1"/>
        <v>475.56513999999999</v>
      </c>
      <c r="G49">
        <f t="shared" si="2"/>
        <v>-0.71779999999999999</v>
      </c>
      <c r="H49">
        <f t="shared" si="3"/>
        <v>-341.36065749199997</v>
      </c>
      <c r="I49">
        <v>1</v>
      </c>
      <c r="J49">
        <f t="shared" si="4"/>
        <v>-0.74325141373999981</v>
      </c>
      <c r="K49">
        <f t="shared" si="5"/>
        <v>-0.50392515177521746</v>
      </c>
      <c r="L49">
        <v>1</v>
      </c>
      <c r="M49">
        <f t="shared" si="6"/>
        <v>0.4780667877082958</v>
      </c>
      <c r="N49">
        <f t="shared" si="7"/>
        <v>3.8758558909999991E-2</v>
      </c>
      <c r="O49">
        <f t="shared" si="8"/>
        <v>7.8468248099999999E-3</v>
      </c>
      <c r="P49">
        <f t="shared" si="9"/>
        <v>-2.0747019653078333E-2</v>
      </c>
      <c r="V49">
        <v>-1.50000000000002</v>
      </c>
      <c r="W49">
        <f t="shared" si="12"/>
        <v>-0.44338499999999903</v>
      </c>
    </row>
    <row r="50" spans="1:23" x14ac:dyDescent="0.3">
      <c r="A50">
        <v>2.4323081000000002</v>
      </c>
      <c r="B50">
        <v>0.71575999999999995</v>
      </c>
      <c r="C50">
        <f t="shared" si="0"/>
        <v>1.7409488456560001</v>
      </c>
      <c r="D50">
        <v>1.6299999999999999E-2</v>
      </c>
      <c r="E50">
        <v>3.3E-3</v>
      </c>
      <c r="F50">
        <f t="shared" si="1"/>
        <v>486.46162000000004</v>
      </c>
      <c r="G50">
        <f t="shared" si="2"/>
        <v>-0.71575999999999995</v>
      </c>
      <c r="H50">
        <f t="shared" si="3"/>
        <v>-348.18976913120002</v>
      </c>
      <c r="I50">
        <v>1</v>
      </c>
      <c r="J50">
        <f t="shared" si="4"/>
        <v>-0.72059727049889188</v>
      </c>
      <c r="K50">
        <f t="shared" si="5"/>
        <v>-0.5059651517752175</v>
      </c>
      <c r="L50">
        <v>1</v>
      </c>
      <c r="M50">
        <f t="shared" si="6"/>
        <v>0.47910502709303576</v>
      </c>
      <c r="N50">
        <f t="shared" si="7"/>
        <v>3.9646622030000002E-2</v>
      </c>
      <c r="O50">
        <f t="shared" si="8"/>
        <v>8.02661673E-3</v>
      </c>
      <c r="P50">
        <f t="shared" si="9"/>
        <v>-2.0813114077818259E-2</v>
      </c>
      <c r="V50">
        <v>-1.4000000000000199</v>
      </c>
      <c r="W50">
        <f t="shared" si="12"/>
        <v>-0.44796799999999903</v>
      </c>
    </row>
    <row r="51" spans="1:23" x14ac:dyDescent="0.3">
      <c r="A51">
        <v>2.4827173</v>
      </c>
      <c r="B51">
        <v>0.71352000000000004</v>
      </c>
      <c r="C51">
        <f t="shared" si="0"/>
        <v>1.7714684478960001</v>
      </c>
      <c r="D51">
        <v>1.6299999999999999E-2</v>
      </c>
      <c r="E51">
        <v>3.3E-3</v>
      </c>
      <c r="F51">
        <f t="shared" si="1"/>
        <v>496.54345999999998</v>
      </c>
      <c r="G51">
        <f t="shared" si="2"/>
        <v>-0.71352000000000004</v>
      </c>
      <c r="H51">
        <f t="shared" si="3"/>
        <v>-354.29368957920002</v>
      </c>
      <c r="I51">
        <v>1</v>
      </c>
      <c r="J51">
        <f t="shared" si="4"/>
        <v>-0.70008426659857181</v>
      </c>
      <c r="K51">
        <f t="shared" si="5"/>
        <v>-0.50820515177521741</v>
      </c>
      <c r="L51">
        <v>1</v>
      </c>
      <c r="M51">
        <f t="shared" si="6"/>
        <v>0.48004513806178745</v>
      </c>
      <c r="N51">
        <f t="shared" si="7"/>
        <v>4.0468291989999995E-2</v>
      </c>
      <c r="O51">
        <f t="shared" si="8"/>
        <v>8.1929670899999994E-3</v>
      </c>
      <c r="P51">
        <f t="shared" si="9"/>
        <v>-2.0501245366570029E-2</v>
      </c>
      <c r="V51">
        <v>-1.30000000000002</v>
      </c>
      <c r="W51">
        <f t="shared" si="12"/>
        <v>-0.45255099999999904</v>
      </c>
    </row>
    <row r="52" spans="1:23" x14ac:dyDescent="0.3">
      <c r="A52">
        <v>2.5346541</v>
      </c>
      <c r="B52">
        <v>0.71169000000000004</v>
      </c>
      <c r="C52">
        <f t="shared" si="0"/>
        <v>1.8038879764290001</v>
      </c>
      <c r="D52">
        <v>1.6299999999999999E-2</v>
      </c>
      <c r="E52">
        <v>3.3E-3</v>
      </c>
      <c r="F52">
        <f t="shared" si="1"/>
        <v>506.93081999999998</v>
      </c>
      <c r="G52">
        <f t="shared" si="2"/>
        <v>-0.71169000000000004</v>
      </c>
      <c r="H52">
        <f t="shared" si="3"/>
        <v>-360.77759528580003</v>
      </c>
      <c r="I52">
        <v>1</v>
      </c>
      <c r="J52">
        <f t="shared" si="4"/>
        <v>-0.67938073440520363</v>
      </c>
      <c r="K52">
        <f t="shared" si="5"/>
        <v>-0.51003515177521741</v>
      </c>
      <c r="L52">
        <v>1</v>
      </c>
      <c r="M52">
        <f t="shared" si="6"/>
        <v>0.48099398094220946</v>
      </c>
      <c r="N52">
        <f t="shared" si="7"/>
        <v>4.1314861829999994E-2</v>
      </c>
      <c r="O52">
        <f t="shared" si="8"/>
        <v>8.3643585299999993E-3</v>
      </c>
      <c r="P52">
        <f t="shared" si="9"/>
        <v>-2.0638049526992046E-2</v>
      </c>
      <c r="V52">
        <v>-1.2000000000000199</v>
      </c>
      <c r="W52">
        <f t="shared" si="12"/>
        <v>-0.45713399999999904</v>
      </c>
    </row>
    <row r="53" spans="1:23" x14ac:dyDescent="0.3">
      <c r="A53">
        <v>2.5876089000000002</v>
      </c>
      <c r="B53">
        <v>0.70960999999999996</v>
      </c>
      <c r="C53">
        <f t="shared" si="0"/>
        <v>1.836193151529</v>
      </c>
      <c r="D53">
        <v>1.6299999999999999E-2</v>
      </c>
      <c r="E53">
        <v>3.3E-3</v>
      </c>
      <c r="F53">
        <f t="shared" si="1"/>
        <v>517.52178000000004</v>
      </c>
      <c r="G53">
        <f t="shared" si="2"/>
        <v>-0.70960999999999996</v>
      </c>
      <c r="H53">
        <f t="shared" si="3"/>
        <v>-367.23863030579997</v>
      </c>
      <c r="I53">
        <v>1</v>
      </c>
      <c r="J53">
        <f t="shared" si="4"/>
        <v>-0.65870366777172218</v>
      </c>
      <c r="K53">
        <f t="shared" si="5"/>
        <v>-0.51211515177521749</v>
      </c>
      <c r="L53">
        <v>1</v>
      </c>
      <c r="M53">
        <f t="shared" si="6"/>
        <v>0.48194161090602194</v>
      </c>
      <c r="N53">
        <f t="shared" si="7"/>
        <v>4.217802507E-2</v>
      </c>
      <c r="O53">
        <f t="shared" si="8"/>
        <v>8.5391093700000007E-3</v>
      </c>
      <c r="P53">
        <f t="shared" si="9"/>
        <v>-2.0543593570804451E-2</v>
      </c>
      <c r="V53">
        <v>-1.1000000000000201</v>
      </c>
      <c r="W53">
        <f t="shared" si="12"/>
        <v>-0.46171699999999904</v>
      </c>
    </row>
    <row r="54" spans="1:23" x14ac:dyDescent="0.3">
      <c r="A54">
        <v>2.6405639999999999</v>
      </c>
      <c r="B54">
        <v>0.70750999999999997</v>
      </c>
      <c r="C54">
        <f t="shared" si="0"/>
        <v>1.8682254356399999</v>
      </c>
      <c r="D54">
        <v>1.6299999999999999E-2</v>
      </c>
      <c r="E54">
        <v>3.3E-3</v>
      </c>
      <c r="F54">
        <f t="shared" si="1"/>
        <v>528.11279999999999</v>
      </c>
      <c r="G54">
        <f t="shared" si="2"/>
        <v>-0.70750999999999997</v>
      </c>
      <c r="H54">
        <f t="shared" si="3"/>
        <v>-373.645087128</v>
      </c>
      <c r="I54">
        <v>1</v>
      </c>
      <c r="J54">
        <f t="shared" si="4"/>
        <v>-0.63844538172923759</v>
      </c>
      <c r="K54">
        <f t="shared" si="5"/>
        <v>-0.51421515177521748</v>
      </c>
      <c r="L54">
        <v>1</v>
      </c>
      <c r="M54">
        <f t="shared" si="6"/>
        <v>0.48287004815534901</v>
      </c>
      <c r="N54">
        <f t="shared" si="7"/>
        <v>4.3041193199999994E-2</v>
      </c>
      <c r="O54">
        <f t="shared" si="8"/>
        <v>8.713861199999999E-3</v>
      </c>
      <c r="P54">
        <f t="shared" si="9"/>
        <v>-2.0409950780131518E-2</v>
      </c>
      <c r="V54">
        <v>-1.00000000000002</v>
      </c>
      <c r="W54">
        <f t="shared" si="12"/>
        <v>-0.46629999999999905</v>
      </c>
    </row>
    <row r="55" spans="1:23" x14ac:dyDescent="0.3">
      <c r="A55">
        <v>2.6914823999999999</v>
      </c>
      <c r="B55">
        <v>0.70538999999999996</v>
      </c>
      <c r="C55">
        <f t="shared" si="0"/>
        <v>1.8985447701359999</v>
      </c>
      <c r="D55">
        <v>1.6299999999999999E-2</v>
      </c>
      <c r="E55">
        <v>3.3E-3</v>
      </c>
      <c r="F55">
        <f t="shared" si="1"/>
        <v>538.29647999999997</v>
      </c>
      <c r="G55">
        <f t="shared" si="2"/>
        <v>-0.70538999999999996</v>
      </c>
      <c r="H55">
        <f t="shared" si="3"/>
        <v>-379.70895402719998</v>
      </c>
      <c r="I55">
        <v>1</v>
      </c>
      <c r="J55">
        <f t="shared" si="4"/>
        <v>-0.61934579254119404</v>
      </c>
      <c r="K55">
        <f t="shared" si="5"/>
        <v>-0.51633515177521749</v>
      </c>
      <c r="L55">
        <v>1</v>
      </c>
      <c r="M55">
        <f t="shared" si="6"/>
        <v>0.48374538232783704</v>
      </c>
      <c r="N55">
        <f t="shared" si="7"/>
        <v>4.3871163119999994E-2</v>
      </c>
      <c r="O55">
        <f t="shared" si="8"/>
        <v>8.8818919199999992E-3</v>
      </c>
      <c r="P55">
        <f t="shared" si="9"/>
        <v>-2.0163285592619536E-2</v>
      </c>
      <c r="V55">
        <v>-0.90000000000002001</v>
      </c>
      <c r="W55">
        <f t="shared" si="12"/>
        <v>-0.47088299999999905</v>
      </c>
    </row>
    <row r="56" spans="1:23" x14ac:dyDescent="0.3">
      <c r="A56">
        <v>2.7429098999999999</v>
      </c>
      <c r="B56">
        <v>0.70360999999999996</v>
      </c>
      <c r="C56">
        <f t="shared" si="0"/>
        <v>1.9299388347389999</v>
      </c>
      <c r="D56">
        <v>1.6299999999999999E-2</v>
      </c>
      <c r="E56">
        <v>3.3E-3</v>
      </c>
      <c r="F56">
        <f t="shared" si="1"/>
        <v>548.58197999999993</v>
      </c>
      <c r="G56">
        <f t="shared" si="2"/>
        <v>-0.70360999999999996</v>
      </c>
      <c r="H56">
        <f t="shared" si="3"/>
        <v>-385.98776694779997</v>
      </c>
      <c r="I56">
        <v>1</v>
      </c>
      <c r="J56">
        <f t="shared" si="4"/>
        <v>-0.60041854826565622</v>
      </c>
      <c r="K56">
        <f t="shared" si="5"/>
        <v>-0.5181151517752175</v>
      </c>
      <c r="L56">
        <v>1</v>
      </c>
      <c r="M56">
        <f t="shared" si="6"/>
        <v>0.48461281793298494</v>
      </c>
      <c r="N56">
        <f t="shared" si="7"/>
        <v>4.4709431369999997E-2</v>
      </c>
      <c r="O56">
        <f t="shared" si="8"/>
        <v>9.0516026699999988E-3</v>
      </c>
      <c r="P56">
        <f t="shared" si="9"/>
        <v>-2.0258700197767439E-2</v>
      </c>
      <c r="V56">
        <v>-0.80000000000002003</v>
      </c>
      <c r="W56">
        <f t="shared" si="12"/>
        <v>-0.47546599999999906</v>
      </c>
    </row>
    <row r="57" spans="1:23" x14ac:dyDescent="0.3">
      <c r="A57">
        <v>2.7948466999999999</v>
      </c>
      <c r="B57">
        <v>0.70157000000000003</v>
      </c>
      <c r="C57">
        <f t="shared" si="0"/>
        <v>1.960780599319</v>
      </c>
      <c r="D57">
        <v>1.6299999999999999E-2</v>
      </c>
      <c r="E57">
        <v>3.3E-3</v>
      </c>
      <c r="F57">
        <f t="shared" si="1"/>
        <v>558.96933999999999</v>
      </c>
      <c r="G57">
        <f t="shared" si="2"/>
        <v>-0.70157000000000003</v>
      </c>
      <c r="H57">
        <f t="shared" si="3"/>
        <v>-392.15611986379997</v>
      </c>
      <c r="I57">
        <v>1</v>
      </c>
      <c r="J57">
        <f t="shared" si="4"/>
        <v>-0.58166065527399624</v>
      </c>
      <c r="K57">
        <f t="shared" si="5"/>
        <v>-0.52015515177521743</v>
      </c>
      <c r="L57">
        <v>1</v>
      </c>
      <c r="M57">
        <f t="shared" si="6"/>
        <v>0.48547249216879274</v>
      </c>
      <c r="N57">
        <f t="shared" si="7"/>
        <v>4.5556001209999995E-2</v>
      </c>
      <c r="O57">
        <f t="shared" si="8"/>
        <v>9.2229941100000004E-3</v>
      </c>
      <c r="P57">
        <f t="shared" si="9"/>
        <v>-2.0096335713575303E-2</v>
      </c>
      <c r="V57">
        <v>-0.70000000000002005</v>
      </c>
      <c r="W57">
        <f t="shared" si="12"/>
        <v>-0.48004899999999906</v>
      </c>
    </row>
    <row r="58" spans="1:23" x14ac:dyDescent="0.3">
      <c r="A58">
        <v>2.8452559000000002</v>
      </c>
      <c r="B58">
        <v>0.69989000000000001</v>
      </c>
      <c r="C58">
        <f t="shared" si="0"/>
        <v>1.9913661518510002</v>
      </c>
      <c r="D58">
        <v>1.6299999999999999E-2</v>
      </c>
      <c r="E58">
        <v>3.3E-3</v>
      </c>
      <c r="F58">
        <f t="shared" si="1"/>
        <v>569.05118000000004</v>
      </c>
      <c r="G58">
        <f t="shared" si="2"/>
        <v>-0.69989000000000001</v>
      </c>
      <c r="H58">
        <f t="shared" si="3"/>
        <v>-398.27323037020005</v>
      </c>
      <c r="I58">
        <v>1</v>
      </c>
      <c r="J58">
        <f t="shared" si="4"/>
        <v>-0.56378490162489714</v>
      </c>
      <c r="K58">
        <f t="shared" si="5"/>
        <v>-0.52183515177521744</v>
      </c>
      <c r="L58">
        <v>1</v>
      </c>
      <c r="M58">
        <f t="shared" si="6"/>
        <v>0.48629173795853092</v>
      </c>
      <c r="N58">
        <f t="shared" si="7"/>
        <v>4.6377671169999996E-2</v>
      </c>
      <c r="O58">
        <f t="shared" si="8"/>
        <v>9.3893444699999998E-3</v>
      </c>
      <c r="P58">
        <f t="shared" si="9"/>
        <v>-2.0223601823313474E-2</v>
      </c>
      <c r="V58">
        <v>-0.60000000000001996</v>
      </c>
      <c r="W58">
        <f t="shared" si="12"/>
        <v>-0.48463199999999906</v>
      </c>
    </row>
    <row r="59" spans="1:23" x14ac:dyDescent="0.3">
      <c r="A59">
        <v>2.8961741000000001</v>
      </c>
      <c r="B59">
        <v>0.69799999999999995</v>
      </c>
      <c r="C59">
        <f t="shared" si="0"/>
        <v>2.0215295217999998</v>
      </c>
      <c r="D59">
        <v>1.6299999999999999E-2</v>
      </c>
      <c r="E59">
        <v>3.3E-3</v>
      </c>
      <c r="F59">
        <f t="shared" si="1"/>
        <v>579.23482000000001</v>
      </c>
      <c r="G59">
        <f t="shared" si="2"/>
        <v>-0.69799999999999995</v>
      </c>
      <c r="H59">
        <f t="shared" si="3"/>
        <v>-404.30590435999994</v>
      </c>
      <c r="I59">
        <v>1</v>
      </c>
      <c r="J59">
        <f t="shared" si="4"/>
        <v>-0.54604732231429409</v>
      </c>
      <c r="K59">
        <f t="shared" si="5"/>
        <v>-0.5237251517752175</v>
      </c>
      <c r="L59">
        <v>1</v>
      </c>
      <c r="M59">
        <f t="shared" si="6"/>
        <v>0.48710465121833585</v>
      </c>
      <c r="N59">
        <f t="shared" si="7"/>
        <v>4.7207637829999996E-2</v>
      </c>
      <c r="O59">
        <f t="shared" si="8"/>
        <v>9.5573745300000009E-3</v>
      </c>
      <c r="P59">
        <f t="shared" si="9"/>
        <v>-2.0144511803118346E-2</v>
      </c>
      <c r="V59">
        <v>-0.50000000000001998</v>
      </c>
      <c r="W59">
        <f t="shared" si="12"/>
        <v>-0.48921499999999907</v>
      </c>
    </row>
    <row r="60" spans="1:23" x14ac:dyDescent="0.3">
      <c r="A60">
        <v>2.9501474999999999</v>
      </c>
      <c r="B60">
        <v>0.69586000000000003</v>
      </c>
      <c r="C60">
        <f t="shared" si="0"/>
        <v>2.05288963935</v>
      </c>
      <c r="D60">
        <v>1.6299999999999999E-2</v>
      </c>
      <c r="E60">
        <v>3.3E-3</v>
      </c>
      <c r="F60">
        <f t="shared" si="1"/>
        <v>590.02949999999998</v>
      </c>
      <c r="G60">
        <f t="shared" si="2"/>
        <v>-0.69586000000000003</v>
      </c>
      <c r="H60">
        <f t="shared" si="3"/>
        <v>-410.57792787</v>
      </c>
      <c r="I60">
        <v>1</v>
      </c>
      <c r="J60">
        <f t="shared" si="4"/>
        <v>-0.52758274333233024</v>
      </c>
      <c r="K60">
        <f t="shared" si="5"/>
        <v>-0.52586515177521742</v>
      </c>
      <c r="L60">
        <v>1</v>
      </c>
      <c r="M60">
        <f t="shared" si="6"/>
        <v>0.48795088287307931</v>
      </c>
      <c r="N60">
        <f t="shared" si="7"/>
        <v>4.8087404249999993E-2</v>
      </c>
      <c r="O60">
        <f t="shared" si="8"/>
        <v>9.7354867499999994E-3</v>
      </c>
      <c r="P60">
        <f t="shared" si="9"/>
        <v>-1.9908622097861879E-2</v>
      </c>
      <c r="V60">
        <v>-0.40000000000002001</v>
      </c>
      <c r="W60">
        <f t="shared" si="12"/>
        <v>-0.49379799999999907</v>
      </c>
    </row>
    <row r="61" spans="1:23" x14ac:dyDescent="0.3">
      <c r="A61">
        <v>3.0010659</v>
      </c>
      <c r="B61">
        <v>0.69408999999999998</v>
      </c>
      <c r="C61">
        <f t="shared" si="0"/>
        <v>2.0830098305310001</v>
      </c>
      <c r="D61">
        <v>1.6299999999999999E-2</v>
      </c>
      <c r="E61">
        <v>3.3E-3</v>
      </c>
      <c r="F61">
        <f t="shared" si="1"/>
        <v>600.21317999999997</v>
      </c>
      <c r="G61">
        <f t="shared" si="2"/>
        <v>-0.69408999999999998</v>
      </c>
      <c r="H61">
        <f t="shared" si="3"/>
        <v>-416.6019661062</v>
      </c>
      <c r="I61">
        <v>1</v>
      </c>
      <c r="J61">
        <f t="shared" si="4"/>
        <v>-0.51047038687008883</v>
      </c>
      <c r="K61">
        <f t="shared" si="5"/>
        <v>-0.52763515177521747</v>
      </c>
      <c r="L61">
        <v>1</v>
      </c>
      <c r="M61">
        <f t="shared" si="6"/>
        <v>0.48873514216974379</v>
      </c>
      <c r="N61">
        <f t="shared" si="7"/>
        <v>4.8917374169999993E-2</v>
      </c>
      <c r="O61">
        <f t="shared" si="8"/>
        <v>9.9035174699999996E-3</v>
      </c>
      <c r="P61">
        <f t="shared" si="9"/>
        <v>-1.9920882034526306E-2</v>
      </c>
      <c r="V61">
        <v>-0.30000000000001997</v>
      </c>
      <c r="W61">
        <f t="shared" si="12"/>
        <v>-0.49838099999999907</v>
      </c>
    </row>
    <row r="62" spans="1:23" x14ac:dyDescent="0.3">
      <c r="A62">
        <v>3.0540208</v>
      </c>
      <c r="B62">
        <v>0.69221999999999995</v>
      </c>
      <c r="C62">
        <f t="shared" si="0"/>
        <v>2.1140542781759999</v>
      </c>
      <c r="D62">
        <v>1.6299999999999999E-2</v>
      </c>
      <c r="E62">
        <v>3.3E-3</v>
      </c>
      <c r="F62">
        <f t="shared" si="1"/>
        <v>610.80416000000002</v>
      </c>
      <c r="G62">
        <f t="shared" si="2"/>
        <v>-0.69221999999999995</v>
      </c>
      <c r="H62">
        <f t="shared" si="3"/>
        <v>-422.81085563519997</v>
      </c>
      <c r="I62">
        <v>1</v>
      </c>
      <c r="J62">
        <f t="shared" si="4"/>
        <v>-0.49297889492083952</v>
      </c>
      <c r="K62">
        <f t="shared" si="5"/>
        <v>-0.52950515177521751</v>
      </c>
      <c r="L62">
        <v>1</v>
      </c>
      <c r="M62">
        <f t="shared" si="6"/>
        <v>0.48953677724577788</v>
      </c>
      <c r="N62">
        <f t="shared" si="7"/>
        <v>4.9780539039999995E-2</v>
      </c>
      <c r="O62">
        <f t="shared" si="8"/>
        <v>1.0078268640000001E-2</v>
      </c>
      <c r="P62">
        <f t="shared" si="9"/>
        <v>-1.9890433150560362E-2</v>
      </c>
      <c r="V62">
        <v>-0.20000000000002</v>
      </c>
      <c r="W62">
        <f t="shared" si="12"/>
        <v>-0.50296399999999908</v>
      </c>
    </row>
    <row r="63" spans="1:23" x14ac:dyDescent="0.3">
      <c r="A63">
        <v>3.1054482000000001</v>
      </c>
      <c r="B63">
        <v>0.69008000000000003</v>
      </c>
      <c r="C63">
        <f t="shared" si="0"/>
        <v>2.1430076938560001</v>
      </c>
      <c r="D63">
        <v>1.6299999999999999E-2</v>
      </c>
      <c r="E63">
        <v>3.3E-3</v>
      </c>
      <c r="F63">
        <f t="shared" si="1"/>
        <v>621.08964000000003</v>
      </c>
      <c r="G63">
        <f t="shared" si="2"/>
        <v>-0.69008000000000003</v>
      </c>
      <c r="H63">
        <f t="shared" si="3"/>
        <v>-428.60153877120001</v>
      </c>
      <c r="I63">
        <v>1</v>
      </c>
      <c r="J63">
        <f t="shared" si="4"/>
        <v>-0.47627985963971631</v>
      </c>
      <c r="K63">
        <f t="shared" si="5"/>
        <v>-0.53164515177521743</v>
      </c>
      <c r="L63">
        <v>1</v>
      </c>
      <c r="M63">
        <f t="shared" si="6"/>
        <v>0.4903020940327118</v>
      </c>
      <c r="N63">
        <f t="shared" si="7"/>
        <v>5.0618805659999995E-2</v>
      </c>
      <c r="O63">
        <f t="shared" si="8"/>
        <v>1.0247979060000001E-2</v>
      </c>
      <c r="P63">
        <f t="shared" si="9"/>
        <v>-1.9523726977494368E-2</v>
      </c>
      <c r="V63">
        <v>-0.10000000000002</v>
      </c>
      <c r="W63">
        <f t="shared" si="12"/>
        <v>-0.50754699999999908</v>
      </c>
    </row>
    <row r="64" spans="1:23" x14ac:dyDescent="0.3">
      <c r="A64">
        <v>3.1568757000000001</v>
      </c>
      <c r="B64">
        <v>0.68828</v>
      </c>
      <c r="C64">
        <f t="shared" si="0"/>
        <v>2.1728144067960002</v>
      </c>
      <c r="D64">
        <v>1.6299999999999999E-2</v>
      </c>
      <c r="E64">
        <v>3.3E-3</v>
      </c>
      <c r="F64">
        <f t="shared" si="1"/>
        <v>631.37513999999999</v>
      </c>
      <c r="G64">
        <f t="shared" si="2"/>
        <v>-0.68828</v>
      </c>
      <c r="H64">
        <f t="shared" si="3"/>
        <v>-434.56288135920005</v>
      </c>
      <c r="I64">
        <v>1</v>
      </c>
      <c r="J64">
        <f t="shared" si="4"/>
        <v>-0.45985507645567542</v>
      </c>
      <c r="K64">
        <f t="shared" si="5"/>
        <v>-0.53344515177521745</v>
      </c>
      <c r="L64">
        <v>1</v>
      </c>
      <c r="M64">
        <f t="shared" si="6"/>
        <v>0.49105484184603637</v>
      </c>
      <c r="N64">
        <f t="shared" si="7"/>
        <v>5.1457073909999998E-2</v>
      </c>
      <c r="O64">
        <f t="shared" si="8"/>
        <v>1.041768981E-2</v>
      </c>
      <c r="P64">
        <f t="shared" si="9"/>
        <v>-1.9484453790818916E-2</v>
      </c>
      <c r="V64">
        <v>-2.0428103653102899E-14</v>
      </c>
      <c r="W64">
        <f t="shared" si="12"/>
        <v>-0.51212999999999909</v>
      </c>
    </row>
    <row r="65" spans="1:23" x14ac:dyDescent="0.3">
      <c r="A65">
        <v>3.2108488999999998</v>
      </c>
      <c r="B65">
        <v>0.68638999999999994</v>
      </c>
      <c r="C65">
        <f t="shared" si="0"/>
        <v>2.2038945764709998</v>
      </c>
      <c r="D65">
        <v>1.6299999999999999E-2</v>
      </c>
      <c r="E65">
        <v>3.3E-3</v>
      </c>
      <c r="F65">
        <f t="shared" si="1"/>
        <v>642.16977999999995</v>
      </c>
      <c r="G65">
        <f t="shared" si="2"/>
        <v>-0.68638999999999994</v>
      </c>
      <c r="H65">
        <f t="shared" si="3"/>
        <v>-440.77891529419998</v>
      </c>
      <c r="I65">
        <v>1</v>
      </c>
      <c r="J65">
        <f t="shared" si="4"/>
        <v>-0.44290255542552998</v>
      </c>
      <c r="K65">
        <f t="shared" si="5"/>
        <v>-0.53533515177521751</v>
      </c>
      <c r="L65">
        <v>1</v>
      </c>
      <c r="M65">
        <f t="shared" si="6"/>
        <v>0.49183177588484794</v>
      </c>
      <c r="N65">
        <f t="shared" si="7"/>
        <v>5.2336837069999989E-2</v>
      </c>
      <c r="O65">
        <f t="shared" si="8"/>
        <v>1.059580137E-2</v>
      </c>
      <c r="P65">
        <f t="shared" si="9"/>
        <v>-1.942926254963042E-2</v>
      </c>
      <c r="V65">
        <v>9.9999999999980105E-2</v>
      </c>
      <c r="W65">
        <f t="shared" si="12"/>
        <v>-0.51671299999999909</v>
      </c>
    </row>
    <row r="66" spans="1:23" x14ac:dyDescent="0.3">
      <c r="A66">
        <v>3.2653317999999998</v>
      </c>
      <c r="B66">
        <v>0.68464000000000003</v>
      </c>
      <c r="C66">
        <f t="shared" si="0"/>
        <v>2.2355767635519999</v>
      </c>
      <c r="D66">
        <v>1.6299999999999999E-2</v>
      </c>
      <c r="E66">
        <v>3.3E-3</v>
      </c>
      <c r="F66">
        <f t="shared" si="1"/>
        <v>653.06635999999992</v>
      </c>
      <c r="G66">
        <f t="shared" si="2"/>
        <v>-0.68464000000000003</v>
      </c>
      <c r="H66">
        <f t="shared" si="3"/>
        <v>-447.11535271039997</v>
      </c>
      <c r="I66">
        <v>1</v>
      </c>
      <c r="J66">
        <f t="shared" si="4"/>
        <v>-0.42607653159181924</v>
      </c>
      <c r="K66">
        <f t="shared" si="5"/>
        <v>-0.53708515177521743</v>
      </c>
      <c r="L66">
        <v>1</v>
      </c>
      <c r="M66">
        <f t="shared" si="6"/>
        <v>0.49260291255714689</v>
      </c>
      <c r="N66">
        <f t="shared" si="7"/>
        <v>5.3224908339999995E-2</v>
      </c>
      <c r="O66">
        <f t="shared" si="8"/>
        <v>1.0775594939999999E-2</v>
      </c>
      <c r="P66">
        <f t="shared" si="9"/>
        <v>-1.9518264061929455E-2</v>
      </c>
      <c r="V66">
        <v>0.19999999999998</v>
      </c>
      <c r="W66">
        <f t="shared" si="12"/>
        <v>-0.52129599999999909</v>
      </c>
    </row>
    <row r="67" spans="1:23" x14ac:dyDescent="0.3">
      <c r="A67">
        <v>3.315741</v>
      </c>
      <c r="B67">
        <v>0.68264999999999998</v>
      </c>
      <c r="C67">
        <f t="shared" si="0"/>
        <v>2.2634905936499998</v>
      </c>
      <c r="D67">
        <v>1.6299999999999999E-2</v>
      </c>
      <c r="E67">
        <v>3.3E-3</v>
      </c>
      <c r="F67">
        <f t="shared" si="1"/>
        <v>663.14819999999997</v>
      </c>
      <c r="G67">
        <f t="shared" si="2"/>
        <v>-0.68264999999999998</v>
      </c>
      <c r="H67">
        <f t="shared" si="3"/>
        <v>-452.69811872999998</v>
      </c>
      <c r="I67">
        <v>1</v>
      </c>
      <c r="J67">
        <f t="shared" si="4"/>
        <v>-0.41075678436348656</v>
      </c>
      <c r="K67">
        <f t="shared" si="5"/>
        <v>-0.53907515177521748</v>
      </c>
      <c r="L67">
        <v>1</v>
      </c>
      <c r="M67">
        <f t="shared" si="6"/>
        <v>0.49330501657262138</v>
      </c>
      <c r="N67">
        <f t="shared" si="7"/>
        <v>5.4046578299999995E-2</v>
      </c>
      <c r="O67">
        <f t="shared" si="8"/>
        <v>1.09419453E-2</v>
      </c>
      <c r="P67">
        <f t="shared" si="9"/>
        <v>-1.9218388397403897E-2</v>
      </c>
      <c r="V67">
        <v>0.29999999999998</v>
      </c>
      <c r="W67">
        <f t="shared" si="12"/>
        <v>-0.5258789999999991</v>
      </c>
    </row>
    <row r="68" spans="1:23" x14ac:dyDescent="0.3">
      <c r="A68">
        <v>3.3661501</v>
      </c>
      <c r="B68">
        <v>0.68086999999999998</v>
      </c>
      <c r="C68">
        <f t="shared" ref="C68:C131" si="13">A68*B68</f>
        <v>2.291910618587</v>
      </c>
      <c r="D68">
        <v>1.6299999999999999E-2</v>
      </c>
      <c r="E68">
        <v>3.3E-3</v>
      </c>
      <c r="F68">
        <f t="shared" ref="F68:F131" si="14">A68*200</f>
        <v>673.23001999999997</v>
      </c>
      <c r="G68">
        <f t="shared" ref="G68:G131" si="15">-B68</f>
        <v>-0.68086999999999998</v>
      </c>
      <c r="H68">
        <f t="shared" ref="H68:H131" si="16">-C68*200</f>
        <v>-458.38212371739996</v>
      </c>
      <c r="I68">
        <v>1</v>
      </c>
      <c r="J68">
        <f t="shared" ref="J68:J131" si="17">LN(F68/1000)</f>
        <v>-0.39566822467101326</v>
      </c>
      <c r="K68">
        <f t="shared" ref="K68:K131" si="18">((-G68)-$N$2)</f>
        <v>-0.54085515177521748</v>
      </c>
      <c r="L68">
        <v>1</v>
      </c>
      <c r="M68">
        <f t="shared" ref="M68:M131" si="19">-1*($S$4+($S$5*J68))</f>
        <v>0.49399652526332744</v>
      </c>
      <c r="N68">
        <f t="shared" ref="N68:N131" si="20">D68*A68</f>
        <v>5.4868246629999992E-2</v>
      </c>
      <c r="O68">
        <f t="shared" ref="O68:O131" si="21">E68*A68</f>
        <v>1.110829533E-2</v>
      </c>
      <c r="P68">
        <f t="shared" ref="P68:P131" si="22">-K68-M68-N68-O68</f>
        <v>-1.9117915448109948E-2</v>
      </c>
      <c r="V68">
        <v>0.39999999999997998</v>
      </c>
      <c r="W68">
        <f t="shared" ref="W68:W99" si="23">V68*$S$5+$S$4</f>
        <v>-0.5304619999999991</v>
      </c>
    </row>
    <row r="69" spans="1:23" x14ac:dyDescent="0.3">
      <c r="A69">
        <v>3.4165592999999999</v>
      </c>
      <c r="B69">
        <v>0.67901999999999996</v>
      </c>
      <c r="C69">
        <f t="shared" si="13"/>
        <v>2.3199120958859996</v>
      </c>
      <c r="D69">
        <v>1.6299999999999999E-2</v>
      </c>
      <c r="E69">
        <v>3.3E-3</v>
      </c>
      <c r="F69">
        <f t="shared" si="14"/>
        <v>683.31186000000002</v>
      </c>
      <c r="G69">
        <f t="shared" si="15"/>
        <v>-0.67901999999999996</v>
      </c>
      <c r="H69">
        <f t="shared" si="16"/>
        <v>-463.98241917719992</v>
      </c>
      <c r="I69">
        <v>1</v>
      </c>
      <c r="J69">
        <f t="shared" si="17"/>
        <v>-0.38080392040179328</v>
      </c>
      <c r="K69">
        <f t="shared" si="18"/>
        <v>-0.5427051517752175</v>
      </c>
      <c r="L69">
        <v>1</v>
      </c>
      <c r="M69">
        <f t="shared" si="19"/>
        <v>0.49467775632798577</v>
      </c>
      <c r="N69">
        <f t="shared" si="20"/>
        <v>5.5689916589999992E-2</v>
      </c>
      <c r="O69">
        <f t="shared" si="21"/>
        <v>1.127464569E-2</v>
      </c>
      <c r="P69">
        <f t="shared" si="22"/>
        <v>-1.8937166832768269E-2</v>
      </c>
      <c r="V69">
        <v>0.49999999999998002</v>
      </c>
      <c r="W69">
        <f t="shared" si="23"/>
        <v>-0.5350449999999991</v>
      </c>
    </row>
    <row r="70" spans="1:23" x14ac:dyDescent="0.3">
      <c r="A70">
        <v>3.4684960999999999</v>
      </c>
      <c r="B70">
        <v>0.67691999999999997</v>
      </c>
      <c r="C70">
        <f t="shared" si="13"/>
        <v>2.3478943800119998</v>
      </c>
      <c r="D70">
        <v>1.6299999999999999E-2</v>
      </c>
      <c r="E70">
        <v>3.3E-3</v>
      </c>
      <c r="F70">
        <f t="shared" si="14"/>
        <v>693.69921999999997</v>
      </c>
      <c r="G70">
        <f t="shared" si="15"/>
        <v>-0.67691999999999997</v>
      </c>
      <c r="H70">
        <f t="shared" si="16"/>
        <v>-469.57887600239997</v>
      </c>
      <c r="I70">
        <v>1</v>
      </c>
      <c r="J70">
        <f t="shared" si="17"/>
        <v>-0.36571681299687619</v>
      </c>
      <c r="K70">
        <f t="shared" si="18"/>
        <v>-0.54480515177521749</v>
      </c>
      <c r="L70">
        <v>1</v>
      </c>
      <c r="M70">
        <f t="shared" si="19"/>
        <v>0.49536919846035316</v>
      </c>
      <c r="N70">
        <f t="shared" si="20"/>
        <v>5.6536486429999991E-2</v>
      </c>
      <c r="O70">
        <f t="shared" si="21"/>
        <v>1.144603713E-2</v>
      </c>
      <c r="P70">
        <f t="shared" si="22"/>
        <v>-1.8546570245135657E-2</v>
      </c>
      <c r="V70">
        <v>0.59999999999997999</v>
      </c>
      <c r="W70">
        <f t="shared" si="23"/>
        <v>-0.53962799999999911</v>
      </c>
    </row>
    <row r="71" spans="1:23" x14ac:dyDescent="0.3">
      <c r="A71">
        <v>3.5199235999999998</v>
      </c>
      <c r="B71">
        <v>0.67518</v>
      </c>
      <c r="C71">
        <f t="shared" si="13"/>
        <v>2.3765820162479998</v>
      </c>
      <c r="D71">
        <v>1.6299999999999999E-2</v>
      </c>
      <c r="E71">
        <v>3.3E-3</v>
      </c>
      <c r="F71">
        <f t="shared" si="14"/>
        <v>703.98471999999992</v>
      </c>
      <c r="G71">
        <f t="shared" si="15"/>
        <v>-0.67518</v>
      </c>
      <c r="H71">
        <f t="shared" si="16"/>
        <v>-475.31640324959994</v>
      </c>
      <c r="I71">
        <v>1</v>
      </c>
      <c r="J71">
        <f t="shared" si="17"/>
        <v>-0.35099862760509642</v>
      </c>
      <c r="K71">
        <f t="shared" si="18"/>
        <v>-0.54654515177521745</v>
      </c>
      <c r="L71">
        <v>1</v>
      </c>
      <c r="M71">
        <f t="shared" si="19"/>
        <v>0.49604373289685838</v>
      </c>
      <c r="N71">
        <f t="shared" si="20"/>
        <v>5.7374754679999994E-2</v>
      </c>
      <c r="O71">
        <f t="shared" si="21"/>
        <v>1.1615747879999999E-2</v>
      </c>
      <c r="P71">
        <f t="shared" si="22"/>
        <v>-1.8489083681640921E-2</v>
      </c>
      <c r="V71">
        <v>0.69999999999997997</v>
      </c>
      <c r="W71">
        <f t="shared" si="23"/>
        <v>-0.54421099999999911</v>
      </c>
    </row>
    <row r="72" spans="1:23" x14ac:dyDescent="0.3">
      <c r="A72">
        <v>3.5703328000000001</v>
      </c>
      <c r="B72">
        <v>0.67359999999999998</v>
      </c>
      <c r="C72">
        <f t="shared" si="13"/>
        <v>2.4049761740799998</v>
      </c>
      <c r="D72">
        <v>1.6299999999999999E-2</v>
      </c>
      <c r="E72">
        <v>3.3E-3</v>
      </c>
      <c r="F72">
        <f t="shared" si="14"/>
        <v>714.06655999999998</v>
      </c>
      <c r="G72">
        <f t="shared" si="15"/>
        <v>-0.67359999999999998</v>
      </c>
      <c r="H72">
        <f t="shared" si="16"/>
        <v>-480.99523481599994</v>
      </c>
      <c r="I72">
        <v>1</v>
      </c>
      <c r="J72">
        <f t="shared" si="17"/>
        <v>-0.33677909969887154</v>
      </c>
      <c r="K72">
        <f t="shared" si="18"/>
        <v>-0.54812515177521748</v>
      </c>
      <c r="L72">
        <v>1</v>
      </c>
      <c r="M72">
        <f t="shared" si="19"/>
        <v>0.49669541386080068</v>
      </c>
      <c r="N72">
        <f t="shared" si="20"/>
        <v>5.8196424639999994E-2</v>
      </c>
      <c r="O72">
        <f t="shared" si="21"/>
        <v>1.178209824E-2</v>
      </c>
      <c r="P72">
        <f t="shared" si="22"/>
        <v>-1.8548784965583199E-2</v>
      </c>
      <c r="V72">
        <v>0.79999999999997995</v>
      </c>
      <c r="W72">
        <f t="shared" si="23"/>
        <v>-0.54879399999999912</v>
      </c>
    </row>
    <row r="73" spans="1:23" x14ac:dyDescent="0.3">
      <c r="A73">
        <v>3.6217603</v>
      </c>
      <c r="B73">
        <v>0.67173000000000005</v>
      </c>
      <c r="C73">
        <f t="shared" si="13"/>
        <v>2.4328450463190001</v>
      </c>
      <c r="D73">
        <v>1.6299999999999999E-2</v>
      </c>
      <c r="E73">
        <v>3.3E-3</v>
      </c>
      <c r="F73">
        <f t="shared" si="14"/>
        <v>724.35206000000005</v>
      </c>
      <c r="G73">
        <f t="shared" si="15"/>
        <v>-0.67173000000000005</v>
      </c>
      <c r="H73">
        <f t="shared" si="16"/>
        <v>-486.56900926380001</v>
      </c>
      <c r="I73">
        <v>1</v>
      </c>
      <c r="J73">
        <f t="shared" si="17"/>
        <v>-0.32247773406948049</v>
      </c>
      <c r="K73">
        <f t="shared" si="18"/>
        <v>-0.54999515177521741</v>
      </c>
      <c r="L73">
        <v>1</v>
      </c>
      <c r="M73">
        <f t="shared" si="19"/>
        <v>0.49735084544759567</v>
      </c>
      <c r="N73">
        <f t="shared" si="20"/>
        <v>5.9034692889999997E-2</v>
      </c>
      <c r="O73">
        <f t="shared" si="21"/>
        <v>1.195180899E-2</v>
      </c>
      <c r="P73">
        <f t="shared" si="22"/>
        <v>-1.834219555237826E-2</v>
      </c>
      <c r="V73">
        <v>0.89999999999998004</v>
      </c>
      <c r="W73">
        <f t="shared" si="23"/>
        <v>-0.55337699999999912</v>
      </c>
    </row>
    <row r="74" spans="1:23" x14ac:dyDescent="0.3">
      <c r="A74">
        <v>3.6726787000000001</v>
      </c>
      <c r="B74">
        <v>0.66988000000000003</v>
      </c>
      <c r="C74">
        <f t="shared" si="13"/>
        <v>2.4602540075560002</v>
      </c>
      <c r="D74">
        <v>1.6299999999999999E-2</v>
      </c>
      <c r="E74">
        <v>3.3E-3</v>
      </c>
      <c r="F74">
        <f t="shared" si="14"/>
        <v>734.53574000000003</v>
      </c>
      <c r="G74">
        <f t="shared" si="15"/>
        <v>-0.66988000000000003</v>
      </c>
      <c r="H74">
        <f t="shared" si="16"/>
        <v>-492.05080151120006</v>
      </c>
      <c r="I74">
        <v>1</v>
      </c>
      <c r="J74">
        <f t="shared" si="17"/>
        <v>-0.30851662560034565</v>
      </c>
      <c r="K74">
        <f t="shared" si="18"/>
        <v>-0.55184515177521742</v>
      </c>
      <c r="L74">
        <v>1</v>
      </c>
      <c r="M74">
        <f t="shared" si="19"/>
        <v>0.49799068304873612</v>
      </c>
      <c r="N74">
        <f t="shared" si="20"/>
        <v>5.9864662809999997E-2</v>
      </c>
      <c r="O74">
        <f t="shared" si="21"/>
        <v>1.211983971E-2</v>
      </c>
      <c r="P74">
        <f t="shared" si="22"/>
        <v>-1.8130033793518689E-2</v>
      </c>
      <c r="V74">
        <v>0.99999999999998002</v>
      </c>
      <c r="W74">
        <f t="shared" si="23"/>
        <v>-0.55795999999999901</v>
      </c>
    </row>
    <row r="75" spans="1:23" x14ac:dyDescent="0.3">
      <c r="A75">
        <v>3.7235966999999999</v>
      </c>
      <c r="B75">
        <v>0.66805999999999999</v>
      </c>
      <c r="C75">
        <f t="shared" si="13"/>
        <v>2.4875860114020001</v>
      </c>
      <c r="D75">
        <v>1.6299999999999999E-2</v>
      </c>
      <c r="E75">
        <v>3.3E-3</v>
      </c>
      <c r="F75">
        <f t="shared" si="14"/>
        <v>744.71933999999999</v>
      </c>
      <c r="G75">
        <f t="shared" si="15"/>
        <v>-0.66805999999999999</v>
      </c>
      <c r="H75">
        <f t="shared" si="16"/>
        <v>-497.5172022804</v>
      </c>
      <c r="I75">
        <v>1</v>
      </c>
      <c r="J75">
        <f t="shared" si="17"/>
        <v>-0.29474785641341883</v>
      </c>
      <c r="K75">
        <f t="shared" si="18"/>
        <v>-0.55366515177521747</v>
      </c>
      <c r="L75">
        <v>1</v>
      </c>
      <c r="M75">
        <f t="shared" si="19"/>
        <v>0.49862170574057296</v>
      </c>
      <c r="N75">
        <f t="shared" si="20"/>
        <v>6.0694626209999991E-2</v>
      </c>
      <c r="O75">
        <f t="shared" si="21"/>
        <v>1.228786911E-2</v>
      </c>
      <c r="P75">
        <f t="shared" si="22"/>
        <v>-1.7939049285355488E-2</v>
      </c>
      <c r="V75">
        <v>1.0999999999999699</v>
      </c>
      <c r="W75">
        <f t="shared" si="23"/>
        <v>-0.56254299999999857</v>
      </c>
    </row>
    <row r="76" spans="1:23" x14ac:dyDescent="0.3">
      <c r="A76">
        <v>3.7760425</v>
      </c>
      <c r="B76">
        <v>0.66635999999999995</v>
      </c>
      <c r="C76">
        <f t="shared" si="13"/>
        <v>2.5162036802999999</v>
      </c>
      <c r="D76">
        <v>1.6299999999999999E-2</v>
      </c>
      <c r="E76">
        <v>3.3E-3</v>
      </c>
      <c r="F76">
        <f t="shared" si="14"/>
        <v>755.20849999999996</v>
      </c>
      <c r="G76">
        <f t="shared" si="15"/>
        <v>-0.66635999999999995</v>
      </c>
      <c r="H76">
        <f t="shared" si="16"/>
        <v>-503.24073605999996</v>
      </c>
      <c r="I76">
        <v>1</v>
      </c>
      <c r="J76">
        <f t="shared" si="17"/>
        <v>-0.28076140891757639</v>
      </c>
      <c r="K76">
        <f t="shared" si="18"/>
        <v>-0.5553651517752175</v>
      </c>
      <c r="L76">
        <v>1</v>
      </c>
      <c r="M76">
        <f t="shared" si="19"/>
        <v>0.49926270462930744</v>
      </c>
      <c r="N76">
        <f t="shared" si="20"/>
        <v>6.1549492749999997E-2</v>
      </c>
      <c r="O76">
        <f t="shared" si="21"/>
        <v>1.246094025E-2</v>
      </c>
      <c r="P76">
        <f t="shared" si="22"/>
        <v>-1.7907985854089935E-2</v>
      </c>
      <c r="V76">
        <v>1.19999999999997</v>
      </c>
      <c r="W76">
        <f t="shared" si="23"/>
        <v>-0.56712599999999858</v>
      </c>
    </row>
    <row r="77" spans="1:23" x14ac:dyDescent="0.3">
      <c r="A77">
        <v>3.8300163999999999</v>
      </c>
      <c r="B77">
        <v>0.66461000000000003</v>
      </c>
      <c r="C77">
        <f t="shared" si="13"/>
        <v>2.5454671996039999</v>
      </c>
      <c r="D77">
        <v>1.6299999999999999E-2</v>
      </c>
      <c r="E77">
        <v>3.3E-3</v>
      </c>
      <c r="F77">
        <f t="shared" si="14"/>
        <v>766.00328000000002</v>
      </c>
      <c r="G77">
        <f t="shared" si="15"/>
        <v>-0.66461000000000003</v>
      </c>
      <c r="H77">
        <f t="shared" si="16"/>
        <v>-509.09343992079999</v>
      </c>
      <c r="I77">
        <v>1</v>
      </c>
      <c r="J77">
        <f t="shared" si="17"/>
        <v>-0.26656882726637915</v>
      </c>
      <c r="K77">
        <f t="shared" si="18"/>
        <v>-0.55711515177521742</v>
      </c>
      <c r="L77">
        <v>1</v>
      </c>
      <c r="M77">
        <f t="shared" si="19"/>
        <v>0.49991315064638181</v>
      </c>
      <c r="N77">
        <f t="shared" si="20"/>
        <v>6.2429267319999995E-2</v>
      </c>
      <c r="O77">
        <f t="shared" si="21"/>
        <v>1.263905412E-2</v>
      </c>
      <c r="P77">
        <f t="shared" si="22"/>
        <v>-1.7866320311164384E-2</v>
      </c>
      <c r="V77">
        <v>1.2999999999999701</v>
      </c>
      <c r="W77">
        <f t="shared" si="23"/>
        <v>-0.57170899999999858</v>
      </c>
    </row>
    <row r="78" spans="1:23" x14ac:dyDescent="0.3">
      <c r="A78">
        <v>3.8824619</v>
      </c>
      <c r="B78">
        <v>0.66271999999999998</v>
      </c>
      <c r="C78">
        <f t="shared" si="13"/>
        <v>2.5729851503679999</v>
      </c>
      <c r="D78">
        <v>1.6299999999999999E-2</v>
      </c>
      <c r="E78">
        <v>3.3E-3</v>
      </c>
      <c r="F78">
        <f t="shared" si="14"/>
        <v>776.49238000000003</v>
      </c>
      <c r="G78">
        <f t="shared" si="15"/>
        <v>-0.66271999999999998</v>
      </c>
      <c r="H78">
        <f t="shared" si="16"/>
        <v>-514.59703007359997</v>
      </c>
      <c r="I78">
        <v>1</v>
      </c>
      <c r="J78">
        <f t="shared" si="17"/>
        <v>-0.25296844970619475</v>
      </c>
      <c r="K78">
        <f t="shared" si="18"/>
        <v>-0.55900515177521748</v>
      </c>
      <c r="L78">
        <v>1</v>
      </c>
      <c r="M78">
        <f t="shared" si="19"/>
        <v>0.5005364559499651</v>
      </c>
      <c r="N78">
        <f t="shared" si="20"/>
        <v>6.3284128969999992E-2</v>
      </c>
      <c r="O78">
        <f t="shared" si="21"/>
        <v>1.2812124269999999E-2</v>
      </c>
      <c r="P78">
        <f t="shared" si="22"/>
        <v>-1.762755741474761E-2</v>
      </c>
      <c r="V78">
        <v>1.3999999999999699</v>
      </c>
      <c r="W78">
        <f t="shared" si="23"/>
        <v>-0.57629199999999858</v>
      </c>
    </row>
    <row r="79" spans="1:23" x14ac:dyDescent="0.3">
      <c r="A79">
        <v>3.9328710999999998</v>
      </c>
      <c r="B79">
        <v>0.66076999999999997</v>
      </c>
      <c r="C79">
        <f t="shared" si="13"/>
        <v>2.5987232367469999</v>
      </c>
      <c r="D79">
        <v>1.6299999999999999E-2</v>
      </c>
      <c r="E79">
        <v>3.3E-3</v>
      </c>
      <c r="F79">
        <f t="shared" si="14"/>
        <v>786.57421999999997</v>
      </c>
      <c r="G79">
        <f t="shared" si="15"/>
        <v>-0.66076999999999997</v>
      </c>
      <c r="H79">
        <f t="shared" si="16"/>
        <v>-519.7446473494</v>
      </c>
      <c r="I79">
        <v>1</v>
      </c>
      <c r="J79">
        <f t="shared" si="17"/>
        <v>-0.24006819348540123</v>
      </c>
      <c r="K79">
        <f t="shared" si="18"/>
        <v>-0.56095515177521749</v>
      </c>
      <c r="L79">
        <v>1</v>
      </c>
      <c r="M79">
        <f t="shared" si="19"/>
        <v>0.50112767469256403</v>
      </c>
      <c r="N79">
        <f t="shared" si="20"/>
        <v>6.4105798929999985E-2</v>
      </c>
      <c r="O79">
        <f t="shared" si="21"/>
        <v>1.2978474629999999E-2</v>
      </c>
      <c r="P79">
        <f t="shared" si="22"/>
        <v>-1.7256796477346528E-2</v>
      </c>
      <c r="V79">
        <v>1.49999999999997</v>
      </c>
      <c r="W79">
        <f t="shared" si="23"/>
        <v>-0.58087499999999859</v>
      </c>
    </row>
    <row r="80" spans="1:23" x14ac:dyDescent="0.3">
      <c r="A80">
        <v>3.9842987999999999</v>
      </c>
      <c r="B80">
        <v>0.65893999999999997</v>
      </c>
      <c r="C80">
        <f t="shared" si="13"/>
        <v>2.625413851272</v>
      </c>
      <c r="D80">
        <v>1.6299999999999999E-2</v>
      </c>
      <c r="E80">
        <v>3.3E-3</v>
      </c>
      <c r="F80">
        <f t="shared" si="14"/>
        <v>796.85975999999994</v>
      </c>
      <c r="G80">
        <f t="shared" si="15"/>
        <v>-0.65893999999999997</v>
      </c>
      <c r="H80">
        <f t="shared" si="16"/>
        <v>-525.08277025439997</v>
      </c>
      <c r="I80">
        <v>1</v>
      </c>
      <c r="J80">
        <f t="shared" si="17"/>
        <v>-0.22707657552410807</v>
      </c>
      <c r="K80">
        <f t="shared" si="18"/>
        <v>-0.56278515177521748</v>
      </c>
      <c r="L80">
        <v>1</v>
      </c>
      <c r="M80">
        <f t="shared" si="19"/>
        <v>0.50172308054373005</v>
      </c>
      <c r="N80">
        <f t="shared" si="20"/>
        <v>6.4944070439999987E-2</v>
      </c>
      <c r="O80">
        <f t="shared" si="21"/>
        <v>1.3148186039999999E-2</v>
      </c>
      <c r="P80">
        <f t="shared" si="22"/>
        <v>-1.7030185248512551E-2</v>
      </c>
      <c r="V80">
        <v>1.5999999999999699</v>
      </c>
      <c r="W80">
        <f t="shared" si="23"/>
        <v>-0.58545799999999859</v>
      </c>
    </row>
    <row r="81" spans="1:23" x14ac:dyDescent="0.3">
      <c r="A81">
        <v>4.0347080000000002</v>
      </c>
      <c r="B81">
        <v>0.65756000000000003</v>
      </c>
      <c r="C81">
        <f t="shared" si="13"/>
        <v>2.6530625924800004</v>
      </c>
      <c r="D81">
        <v>1.6299999999999999E-2</v>
      </c>
      <c r="E81">
        <v>3.3E-3</v>
      </c>
      <c r="F81">
        <f t="shared" si="14"/>
        <v>806.94159999999999</v>
      </c>
      <c r="G81">
        <f t="shared" si="15"/>
        <v>-0.65756000000000003</v>
      </c>
      <c r="H81">
        <f t="shared" si="16"/>
        <v>-530.61251849600012</v>
      </c>
      <c r="I81">
        <v>1</v>
      </c>
      <c r="J81">
        <f t="shared" si="17"/>
        <v>-0.21450398012137314</v>
      </c>
      <c r="K81">
        <f t="shared" si="18"/>
        <v>-0.56416515177521742</v>
      </c>
      <c r="L81">
        <v>1</v>
      </c>
      <c r="M81">
        <f t="shared" si="19"/>
        <v>0.5022992825910374</v>
      </c>
      <c r="N81">
        <f t="shared" si="20"/>
        <v>6.5765740399999995E-2</v>
      </c>
      <c r="O81">
        <f t="shared" si="21"/>
        <v>1.33145364E-2</v>
      </c>
      <c r="P81">
        <f t="shared" si="22"/>
        <v>-1.7214407615819972E-2</v>
      </c>
      <c r="V81">
        <v>1.69999999999997</v>
      </c>
      <c r="W81">
        <f t="shared" si="23"/>
        <v>-0.59004099999999859</v>
      </c>
    </row>
    <row r="82" spans="1:23" x14ac:dyDescent="0.3">
      <c r="A82">
        <v>4.0866445000000002</v>
      </c>
      <c r="B82">
        <v>0.65559999999999996</v>
      </c>
      <c r="C82">
        <f t="shared" si="13"/>
        <v>2.6792041341999999</v>
      </c>
      <c r="D82">
        <v>1.6299999999999999E-2</v>
      </c>
      <c r="E82">
        <v>3.3E-3</v>
      </c>
      <c r="F82">
        <f t="shared" si="14"/>
        <v>817.32890000000009</v>
      </c>
      <c r="G82">
        <f t="shared" si="15"/>
        <v>-0.65559999999999996</v>
      </c>
      <c r="H82">
        <f t="shared" si="16"/>
        <v>-535.84082683999998</v>
      </c>
      <c r="I82">
        <v>1</v>
      </c>
      <c r="J82">
        <f t="shared" si="17"/>
        <v>-0.20171369475241155</v>
      </c>
      <c r="K82">
        <f t="shared" si="18"/>
        <v>-0.56612515177521749</v>
      </c>
      <c r="L82">
        <v>1</v>
      </c>
      <c r="M82">
        <f t="shared" si="19"/>
        <v>0.50288546136949697</v>
      </c>
      <c r="N82">
        <f t="shared" si="20"/>
        <v>6.6612305349999998E-2</v>
      </c>
      <c r="O82">
        <f t="shared" si="21"/>
        <v>1.3485926850000001E-2</v>
      </c>
      <c r="P82">
        <f t="shared" si="22"/>
        <v>-1.6858541794279473E-2</v>
      </c>
      <c r="V82">
        <v>1.7999999999999701</v>
      </c>
      <c r="W82">
        <f t="shared" si="23"/>
        <v>-0.5946239999999986</v>
      </c>
    </row>
    <row r="83" spans="1:23" x14ac:dyDescent="0.3">
      <c r="A83">
        <v>4.1380723000000001</v>
      </c>
      <c r="B83">
        <v>0.65410999999999997</v>
      </c>
      <c r="C83">
        <f t="shared" si="13"/>
        <v>2.7067544721529999</v>
      </c>
      <c r="D83">
        <v>1.6299999999999999E-2</v>
      </c>
      <c r="E83">
        <v>3.3E-3</v>
      </c>
      <c r="F83">
        <f t="shared" si="14"/>
        <v>827.61446000000001</v>
      </c>
      <c r="G83">
        <f t="shared" si="15"/>
        <v>-0.65410999999999997</v>
      </c>
      <c r="H83">
        <f t="shared" si="16"/>
        <v>-541.35089443059996</v>
      </c>
      <c r="I83">
        <v>1</v>
      </c>
      <c r="J83">
        <f t="shared" si="17"/>
        <v>-0.18920786105458975</v>
      </c>
      <c r="K83">
        <f t="shared" si="18"/>
        <v>-0.56761515177521749</v>
      </c>
      <c r="L83">
        <v>1</v>
      </c>
      <c r="M83">
        <f t="shared" si="19"/>
        <v>0.5034586037278681</v>
      </c>
      <c r="N83">
        <f t="shared" si="20"/>
        <v>6.7450578489999996E-2</v>
      </c>
      <c r="O83">
        <f t="shared" si="21"/>
        <v>1.365563859E-2</v>
      </c>
      <c r="P83">
        <f t="shared" si="22"/>
        <v>-1.6949669032650612E-2</v>
      </c>
      <c r="V83">
        <v>1.8999999999999699</v>
      </c>
      <c r="W83">
        <f t="shared" si="23"/>
        <v>-0.5992069999999986</v>
      </c>
    </row>
    <row r="84" spans="1:23" x14ac:dyDescent="0.3">
      <c r="A84">
        <v>4.1889906999999997</v>
      </c>
      <c r="B84">
        <v>0.65222000000000002</v>
      </c>
      <c r="C84">
        <f t="shared" si="13"/>
        <v>2.732143514354</v>
      </c>
      <c r="D84">
        <v>1.6299999999999999E-2</v>
      </c>
      <c r="E84">
        <v>3.3E-3</v>
      </c>
      <c r="F84">
        <f t="shared" si="14"/>
        <v>837.79813999999999</v>
      </c>
      <c r="G84">
        <f t="shared" si="15"/>
        <v>-0.65222000000000002</v>
      </c>
      <c r="H84">
        <f t="shared" si="16"/>
        <v>-546.42870287079995</v>
      </c>
      <c r="I84">
        <v>1</v>
      </c>
      <c r="J84">
        <f t="shared" si="17"/>
        <v>-0.17697809057192962</v>
      </c>
      <c r="K84">
        <f t="shared" si="18"/>
        <v>-0.56950515177521743</v>
      </c>
      <c r="L84">
        <v>1</v>
      </c>
      <c r="M84">
        <f t="shared" si="19"/>
        <v>0.50401909410908841</v>
      </c>
      <c r="N84">
        <f t="shared" si="20"/>
        <v>6.8280548409999989E-2</v>
      </c>
      <c r="O84">
        <f t="shared" si="21"/>
        <v>1.382366931E-2</v>
      </c>
      <c r="P84">
        <f t="shared" si="22"/>
        <v>-1.6618160053870963E-2</v>
      </c>
      <c r="V84">
        <v>1.99999999999997</v>
      </c>
      <c r="W84">
        <f t="shared" si="23"/>
        <v>-0.60378999999999861</v>
      </c>
    </row>
    <row r="85" spans="1:23" x14ac:dyDescent="0.3">
      <c r="A85">
        <v>4.2429639000000003</v>
      </c>
      <c r="B85">
        <v>0.65031000000000005</v>
      </c>
      <c r="C85">
        <f t="shared" si="13"/>
        <v>2.7592418538090007</v>
      </c>
      <c r="D85">
        <v>1.6299999999999999E-2</v>
      </c>
      <c r="E85">
        <v>3.3E-3</v>
      </c>
      <c r="F85">
        <f t="shared" si="14"/>
        <v>848.59278000000006</v>
      </c>
      <c r="G85">
        <f t="shared" si="15"/>
        <v>-0.65031000000000005</v>
      </c>
      <c r="H85">
        <f t="shared" si="16"/>
        <v>-551.84837076180008</v>
      </c>
      <c r="I85">
        <v>1</v>
      </c>
      <c r="J85">
        <f t="shared" si="17"/>
        <v>-0.16417585438114624</v>
      </c>
      <c r="K85">
        <f t="shared" si="18"/>
        <v>-0.5714151517752174</v>
      </c>
      <c r="L85">
        <v>1</v>
      </c>
      <c r="M85">
        <f t="shared" si="19"/>
        <v>0.50460582059371206</v>
      </c>
      <c r="N85">
        <f t="shared" si="20"/>
        <v>6.9160311569999994E-2</v>
      </c>
      <c r="O85">
        <f t="shared" si="21"/>
        <v>1.4001780870000001E-2</v>
      </c>
      <c r="P85">
        <f t="shared" si="22"/>
        <v>-1.6352761258494657E-2</v>
      </c>
      <c r="V85">
        <v>2.0999999999999699</v>
      </c>
      <c r="W85">
        <f t="shared" si="23"/>
        <v>-0.60837299999999861</v>
      </c>
    </row>
    <row r="86" spans="1:23" x14ac:dyDescent="0.3">
      <c r="A86">
        <v>4.2933729999999999</v>
      </c>
      <c r="B86">
        <v>0.64868000000000003</v>
      </c>
      <c r="C86">
        <f t="shared" si="13"/>
        <v>2.78502519764</v>
      </c>
      <c r="D86">
        <v>1.6299999999999999E-2</v>
      </c>
      <c r="E86">
        <v>3.3E-3</v>
      </c>
      <c r="F86">
        <f t="shared" si="14"/>
        <v>858.67459999999994</v>
      </c>
      <c r="G86">
        <f t="shared" si="15"/>
        <v>-0.64868000000000003</v>
      </c>
      <c r="H86">
        <f t="shared" si="16"/>
        <v>-557.005039528</v>
      </c>
      <c r="I86">
        <v>1</v>
      </c>
      <c r="J86">
        <f t="shared" si="17"/>
        <v>-0.15236524133824828</v>
      </c>
      <c r="K86">
        <f t="shared" si="18"/>
        <v>-0.57304515177521742</v>
      </c>
      <c r="L86">
        <v>1</v>
      </c>
      <c r="M86">
        <f t="shared" si="19"/>
        <v>0.50514710098946802</v>
      </c>
      <c r="N86">
        <f t="shared" si="20"/>
        <v>6.9981979899999991E-2</v>
      </c>
      <c r="O86">
        <f t="shared" si="21"/>
        <v>1.4168130899999999E-2</v>
      </c>
      <c r="P86">
        <f t="shared" si="22"/>
        <v>-1.6252060014250592E-2</v>
      </c>
      <c r="V86">
        <v>2.19999999999997</v>
      </c>
      <c r="W86">
        <f t="shared" si="23"/>
        <v>-0.61295599999999861</v>
      </c>
    </row>
    <row r="87" spans="1:23" x14ac:dyDescent="0.3">
      <c r="A87">
        <v>4.3468374000000001</v>
      </c>
      <c r="B87">
        <v>0.64673999999999998</v>
      </c>
      <c r="C87">
        <f t="shared" si="13"/>
        <v>2.8112736200759998</v>
      </c>
      <c r="D87">
        <v>1.6299999999999999E-2</v>
      </c>
      <c r="E87">
        <v>3.3E-3</v>
      </c>
      <c r="F87">
        <f t="shared" si="14"/>
        <v>869.36748</v>
      </c>
      <c r="G87">
        <f t="shared" si="15"/>
        <v>-0.64673999999999998</v>
      </c>
      <c r="H87">
        <f t="shared" si="16"/>
        <v>-562.25472401519994</v>
      </c>
      <c r="I87">
        <v>1</v>
      </c>
      <c r="J87">
        <f t="shared" si="17"/>
        <v>-0.13998936623400418</v>
      </c>
      <c r="K87">
        <f t="shared" si="18"/>
        <v>-0.57498515177521747</v>
      </c>
      <c r="L87">
        <v>1</v>
      </c>
      <c r="M87">
        <f t="shared" si="19"/>
        <v>0.50571428734549562</v>
      </c>
      <c r="N87">
        <f t="shared" si="20"/>
        <v>7.0853449619999995E-2</v>
      </c>
      <c r="O87">
        <f t="shared" si="21"/>
        <v>1.4344563419999999E-2</v>
      </c>
      <c r="P87">
        <f t="shared" si="22"/>
        <v>-1.5927148610278136E-2</v>
      </c>
      <c r="V87">
        <v>2.2999999999999701</v>
      </c>
      <c r="W87">
        <f t="shared" si="23"/>
        <v>-0.61753899999999862</v>
      </c>
    </row>
    <row r="88" spans="1:23" x14ac:dyDescent="0.3">
      <c r="A88">
        <v>4.3977558999999999</v>
      </c>
      <c r="B88">
        <v>0.64507999999999999</v>
      </c>
      <c r="C88">
        <f t="shared" si="13"/>
        <v>2.8369043759719998</v>
      </c>
      <c r="D88">
        <v>1.6299999999999999E-2</v>
      </c>
      <c r="E88">
        <v>3.3E-3</v>
      </c>
      <c r="F88">
        <f t="shared" si="14"/>
        <v>879.55117999999993</v>
      </c>
      <c r="G88">
        <f t="shared" si="15"/>
        <v>-0.64507999999999999</v>
      </c>
      <c r="H88">
        <f t="shared" si="16"/>
        <v>-567.38087519440001</v>
      </c>
      <c r="I88">
        <v>1</v>
      </c>
      <c r="J88">
        <f t="shared" si="17"/>
        <v>-0.12834352434298876</v>
      </c>
      <c r="K88">
        <f t="shared" si="18"/>
        <v>-0.57664515177521747</v>
      </c>
      <c r="L88">
        <v>1</v>
      </c>
      <c r="M88">
        <f t="shared" si="19"/>
        <v>0.50624801627936078</v>
      </c>
      <c r="N88">
        <f t="shared" si="20"/>
        <v>7.1683421169999997E-2</v>
      </c>
      <c r="O88">
        <f t="shared" si="21"/>
        <v>1.4512594469999999E-2</v>
      </c>
      <c r="P88">
        <f t="shared" si="22"/>
        <v>-1.579888014414331E-2</v>
      </c>
      <c r="V88">
        <v>2.3999999999999702</v>
      </c>
      <c r="W88">
        <f t="shared" si="23"/>
        <v>-0.62212199999999862</v>
      </c>
    </row>
    <row r="89" spans="1:23" x14ac:dyDescent="0.3">
      <c r="A89">
        <v>4.4517294999999999</v>
      </c>
      <c r="B89">
        <v>0.64332</v>
      </c>
      <c r="C89">
        <f t="shared" si="13"/>
        <v>2.8638866219399999</v>
      </c>
      <c r="D89">
        <v>1.6299999999999999E-2</v>
      </c>
      <c r="E89">
        <v>3.3E-3</v>
      </c>
      <c r="F89">
        <f t="shared" si="14"/>
        <v>890.34590000000003</v>
      </c>
      <c r="G89">
        <f t="shared" si="15"/>
        <v>-0.64332</v>
      </c>
      <c r="H89">
        <f t="shared" si="16"/>
        <v>-572.77732438800001</v>
      </c>
      <c r="I89">
        <v>1</v>
      </c>
      <c r="J89">
        <f t="shared" si="17"/>
        <v>-0.1161452400760616</v>
      </c>
      <c r="K89">
        <f t="shared" si="18"/>
        <v>-0.57840515177521745</v>
      </c>
      <c r="L89">
        <v>1</v>
      </c>
      <c r="M89">
        <f t="shared" si="19"/>
        <v>0.50680706364731409</v>
      </c>
      <c r="N89">
        <f t="shared" si="20"/>
        <v>7.2563190849999987E-2</v>
      </c>
      <c r="O89">
        <f t="shared" si="21"/>
        <v>1.469070735E-2</v>
      </c>
      <c r="P89">
        <f t="shared" si="22"/>
        <v>-1.5655810072096626E-2</v>
      </c>
      <c r="V89">
        <v>2.4999999999999698</v>
      </c>
      <c r="W89">
        <f t="shared" si="23"/>
        <v>-0.62670499999999862</v>
      </c>
    </row>
    <row r="90" spans="1:23" x14ac:dyDescent="0.3">
      <c r="A90">
        <v>4.5021386999999997</v>
      </c>
      <c r="B90">
        <v>0.64166000000000001</v>
      </c>
      <c r="C90">
        <f t="shared" si="13"/>
        <v>2.8888423182419998</v>
      </c>
      <c r="D90">
        <v>1.6299999999999999E-2</v>
      </c>
      <c r="E90">
        <v>3.3E-3</v>
      </c>
      <c r="F90">
        <f t="shared" si="14"/>
        <v>900.42773999999997</v>
      </c>
      <c r="G90">
        <f t="shared" si="15"/>
        <v>-0.64166000000000001</v>
      </c>
      <c r="H90">
        <f t="shared" si="16"/>
        <v>-577.76846364839992</v>
      </c>
      <c r="I90">
        <v>1</v>
      </c>
      <c r="J90">
        <f t="shared" si="17"/>
        <v>-0.10488536189459054</v>
      </c>
      <c r="K90">
        <f t="shared" si="18"/>
        <v>-0.58006515177521745</v>
      </c>
      <c r="L90">
        <v>1</v>
      </c>
      <c r="M90">
        <f t="shared" si="19"/>
        <v>0.50732310386437085</v>
      </c>
      <c r="N90">
        <f t="shared" si="20"/>
        <v>7.3384860809999994E-2</v>
      </c>
      <c r="O90">
        <f t="shared" si="21"/>
        <v>1.485705771E-2</v>
      </c>
      <c r="P90">
        <f t="shared" si="22"/>
        <v>-1.5499870609153397E-2</v>
      </c>
      <c r="V90">
        <v>2.5999999999999699</v>
      </c>
      <c r="W90">
        <f t="shared" si="23"/>
        <v>-0.63128799999999863</v>
      </c>
    </row>
    <row r="91" spans="1:23" x14ac:dyDescent="0.3">
      <c r="A91">
        <v>4.5525473999999999</v>
      </c>
      <c r="B91">
        <v>0.63973000000000002</v>
      </c>
      <c r="C91">
        <f t="shared" si="13"/>
        <v>2.912401148202</v>
      </c>
      <c r="D91">
        <v>1.6299999999999999E-2</v>
      </c>
      <c r="E91">
        <v>3.3E-3</v>
      </c>
      <c r="F91">
        <f t="shared" si="14"/>
        <v>910.50947999999994</v>
      </c>
      <c r="G91">
        <f t="shared" si="15"/>
        <v>-0.63973000000000002</v>
      </c>
      <c r="H91">
        <f t="shared" si="16"/>
        <v>-582.48022964040001</v>
      </c>
      <c r="I91">
        <v>1</v>
      </c>
      <c r="J91">
        <f t="shared" si="17"/>
        <v>-9.3750968007062979E-2</v>
      </c>
      <c r="K91">
        <f t="shared" si="18"/>
        <v>-0.58199515177521743</v>
      </c>
      <c r="L91">
        <v>1</v>
      </c>
      <c r="M91">
        <f t="shared" si="19"/>
        <v>0.50783339313623632</v>
      </c>
      <c r="N91">
        <f t="shared" si="20"/>
        <v>7.4206522619999993E-2</v>
      </c>
      <c r="O91">
        <f t="shared" si="21"/>
        <v>1.502340642E-2</v>
      </c>
      <c r="P91">
        <f t="shared" si="22"/>
        <v>-1.506817040101888E-2</v>
      </c>
      <c r="V91">
        <v>2.69999999999997</v>
      </c>
      <c r="W91">
        <f t="shared" si="23"/>
        <v>-0.63587099999999863</v>
      </c>
    </row>
    <row r="92" spans="1:23" x14ac:dyDescent="0.3">
      <c r="A92">
        <v>4.6049932</v>
      </c>
      <c r="B92">
        <v>0.63815999999999995</v>
      </c>
      <c r="C92">
        <f t="shared" si="13"/>
        <v>2.9387224605119999</v>
      </c>
      <c r="D92">
        <v>1.6299999999999999E-2</v>
      </c>
      <c r="E92">
        <v>3.3E-3</v>
      </c>
      <c r="F92">
        <f t="shared" si="14"/>
        <v>920.99864000000002</v>
      </c>
      <c r="G92">
        <f t="shared" si="15"/>
        <v>-0.63815999999999995</v>
      </c>
      <c r="H92">
        <f t="shared" si="16"/>
        <v>-587.74449210239993</v>
      </c>
      <c r="I92">
        <v>1</v>
      </c>
      <c r="J92">
        <f t="shared" si="17"/>
        <v>-8.2296719383729386E-2</v>
      </c>
      <c r="K92">
        <f t="shared" si="18"/>
        <v>-0.58356515177521751</v>
      </c>
      <c r="L92">
        <v>1</v>
      </c>
      <c r="M92">
        <f t="shared" si="19"/>
        <v>0.50835834135064362</v>
      </c>
      <c r="N92">
        <f t="shared" si="20"/>
        <v>7.5061389159999992E-2</v>
      </c>
      <c r="O92">
        <f t="shared" si="21"/>
        <v>1.5196477559999999E-2</v>
      </c>
      <c r="P92">
        <f t="shared" si="22"/>
        <v>-1.5051056295426102E-2</v>
      </c>
      <c r="V92">
        <v>2.7999999999999701</v>
      </c>
      <c r="W92">
        <f t="shared" si="23"/>
        <v>-0.64045399999999864</v>
      </c>
    </row>
    <row r="93" spans="1:23" x14ac:dyDescent="0.3">
      <c r="A93">
        <v>4.6579481999999999</v>
      </c>
      <c r="B93">
        <v>0.63644999999999996</v>
      </c>
      <c r="C93">
        <f t="shared" si="13"/>
        <v>2.9645511318899995</v>
      </c>
      <c r="D93">
        <v>1.6299999999999999E-2</v>
      </c>
      <c r="E93">
        <v>3.3E-3</v>
      </c>
      <c r="F93">
        <f t="shared" si="14"/>
        <v>931.58963999999992</v>
      </c>
      <c r="G93">
        <f t="shared" si="15"/>
        <v>-0.63644999999999996</v>
      </c>
      <c r="H93">
        <f t="shared" si="16"/>
        <v>-592.91022637799995</v>
      </c>
      <c r="I93">
        <v>1</v>
      </c>
      <c r="J93">
        <f t="shared" si="17"/>
        <v>-7.0862861686426776E-2</v>
      </c>
      <c r="K93">
        <f t="shared" si="18"/>
        <v>-0.58527515177521749</v>
      </c>
      <c r="L93">
        <v>1</v>
      </c>
      <c r="M93">
        <f t="shared" si="19"/>
        <v>0.50888235504891099</v>
      </c>
      <c r="N93">
        <f t="shared" si="20"/>
        <v>7.592455565999999E-2</v>
      </c>
      <c r="O93">
        <f t="shared" si="21"/>
        <v>1.537122906E-2</v>
      </c>
      <c r="P93">
        <f t="shared" si="22"/>
        <v>-1.490298799369349E-2</v>
      </c>
      <c r="V93">
        <v>2.8999999999999702</v>
      </c>
      <c r="W93">
        <f t="shared" si="23"/>
        <v>-0.64503699999999864</v>
      </c>
    </row>
    <row r="94" spans="1:23" x14ac:dyDescent="0.3">
      <c r="A94">
        <v>4.710394</v>
      </c>
      <c r="B94">
        <v>0.63468999999999998</v>
      </c>
      <c r="C94">
        <f t="shared" si="13"/>
        <v>2.9896399678600001</v>
      </c>
      <c r="D94">
        <v>1.6299999999999999E-2</v>
      </c>
      <c r="E94">
        <v>3.3E-3</v>
      </c>
      <c r="F94">
        <f t="shared" si="14"/>
        <v>942.0788</v>
      </c>
      <c r="G94">
        <f t="shared" si="15"/>
        <v>-0.63468999999999998</v>
      </c>
      <c r="H94">
        <f t="shared" si="16"/>
        <v>-597.92799357199999</v>
      </c>
      <c r="I94">
        <v>1</v>
      </c>
      <c r="J94">
        <f t="shared" si="17"/>
        <v>-5.9666356099720187E-2</v>
      </c>
      <c r="K94">
        <f t="shared" si="18"/>
        <v>-0.58703515177521748</v>
      </c>
      <c r="L94">
        <v>1</v>
      </c>
      <c r="M94">
        <f t="shared" si="19"/>
        <v>0.50939549089994984</v>
      </c>
      <c r="N94">
        <f t="shared" si="20"/>
        <v>7.6779422199999989E-2</v>
      </c>
      <c r="O94">
        <f t="shared" si="21"/>
        <v>1.55443002E-2</v>
      </c>
      <c r="P94">
        <f t="shared" si="22"/>
        <v>-1.4684061524732353E-2</v>
      </c>
      <c r="V94">
        <v>2.9999999999999698</v>
      </c>
      <c r="W94">
        <f t="shared" si="23"/>
        <v>-0.64961999999999853</v>
      </c>
    </row>
    <row r="95" spans="1:23" x14ac:dyDescent="0.3">
      <c r="A95">
        <v>4.7613130000000004</v>
      </c>
      <c r="B95">
        <v>0.63290999999999997</v>
      </c>
      <c r="C95">
        <f t="shared" si="13"/>
        <v>3.0134826108300001</v>
      </c>
      <c r="D95">
        <v>1.6299999999999999E-2</v>
      </c>
      <c r="E95">
        <v>3.3E-3</v>
      </c>
      <c r="F95">
        <f t="shared" si="14"/>
        <v>952.26260000000002</v>
      </c>
      <c r="G95">
        <f t="shared" si="15"/>
        <v>-0.63290999999999997</v>
      </c>
      <c r="H95">
        <f t="shared" si="16"/>
        <v>-602.69652216600002</v>
      </c>
      <c r="I95">
        <v>1</v>
      </c>
      <c r="J95">
        <f t="shared" si="17"/>
        <v>-4.891444189158814E-2</v>
      </c>
      <c r="K95">
        <f t="shared" si="18"/>
        <v>-0.58881515177521748</v>
      </c>
      <c r="L95">
        <v>1</v>
      </c>
      <c r="M95">
        <f t="shared" si="19"/>
        <v>0.50988825112810854</v>
      </c>
      <c r="N95">
        <f t="shared" si="20"/>
        <v>7.76094019E-2</v>
      </c>
      <c r="O95">
        <f t="shared" si="21"/>
        <v>1.5712332900000001E-2</v>
      </c>
      <c r="P95">
        <f t="shared" si="22"/>
        <v>-1.4394834152891056E-2</v>
      </c>
      <c r="V95">
        <v>3.0999999999999699</v>
      </c>
      <c r="W95">
        <f t="shared" si="23"/>
        <v>-0.65420299999999854</v>
      </c>
    </row>
    <row r="96" spans="1:23" x14ac:dyDescent="0.3">
      <c r="A96">
        <v>4.8157949000000002</v>
      </c>
      <c r="B96">
        <v>0.63114000000000003</v>
      </c>
      <c r="C96">
        <f t="shared" si="13"/>
        <v>3.0394407931860004</v>
      </c>
      <c r="D96">
        <v>1.6299999999999999E-2</v>
      </c>
      <c r="E96">
        <v>3.3E-3</v>
      </c>
      <c r="F96">
        <f t="shared" si="14"/>
        <v>963.15898000000004</v>
      </c>
      <c r="G96">
        <f t="shared" si="15"/>
        <v>-0.63114000000000003</v>
      </c>
      <c r="H96">
        <f t="shared" si="16"/>
        <v>-607.88815863720004</v>
      </c>
      <c r="I96">
        <v>1</v>
      </c>
      <c r="J96">
        <f t="shared" si="17"/>
        <v>-3.7536792543743737E-2</v>
      </c>
      <c r="K96">
        <f t="shared" si="18"/>
        <v>-0.59058515177521742</v>
      </c>
      <c r="L96">
        <v>1</v>
      </c>
      <c r="M96">
        <f t="shared" si="19"/>
        <v>0.5104096887977202</v>
      </c>
      <c r="N96">
        <f t="shared" si="20"/>
        <v>7.8497456869999996E-2</v>
      </c>
      <c r="O96">
        <f t="shared" si="21"/>
        <v>1.5892123170000001E-2</v>
      </c>
      <c r="P96">
        <f t="shared" si="22"/>
        <v>-1.4214117062502772E-2</v>
      </c>
      <c r="V96">
        <v>3.19999999999997</v>
      </c>
      <c r="W96">
        <f t="shared" si="23"/>
        <v>-0.65878599999999854</v>
      </c>
    </row>
    <row r="97" spans="1:23" x14ac:dyDescent="0.3">
      <c r="A97">
        <v>4.8672227000000001</v>
      </c>
      <c r="B97">
        <v>0.62949999999999995</v>
      </c>
      <c r="C97">
        <f t="shared" si="13"/>
        <v>3.0639166896499996</v>
      </c>
      <c r="D97">
        <v>1.6299999999999999E-2</v>
      </c>
      <c r="E97">
        <v>3.3E-3</v>
      </c>
      <c r="F97">
        <f t="shared" si="14"/>
        <v>973.44454000000007</v>
      </c>
      <c r="G97">
        <f t="shared" si="15"/>
        <v>-0.62949999999999995</v>
      </c>
      <c r="H97">
        <f t="shared" si="16"/>
        <v>-612.7833379299999</v>
      </c>
      <c r="I97">
        <v>1</v>
      </c>
      <c r="J97">
        <f t="shared" si="17"/>
        <v>-2.6914425489687168E-2</v>
      </c>
      <c r="K97">
        <f t="shared" si="18"/>
        <v>-0.59222515177521751</v>
      </c>
      <c r="L97">
        <v>1</v>
      </c>
      <c r="M97">
        <f t="shared" si="19"/>
        <v>0.51089651187980756</v>
      </c>
      <c r="N97">
        <f t="shared" si="20"/>
        <v>7.9335730009999994E-2</v>
      </c>
      <c r="O97">
        <f t="shared" si="21"/>
        <v>1.6061834909999999E-2</v>
      </c>
      <c r="P97">
        <f t="shared" si="22"/>
        <v>-1.4068925024590045E-2</v>
      </c>
      <c r="V97">
        <v>3.2999999999999701</v>
      </c>
      <c r="W97">
        <f t="shared" si="23"/>
        <v>-0.66336899999999854</v>
      </c>
    </row>
    <row r="98" spans="1:23" x14ac:dyDescent="0.3">
      <c r="A98">
        <v>4.9196685000000002</v>
      </c>
      <c r="B98">
        <v>0.62782000000000004</v>
      </c>
      <c r="C98">
        <f t="shared" si="13"/>
        <v>3.0886662776700002</v>
      </c>
      <c r="D98">
        <v>1.6299999999999999E-2</v>
      </c>
      <c r="E98">
        <v>3.3E-3</v>
      </c>
      <c r="F98">
        <f t="shared" si="14"/>
        <v>983.93370000000004</v>
      </c>
      <c r="G98">
        <f t="shared" si="15"/>
        <v>-0.62782000000000004</v>
      </c>
      <c r="H98">
        <f t="shared" si="16"/>
        <v>-617.73325553400002</v>
      </c>
      <c r="I98">
        <v>1</v>
      </c>
      <c r="J98">
        <f t="shared" si="17"/>
        <v>-1.6196762248666789E-2</v>
      </c>
      <c r="K98">
        <f t="shared" si="18"/>
        <v>-0.59390515177521741</v>
      </c>
      <c r="L98">
        <v>1</v>
      </c>
      <c r="M98">
        <f t="shared" si="19"/>
        <v>0.51138770238614362</v>
      </c>
      <c r="N98">
        <f t="shared" si="20"/>
        <v>8.0190596549999993E-2</v>
      </c>
      <c r="O98">
        <f t="shared" si="21"/>
        <v>1.6234906050000001E-2</v>
      </c>
      <c r="P98">
        <f t="shared" si="22"/>
        <v>-1.39080532109262E-2</v>
      </c>
      <c r="V98">
        <v>3.3999999999999702</v>
      </c>
      <c r="W98">
        <f t="shared" si="23"/>
        <v>-0.66795199999999855</v>
      </c>
    </row>
    <row r="99" spans="1:23" x14ac:dyDescent="0.3">
      <c r="A99">
        <v>4.9721146999999997</v>
      </c>
      <c r="B99">
        <v>0.62626999999999999</v>
      </c>
      <c r="C99">
        <f t="shared" si="13"/>
        <v>3.1138862731689998</v>
      </c>
      <c r="D99">
        <v>1.6299999999999999E-2</v>
      </c>
      <c r="E99">
        <v>3.3E-3</v>
      </c>
      <c r="F99">
        <f t="shared" si="14"/>
        <v>994.42293999999993</v>
      </c>
      <c r="G99">
        <f t="shared" si="15"/>
        <v>-0.62626999999999999</v>
      </c>
      <c r="H99">
        <f t="shared" si="16"/>
        <v>-622.7772546338</v>
      </c>
      <c r="I99">
        <v>1</v>
      </c>
      <c r="J99">
        <f t="shared" si="17"/>
        <v>-5.5926698642756118E-3</v>
      </c>
      <c r="K99">
        <f t="shared" si="18"/>
        <v>-0.59545515177521746</v>
      </c>
      <c r="L99">
        <v>1</v>
      </c>
      <c r="M99">
        <f t="shared" si="19"/>
        <v>0.51187368794012023</v>
      </c>
      <c r="N99">
        <f t="shared" si="20"/>
        <v>8.104546960999999E-2</v>
      </c>
      <c r="O99">
        <f t="shared" si="21"/>
        <v>1.6407978509999997E-2</v>
      </c>
      <c r="P99">
        <f t="shared" si="22"/>
        <v>-1.3871984284902751E-2</v>
      </c>
      <c r="V99">
        <v>3.4999999999999698</v>
      </c>
      <c r="W99">
        <f t="shared" si="23"/>
        <v>-0.67253499999999855</v>
      </c>
    </row>
    <row r="100" spans="1:23" x14ac:dyDescent="0.3">
      <c r="A100">
        <v>5.0230326999999999</v>
      </c>
      <c r="B100">
        <v>0.62448999999999999</v>
      </c>
      <c r="C100">
        <f t="shared" si="13"/>
        <v>3.1368336908229999</v>
      </c>
      <c r="D100">
        <v>1.6299999999999999E-2</v>
      </c>
      <c r="E100">
        <v>3.3E-3</v>
      </c>
      <c r="F100">
        <f t="shared" si="14"/>
        <v>1004.60654</v>
      </c>
      <c r="G100">
        <f t="shared" si="15"/>
        <v>-0.62448999999999999</v>
      </c>
      <c r="H100">
        <f t="shared" si="16"/>
        <v>-627.36673816459995</v>
      </c>
      <c r="I100">
        <v>1</v>
      </c>
      <c r="J100">
        <f t="shared" si="17"/>
        <v>4.5959623663696528E-3</v>
      </c>
      <c r="K100">
        <f t="shared" si="18"/>
        <v>-0.59723515177521747</v>
      </c>
      <c r="L100">
        <v>1</v>
      </c>
      <c r="M100">
        <f t="shared" si="19"/>
        <v>0.51234063295525067</v>
      </c>
      <c r="N100">
        <f t="shared" si="20"/>
        <v>8.1875433009999984E-2</v>
      </c>
      <c r="O100">
        <f t="shared" si="21"/>
        <v>1.6576007909999999E-2</v>
      </c>
      <c r="P100">
        <f t="shared" si="22"/>
        <v>-1.3556922100033193E-2</v>
      </c>
      <c r="V100">
        <v>3.5999999999999699</v>
      </c>
      <c r="W100">
        <f t="shared" ref="W100:W131" si="24">V100*$S$5+$S$4</f>
        <v>-0.67711799999999855</v>
      </c>
    </row>
    <row r="101" spans="1:23" x14ac:dyDescent="0.3">
      <c r="A101">
        <v>5.0764971000000001</v>
      </c>
      <c r="B101">
        <v>0.62255000000000005</v>
      </c>
      <c r="C101">
        <f t="shared" si="13"/>
        <v>3.1603732696050004</v>
      </c>
      <c r="D101">
        <v>1.6299999999999999E-2</v>
      </c>
      <c r="E101">
        <v>3.3E-3</v>
      </c>
      <c r="F101">
        <f t="shared" si="14"/>
        <v>1015.2994200000001</v>
      </c>
      <c r="G101">
        <f t="shared" si="15"/>
        <v>-0.62255000000000005</v>
      </c>
      <c r="H101">
        <f t="shared" si="16"/>
        <v>-632.07465392100005</v>
      </c>
      <c r="I101">
        <v>1</v>
      </c>
      <c r="J101">
        <f t="shared" si="17"/>
        <v>1.518356406515067E-2</v>
      </c>
      <c r="K101">
        <f t="shared" si="18"/>
        <v>-0.59917515177521741</v>
      </c>
      <c r="L101">
        <v>1</v>
      </c>
      <c r="M101">
        <f t="shared" si="19"/>
        <v>0.51282586274110586</v>
      </c>
      <c r="N101">
        <f t="shared" si="20"/>
        <v>8.2746902729999988E-2</v>
      </c>
      <c r="O101">
        <f t="shared" si="21"/>
        <v>1.6752440430000001E-2</v>
      </c>
      <c r="P101">
        <f t="shared" si="22"/>
        <v>-1.3150054125888447E-2</v>
      </c>
      <c r="V101">
        <v>3.69999999999997</v>
      </c>
      <c r="W101">
        <f t="shared" si="24"/>
        <v>-0.68170099999999856</v>
      </c>
    </row>
    <row r="102" spans="1:23" x14ac:dyDescent="0.3">
      <c r="A102">
        <v>5.1284336000000001</v>
      </c>
      <c r="B102">
        <v>0.62094000000000005</v>
      </c>
      <c r="C102">
        <f t="shared" si="13"/>
        <v>3.1844495595840003</v>
      </c>
      <c r="D102">
        <v>1.6299999999999999E-2</v>
      </c>
      <c r="E102">
        <v>3.3E-3</v>
      </c>
      <c r="F102">
        <f t="shared" si="14"/>
        <v>1025.6867199999999</v>
      </c>
      <c r="G102">
        <f t="shared" si="15"/>
        <v>-0.62094000000000005</v>
      </c>
      <c r="H102">
        <f t="shared" si="16"/>
        <v>-636.88991191680009</v>
      </c>
      <c r="I102">
        <v>1</v>
      </c>
      <c r="J102">
        <f t="shared" si="17"/>
        <v>2.5362358991878942E-2</v>
      </c>
      <c r="K102">
        <f t="shared" si="18"/>
        <v>-0.60078515177521741</v>
      </c>
      <c r="L102">
        <v>1</v>
      </c>
      <c r="M102">
        <f t="shared" si="19"/>
        <v>0.51329235691259778</v>
      </c>
      <c r="N102">
        <f t="shared" si="20"/>
        <v>8.3593467679999992E-2</v>
      </c>
      <c r="O102">
        <f t="shared" si="21"/>
        <v>1.6923830880000001E-2</v>
      </c>
      <c r="P102">
        <f t="shared" si="22"/>
        <v>-1.3024503697380365E-2</v>
      </c>
      <c r="V102">
        <v>3.7999999999999701</v>
      </c>
      <c r="W102">
        <f t="shared" si="24"/>
        <v>-0.68628399999999856</v>
      </c>
    </row>
    <row r="103" spans="1:23" x14ac:dyDescent="0.3">
      <c r="A103">
        <v>5.1844438000000004</v>
      </c>
      <c r="B103">
        <v>0.61914999999999998</v>
      </c>
      <c r="C103">
        <f t="shared" si="13"/>
        <v>3.2099483787700001</v>
      </c>
      <c r="D103">
        <v>1.6299999999999999E-2</v>
      </c>
      <c r="E103">
        <v>3.3E-3</v>
      </c>
      <c r="F103">
        <f t="shared" si="14"/>
        <v>1036.88876</v>
      </c>
      <c r="G103">
        <f t="shared" si="15"/>
        <v>-0.61914999999999998</v>
      </c>
      <c r="H103">
        <f t="shared" si="16"/>
        <v>-641.98967575400002</v>
      </c>
      <c r="I103">
        <v>1</v>
      </c>
      <c r="J103">
        <f t="shared" si="17"/>
        <v>3.6224652519484576E-2</v>
      </c>
      <c r="K103">
        <f t="shared" si="18"/>
        <v>-0.60257515177521748</v>
      </c>
      <c r="L103">
        <v>1</v>
      </c>
      <c r="M103">
        <f t="shared" si="19"/>
        <v>0.513790175824968</v>
      </c>
      <c r="N103">
        <f t="shared" si="20"/>
        <v>8.450643394E-2</v>
      </c>
      <c r="O103">
        <f t="shared" si="21"/>
        <v>1.7108664540000002E-2</v>
      </c>
      <c r="P103">
        <f t="shared" si="22"/>
        <v>-1.2830122529750524E-2</v>
      </c>
      <c r="V103">
        <v>3.8999999999999599</v>
      </c>
      <c r="W103">
        <f t="shared" si="24"/>
        <v>-0.69086699999999812</v>
      </c>
    </row>
    <row r="104" spans="1:23" x14ac:dyDescent="0.3">
      <c r="A104">
        <v>5.2363803999999998</v>
      </c>
      <c r="B104">
        <v>0.61751</v>
      </c>
      <c r="C104">
        <f t="shared" si="13"/>
        <v>3.2335172608039997</v>
      </c>
      <c r="D104">
        <v>1.6299999999999999E-2</v>
      </c>
      <c r="E104">
        <v>3.3E-3</v>
      </c>
      <c r="F104">
        <f t="shared" si="14"/>
        <v>1047.2760799999999</v>
      </c>
      <c r="G104">
        <f t="shared" si="15"/>
        <v>-0.61751</v>
      </c>
      <c r="H104">
        <f t="shared" si="16"/>
        <v>-646.7034521608</v>
      </c>
      <c r="I104">
        <v>1</v>
      </c>
      <c r="J104">
        <f t="shared" si="17"/>
        <v>4.619258385313893E-2</v>
      </c>
      <c r="K104">
        <f t="shared" si="18"/>
        <v>-0.60421515177521745</v>
      </c>
      <c r="L104">
        <v>1</v>
      </c>
      <c r="M104">
        <f t="shared" si="19"/>
        <v>0.51424700611798935</v>
      </c>
      <c r="N104">
        <f t="shared" si="20"/>
        <v>8.5353000519999986E-2</v>
      </c>
      <c r="O104">
        <f t="shared" si="21"/>
        <v>1.7280055319999998E-2</v>
      </c>
      <c r="P104">
        <f t="shared" si="22"/>
        <v>-1.2664910182771879E-2</v>
      </c>
      <c r="V104">
        <v>3.99999999999996</v>
      </c>
      <c r="W104">
        <f t="shared" si="24"/>
        <v>-0.69544999999999813</v>
      </c>
    </row>
    <row r="105" spans="1:23" x14ac:dyDescent="0.3">
      <c r="A105">
        <v>5.2867895999999996</v>
      </c>
      <c r="B105">
        <v>0.61556</v>
      </c>
      <c r="C105">
        <f t="shared" si="13"/>
        <v>3.2543362061759997</v>
      </c>
      <c r="D105">
        <v>1.6299999999999999E-2</v>
      </c>
      <c r="E105">
        <v>3.3E-3</v>
      </c>
      <c r="F105">
        <f t="shared" si="14"/>
        <v>1057.3579199999999</v>
      </c>
      <c r="G105">
        <f t="shared" si="15"/>
        <v>-0.61556</v>
      </c>
      <c r="H105">
        <f t="shared" si="16"/>
        <v>-650.86724123519991</v>
      </c>
      <c r="I105">
        <v>1</v>
      </c>
      <c r="J105">
        <f t="shared" si="17"/>
        <v>5.5773268301977645E-2</v>
      </c>
      <c r="K105">
        <f t="shared" si="18"/>
        <v>-0.60616515177521746</v>
      </c>
      <c r="L105">
        <v>1</v>
      </c>
      <c r="M105">
        <f t="shared" si="19"/>
        <v>0.51468608888627965</v>
      </c>
      <c r="N105">
        <f t="shared" si="20"/>
        <v>8.6174670479999993E-2</v>
      </c>
      <c r="O105">
        <f t="shared" si="21"/>
        <v>1.7446405679999999E-2</v>
      </c>
      <c r="P105">
        <f t="shared" si="22"/>
        <v>-1.214201327106218E-2</v>
      </c>
      <c r="V105">
        <v>4.0999999999999996</v>
      </c>
      <c r="W105">
        <f t="shared" si="24"/>
        <v>-0.70003299999999991</v>
      </c>
    </row>
    <row r="106" spans="1:23" x14ac:dyDescent="0.3">
      <c r="A106">
        <v>5.3397440999999999</v>
      </c>
      <c r="B106">
        <v>0.61417999999999995</v>
      </c>
      <c r="C106">
        <f t="shared" si="13"/>
        <v>3.2795640313379995</v>
      </c>
      <c r="D106">
        <v>1.6299999999999999E-2</v>
      </c>
      <c r="E106">
        <v>3.3E-3</v>
      </c>
      <c r="F106">
        <f t="shared" si="14"/>
        <v>1067.9488200000001</v>
      </c>
      <c r="G106">
        <f t="shared" si="15"/>
        <v>-0.61417999999999995</v>
      </c>
      <c r="H106">
        <f t="shared" si="16"/>
        <v>-655.91280626759988</v>
      </c>
      <c r="I106">
        <v>1</v>
      </c>
      <c r="J106">
        <f t="shared" si="17"/>
        <v>6.5739818041424009E-2</v>
      </c>
      <c r="K106">
        <f t="shared" si="18"/>
        <v>-0.60754515177521751</v>
      </c>
      <c r="L106">
        <v>1</v>
      </c>
      <c r="M106">
        <f t="shared" si="19"/>
        <v>0.51514285586083841</v>
      </c>
      <c r="N106">
        <f t="shared" si="20"/>
        <v>8.7037828829999997E-2</v>
      </c>
      <c r="O106">
        <f t="shared" si="21"/>
        <v>1.7621155529999998E-2</v>
      </c>
      <c r="P106">
        <f t="shared" si="22"/>
        <v>-1.22566884456209E-2</v>
      </c>
      <c r="V106">
        <v>4.2</v>
      </c>
      <c r="W106">
        <f t="shared" si="24"/>
        <v>-0.70461600000000002</v>
      </c>
    </row>
    <row r="107" spans="1:23" x14ac:dyDescent="0.3">
      <c r="A107">
        <v>5.3916816000000001</v>
      </c>
      <c r="B107">
        <v>0.61241000000000001</v>
      </c>
      <c r="C107">
        <f t="shared" si="13"/>
        <v>3.3019197286560003</v>
      </c>
      <c r="D107">
        <v>1.6299999999999999E-2</v>
      </c>
      <c r="E107">
        <v>3.3E-3</v>
      </c>
      <c r="F107">
        <f t="shared" si="14"/>
        <v>1078.3363200000001</v>
      </c>
      <c r="G107">
        <f t="shared" si="15"/>
        <v>-0.61241000000000001</v>
      </c>
      <c r="H107">
        <f t="shared" si="16"/>
        <v>-660.38394573120001</v>
      </c>
      <c r="I107">
        <v>1</v>
      </c>
      <c r="J107">
        <f t="shared" si="17"/>
        <v>7.5419408987255521E-2</v>
      </c>
      <c r="K107">
        <f t="shared" si="18"/>
        <v>-0.60931515177521745</v>
      </c>
      <c r="L107">
        <v>1</v>
      </c>
      <c r="M107">
        <f t="shared" si="19"/>
        <v>0.51558647151388592</v>
      </c>
      <c r="N107">
        <f t="shared" si="20"/>
        <v>8.7884410079999989E-2</v>
      </c>
      <c r="O107">
        <f t="shared" si="21"/>
        <v>1.779254928E-2</v>
      </c>
      <c r="P107">
        <f t="shared" si="22"/>
        <v>-1.1948279098668468E-2</v>
      </c>
      <c r="V107">
        <v>4.3</v>
      </c>
      <c r="W107">
        <f t="shared" si="24"/>
        <v>-0.70919899999999991</v>
      </c>
    </row>
    <row r="108" spans="1:23" x14ac:dyDescent="0.3">
      <c r="A108">
        <v>5.4431089000000004</v>
      </c>
      <c r="B108">
        <v>0.61060999999999999</v>
      </c>
      <c r="C108">
        <f t="shared" si="13"/>
        <v>3.3236167254290003</v>
      </c>
      <c r="D108">
        <v>1.6299999999999999E-2</v>
      </c>
      <c r="E108">
        <v>3.3E-3</v>
      </c>
      <c r="F108">
        <f t="shared" si="14"/>
        <v>1088.6217800000002</v>
      </c>
      <c r="G108">
        <f t="shared" si="15"/>
        <v>-0.61060999999999999</v>
      </c>
      <c r="H108">
        <f t="shared" si="16"/>
        <v>-664.72334508580002</v>
      </c>
      <c r="I108">
        <v>1</v>
      </c>
      <c r="J108">
        <f t="shared" si="17"/>
        <v>8.4912474166706928E-2</v>
      </c>
      <c r="K108">
        <f t="shared" si="18"/>
        <v>-0.61111515177521747</v>
      </c>
      <c r="L108">
        <v>1</v>
      </c>
      <c r="M108">
        <f t="shared" si="19"/>
        <v>0.51602153869106016</v>
      </c>
      <c r="N108">
        <f t="shared" si="20"/>
        <v>8.8722675069999993E-2</v>
      </c>
      <c r="O108">
        <f t="shared" si="21"/>
        <v>1.7962259370000001E-2</v>
      </c>
      <c r="P108">
        <f t="shared" si="22"/>
        <v>-1.159132135584268E-2</v>
      </c>
      <c r="V108">
        <v>4.4000000000000004</v>
      </c>
      <c r="W108">
        <f t="shared" si="24"/>
        <v>-0.71378200000000003</v>
      </c>
    </row>
    <row r="109" spans="1:23" x14ac:dyDescent="0.3">
      <c r="A109">
        <v>5.4955546999999996</v>
      </c>
      <c r="B109">
        <v>0.60914000000000001</v>
      </c>
      <c r="C109">
        <f t="shared" si="13"/>
        <v>3.3475621899579999</v>
      </c>
      <c r="D109">
        <v>1.6299999999999999E-2</v>
      </c>
      <c r="E109">
        <v>3.3E-3</v>
      </c>
      <c r="F109">
        <f t="shared" si="14"/>
        <v>1099.11094</v>
      </c>
      <c r="G109">
        <f t="shared" si="15"/>
        <v>-0.60914000000000001</v>
      </c>
      <c r="H109">
        <f t="shared" si="16"/>
        <v>-669.5124379916</v>
      </c>
      <c r="I109">
        <v>1</v>
      </c>
      <c r="J109">
        <f t="shared" si="17"/>
        <v>9.4501616641579675E-2</v>
      </c>
      <c r="K109">
        <f t="shared" si="18"/>
        <v>-0.61258515177521744</v>
      </c>
      <c r="L109">
        <v>1</v>
      </c>
      <c r="M109">
        <f t="shared" si="19"/>
        <v>0.5164610090906836</v>
      </c>
      <c r="N109">
        <f t="shared" si="20"/>
        <v>8.9577541609999992E-2</v>
      </c>
      <c r="O109">
        <f t="shared" si="21"/>
        <v>1.8135330509999999E-2</v>
      </c>
      <c r="P109">
        <f t="shared" si="22"/>
        <v>-1.1588729435466148E-2</v>
      </c>
      <c r="V109">
        <v>4.5</v>
      </c>
      <c r="W109">
        <f t="shared" si="24"/>
        <v>-0.71836499999999992</v>
      </c>
    </row>
    <row r="110" spans="1:23" x14ac:dyDescent="0.3">
      <c r="A110">
        <v>5.5459639000000003</v>
      </c>
      <c r="B110">
        <v>0.60733000000000004</v>
      </c>
      <c r="C110">
        <f t="shared" si="13"/>
        <v>3.3682302553870005</v>
      </c>
      <c r="D110">
        <v>1.6299999999999999E-2</v>
      </c>
      <c r="E110">
        <v>3.3E-3</v>
      </c>
      <c r="F110">
        <f t="shared" si="14"/>
        <v>1109.1927800000001</v>
      </c>
      <c r="G110">
        <f t="shared" si="15"/>
        <v>-0.60733000000000004</v>
      </c>
      <c r="H110">
        <f t="shared" si="16"/>
        <v>-673.6460510774001</v>
      </c>
      <c r="I110">
        <v>1</v>
      </c>
      <c r="J110">
        <f t="shared" si="17"/>
        <v>0.1036325255424843</v>
      </c>
      <c r="K110">
        <f t="shared" si="18"/>
        <v>-0.61439515177521742</v>
      </c>
      <c r="L110">
        <v>1</v>
      </c>
      <c r="M110">
        <f t="shared" si="19"/>
        <v>0.51687947864561201</v>
      </c>
      <c r="N110">
        <f t="shared" si="20"/>
        <v>9.0399211569999999E-2</v>
      </c>
      <c r="O110">
        <f t="shared" si="21"/>
        <v>1.830168087E-2</v>
      </c>
      <c r="P110">
        <f t="shared" si="22"/>
        <v>-1.1185219310394592E-2</v>
      </c>
      <c r="V110">
        <v>4.5999999999999996</v>
      </c>
      <c r="W110">
        <f t="shared" si="24"/>
        <v>-0.72294799999999992</v>
      </c>
    </row>
    <row r="111" spans="1:23" x14ac:dyDescent="0.3">
      <c r="A111">
        <v>5.6009555999999998</v>
      </c>
      <c r="B111">
        <v>0.60582000000000003</v>
      </c>
      <c r="C111">
        <f t="shared" si="13"/>
        <v>3.3931709215920001</v>
      </c>
      <c r="D111">
        <v>1.6299999999999999E-2</v>
      </c>
      <c r="E111">
        <v>3.3E-3</v>
      </c>
      <c r="F111">
        <f t="shared" si="14"/>
        <v>1120.19112</v>
      </c>
      <c r="G111">
        <f t="shared" si="15"/>
        <v>-0.60582000000000003</v>
      </c>
      <c r="H111">
        <f t="shared" si="16"/>
        <v>-678.6341843184</v>
      </c>
      <c r="I111">
        <v>1</v>
      </c>
      <c r="J111">
        <f t="shared" si="17"/>
        <v>0.11349931360630967</v>
      </c>
      <c r="K111">
        <f t="shared" si="18"/>
        <v>-0.61590515177521743</v>
      </c>
      <c r="L111">
        <v>1</v>
      </c>
      <c r="M111">
        <f t="shared" si="19"/>
        <v>0.51733167354257714</v>
      </c>
      <c r="N111">
        <f t="shared" si="20"/>
        <v>9.1295576279999985E-2</v>
      </c>
      <c r="O111">
        <f t="shared" si="21"/>
        <v>1.848315348E-2</v>
      </c>
      <c r="P111">
        <f t="shared" si="22"/>
        <v>-1.1205251527359697E-2</v>
      </c>
      <c r="V111">
        <v>4.7</v>
      </c>
      <c r="W111">
        <f t="shared" si="24"/>
        <v>-0.72753099999999993</v>
      </c>
    </row>
    <row r="112" spans="1:23" x14ac:dyDescent="0.3">
      <c r="A112">
        <v>5.6523833000000003</v>
      </c>
      <c r="B112">
        <v>0.60409999999999997</v>
      </c>
      <c r="C112">
        <f t="shared" si="13"/>
        <v>3.4146047515300002</v>
      </c>
      <c r="D112">
        <v>1.6299999999999999E-2</v>
      </c>
      <c r="E112">
        <v>3.3E-3</v>
      </c>
      <c r="F112">
        <f t="shared" si="14"/>
        <v>1130.47666</v>
      </c>
      <c r="G112">
        <f t="shared" si="15"/>
        <v>-0.60409999999999997</v>
      </c>
      <c r="H112">
        <f t="shared" si="16"/>
        <v>-682.92095030600001</v>
      </c>
      <c r="I112">
        <v>1</v>
      </c>
      <c r="J112">
        <f t="shared" si="17"/>
        <v>0.12263936679078444</v>
      </c>
      <c r="K112">
        <f t="shared" si="18"/>
        <v>-0.61762515177521748</v>
      </c>
      <c r="L112">
        <v>1</v>
      </c>
      <c r="M112">
        <f t="shared" si="19"/>
        <v>0.51775056218002158</v>
      </c>
      <c r="N112">
        <f t="shared" si="20"/>
        <v>9.2133847790000001E-2</v>
      </c>
      <c r="O112">
        <f t="shared" si="21"/>
        <v>1.8652864890000002E-2</v>
      </c>
      <c r="P112">
        <f t="shared" si="22"/>
        <v>-1.0912123084804097E-2</v>
      </c>
      <c r="V112">
        <v>4.8</v>
      </c>
      <c r="W112">
        <f t="shared" si="24"/>
        <v>-0.73211399999999993</v>
      </c>
    </row>
    <row r="113" spans="1:23" x14ac:dyDescent="0.3">
      <c r="A113">
        <v>5.7053383999999996</v>
      </c>
      <c r="B113">
        <v>0.60233000000000003</v>
      </c>
      <c r="C113">
        <f t="shared" si="13"/>
        <v>3.4364964784719998</v>
      </c>
      <c r="D113">
        <v>1.6299999999999999E-2</v>
      </c>
      <c r="E113">
        <v>3.3E-3</v>
      </c>
      <c r="F113">
        <f t="shared" si="14"/>
        <v>1141.0676799999999</v>
      </c>
      <c r="G113">
        <f t="shared" si="15"/>
        <v>-0.60233000000000003</v>
      </c>
      <c r="H113">
        <f t="shared" si="16"/>
        <v>-687.29929569439992</v>
      </c>
      <c r="I113">
        <v>1</v>
      </c>
      <c r="J113">
        <f t="shared" si="17"/>
        <v>0.1319643855099234</v>
      </c>
      <c r="K113">
        <f t="shared" si="18"/>
        <v>-0.61939515177521742</v>
      </c>
      <c r="L113">
        <v>1</v>
      </c>
      <c r="M113">
        <f t="shared" si="19"/>
        <v>0.51817792778791971</v>
      </c>
      <c r="N113">
        <f t="shared" si="20"/>
        <v>9.2997015919999981E-2</v>
      </c>
      <c r="O113">
        <f t="shared" si="21"/>
        <v>1.8827616719999999E-2</v>
      </c>
      <c r="P113">
        <f t="shared" si="22"/>
        <v>-1.0607408652702269E-2</v>
      </c>
      <c r="V113">
        <v>4.9000000000000004</v>
      </c>
      <c r="W113">
        <f t="shared" si="24"/>
        <v>-0.73669699999999994</v>
      </c>
    </row>
    <row r="114" spans="1:23" x14ac:dyDescent="0.3">
      <c r="A114">
        <v>5.7562568000000001</v>
      </c>
      <c r="B114">
        <v>0.6008</v>
      </c>
      <c r="C114">
        <f t="shared" si="13"/>
        <v>3.4583590854400001</v>
      </c>
      <c r="D114">
        <v>1.6299999999999999E-2</v>
      </c>
      <c r="E114">
        <v>3.3E-3</v>
      </c>
      <c r="F114">
        <f t="shared" si="14"/>
        <v>1151.25136</v>
      </c>
      <c r="G114">
        <f t="shared" si="15"/>
        <v>-0.6008</v>
      </c>
      <c r="H114">
        <f t="shared" si="16"/>
        <v>-691.67181708800001</v>
      </c>
      <c r="I114">
        <v>1</v>
      </c>
      <c r="J114">
        <f t="shared" si="17"/>
        <v>0.14084948991132895</v>
      </c>
      <c r="K114">
        <f t="shared" si="18"/>
        <v>-0.62092515177521745</v>
      </c>
      <c r="L114">
        <v>1</v>
      </c>
      <c r="M114">
        <f t="shared" si="19"/>
        <v>0.51858513212263613</v>
      </c>
      <c r="N114">
        <f t="shared" si="20"/>
        <v>9.3826985839999988E-2</v>
      </c>
      <c r="O114">
        <f t="shared" si="21"/>
        <v>1.8995647439999999E-2</v>
      </c>
      <c r="P114">
        <f t="shared" si="22"/>
        <v>-1.048261362741866E-2</v>
      </c>
      <c r="V114">
        <v>5</v>
      </c>
      <c r="W114">
        <f t="shared" si="24"/>
        <v>-0.74127999999999994</v>
      </c>
    </row>
    <row r="115" spans="1:23" x14ac:dyDescent="0.3">
      <c r="A115">
        <v>5.8076841000000003</v>
      </c>
      <c r="B115">
        <v>0.59902</v>
      </c>
      <c r="C115">
        <f t="shared" si="13"/>
        <v>3.478918929582</v>
      </c>
      <c r="D115">
        <v>1.6299999999999999E-2</v>
      </c>
      <c r="E115">
        <v>3.3E-3</v>
      </c>
      <c r="F115">
        <f t="shared" si="14"/>
        <v>1161.53682</v>
      </c>
      <c r="G115">
        <f t="shared" si="15"/>
        <v>-0.59902</v>
      </c>
      <c r="H115">
        <f t="shared" si="16"/>
        <v>-695.78378591640001</v>
      </c>
      <c r="I115">
        <v>1</v>
      </c>
      <c r="J115">
        <f t="shared" si="17"/>
        <v>0.1497439731133102</v>
      </c>
      <c r="K115">
        <f t="shared" si="18"/>
        <v>-0.62270515177521746</v>
      </c>
      <c r="L115">
        <v>1</v>
      </c>
      <c r="M115">
        <f t="shared" si="19"/>
        <v>0.51899276628778301</v>
      </c>
      <c r="N115">
        <f t="shared" si="20"/>
        <v>9.4665250829999992E-2</v>
      </c>
      <c r="O115">
        <f t="shared" si="21"/>
        <v>1.916535753E-2</v>
      </c>
      <c r="P115">
        <f t="shared" si="22"/>
        <v>-1.0118222872565547E-2</v>
      </c>
      <c r="V115">
        <v>5.0999999999999996</v>
      </c>
      <c r="W115">
        <f t="shared" si="24"/>
        <v>-0.74586299999999994</v>
      </c>
    </row>
    <row r="116" spans="1:23" x14ac:dyDescent="0.3">
      <c r="A116">
        <v>5.8591118</v>
      </c>
      <c r="B116">
        <v>0.59738000000000002</v>
      </c>
      <c r="C116">
        <f t="shared" si="13"/>
        <v>3.500116207084</v>
      </c>
      <c r="D116">
        <v>1.6299999999999999E-2</v>
      </c>
      <c r="E116">
        <v>3.3E-3</v>
      </c>
      <c r="F116">
        <f t="shared" si="14"/>
        <v>1171.8223599999999</v>
      </c>
      <c r="G116">
        <f t="shared" si="15"/>
        <v>-0.59738000000000002</v>
      </c>
      <c r="H116">
        <f t="shared" si="16"/>
        <v>-700.02324141680003</v>
      </c>
      <c r="I116">
        <v>1</v>
      </c>
      <c r="J116">
        <f t="shared" si="17"/>
        <v>0.15856010970106241</v>
      </c>
      <c r="K116">
        <f t="shared" si="18"/>
        <v>-0.62434515177521743</v>
      </c>
      <c r="L116">
        <v>1</v>
      </c>
      <c r="M116">
        <f t="shared" si="19"/>
        <v>0.51939680982759961</v>
      </c>
      <c r="N116">
        <f t="shared" si="20"/>
        <v>9.5503522339999994E-2</v>
      </c>
      <c r="O116">
        <f t="shared" si="21"/>
        <v>1.9335068939999998E-2</v>
      </c>
      <c r="P116">
        <f t="shared" si="22"/>
        <v>-9.8902493323821741E-3</v>
      </c>
      <c r="V116">
        <v>5.2</v>
      </c>
      <c r="W116">
        <f t="shared" si="24"/>
        <v>-0.75044599999999995</v>
      </c>
    </row>
    <row r="117" spans="1:23" x14ac:dyDescent="0.3">
      <c r="A117">
        <v>5.9115580999999997</v>
      </c>
      <c r="B117">
        <v>0.59582000000000002</v>
      </c>
      <c r="C117">
        <f t="shared" si="13"/>
        <v>3.5222245471419997</v>
      </c>
      <c r="D117">
        <v>1.6299999999999999E-2</v>
      </c>
      <c r="E117">
        <v>3.3E-3</v>
      </c>
      <c r="F117">
        <f t="shared" si="14"/>
        <v>1182.3116199999999</v>
      </c>
      <c r="G117">
        <f t="shared" si="15"/>
        <v>-0.59582000000000002</v>
      </c>
      <c r="H117">
        <f t="shared" si="16"/>
        <v>-704.44490942839991</v>
      </c>
      <c r="I117">
        <v>1</v>
      </c>
      <c r="J117">
        <f t="shared" si="17"/>
        <v>0.16747152213940281</v>
      </c>
      <c r="K117">
        <f t="shared" si="18"/>
        <v>-0.62590515177521744</v>
      </c>
      <c r="L117">
        <v>1</v>
      </c>
      <c r="M117">
        <f t="shared" si="19"/>
        <v>0.51980521985964878</v>
      </c>
      <c r="N117">
        <f t="shared" si="20"/>
        <v>9.6358397029999987E-2</v>
      </c>
      <c r="O117">
        <f t="shared" si="21"/>
        <v>1.9508141729999998E-2</v>
      </c>
      <c r="P117">
        <f t="shared" si="22"/>
        <v>-9.7666068444313275E-3</v>
      </c>
      <c r="V117">
        <v>5.3</v>
      </c>
      <c r="W117">
        <f t="shared" si="24"/>
        <v>-0.75502899999999995</v>
      </c>
    </row>
    <row r="118" spans="1:23" x14ac:dyDescent="0.3">
      <c r="A118">
        <v>5.9640034000000002</v>
      </c>
      <c r="B118">
        <v>0.59406000000000003</v>
      </c>
      <c r="C118">
        <f t="shared" si="13"/>
        <v>3.5429758598040002</v>
      </c>
      <c r="D118">
        <v>1.6299999999999999E-2</v>
      </c>
      <c r="E118">
        <v>3.3E-3</v>
      </c>
      <c r="F118">
        <f t="shared" si="14"/>
        <v>1192.8006800000001</v>
      </c>
      <c r="G118">
        <f t="shared" si="15"/>
        <v>-0.59406000000000003</v>
      </c>
      <c r="H118">
        <f t="shared" si="16"/>
        <v>-708.59517196080003</v>
      </c>
      <c r="I118">
        <v>1</v>
      </c>
      <c r="J118">
        <f t="shared" si="17"/>
        <v>0.17630405455541887</v>
      </c>
      <c r="K118">
        <f t="shared" si="18"/>
        <v>-0.62766515177521742</v>
      </c>
      <c r="L118">
        <v>1</v>
      </c>
      <c r="M118">
        <f t="shared" si="19"/>
        <v>0.52021001482027485</v>
      </c>
      <c r="N118">
        <f t="shared" si="20"/>
        <v>9.7213255419999992E-2</v>
      </c>
      <c r="O118">
        <f t="shared" si="21"/>
        <v>1.9681211220000001E-2</v>
      </c>
      <c r="P118">
        <f t="shared" si="22"/>
        <v>-9.4393296850574168E-3</v>
      </c>
      <c r="V118">
        <v>5.4</v>
      </c>
      <c r="W118">
        <f t="shared" si="24"/>
        <v>-0.75961199999999995</v>
      </c>
    </row>
    <row r="119" spans="1:23" x14ac:dyDescent="0.3">
      <c r="A119">
        <v>6.0154312000000001</v>
      </c>
      <c r="B119">
        <v>0.59250999999999998</v>
      </c>
      <c r="C119">
        <f t="shared" si="13"/>
        <v>3.5642031403119998</v>
      </c>
      <c r="D119">
        <v>1.6299999999999999E-2</v>
      </c>
      <c r="E119">
        <v>3.3E-3</v>
      </c>
      <c r="F119">
        <f t="shared" si="14"/>
        <v>1203.0862400000001</v>
      </c>
      <c r="G119">
        <f t="shared" si="15"/>
        <v>-0.59250999999999998</v>
      </c>
      <c r="H119">
        <f t="shared" si="16"/>
        <v>-712.84062806240001</v>
      </c>
      <c r="I119">
        <v>1</v>
      </c>
      <c r="J119">
        <f t="shared" si="17"/>
        <v>0.18489012187116624</v>
      </c>
      <c r="K119">
        <f t="shared" si="18"/>
        <v>-0.62921515177521747</v>
      </c>
      <c r="L119">
        <v>1</v>
      </c>
      <c r="M119">
        <f t="shared" si="19"/>
        <v>0.52060351428535556</v>
      </c>
      <c r="N119">
        <f t="shared" si="20"/>
        <v>9.805152855999999E-2</v>
      </c>
      <c r="O119">
        <f t="shared" si="21"/>
        <v>1.985092296E-2</v>
      </c>
      <c r="P119">
        <f t="shared" si="22"/>
        <v>-9.2908140301380775E-3</v>
      </c>
      <c r="V119">
        <v>5.5</v>
      </c>
      <c r="W119">
        <f t="shared" si="24"/>
        <v>-0.76419499999999996</v>
      </c>
    </row>
    <row r="120" spans="1:23" x14ac:dyDescent="0.3">
      <c r="A120">
        <v>6.0678770000000002</v>
      </c>
      <c r="B120">
        <v>0.59094999999999998</v>
      </c>
      <c r="C120">
        <f t="shared" si="13"/>
        <v>3.5858119131500001</v>
      </c>
      <c r="D120">
        <v>1.6299999999999999E-2</v>
      </c>
      <c r="E120">
        <v>3.3E-3</v>
      </c>
      <c r="F120">
        <f t="shared" si="14"/>
        <v>1213.5753999999999</v>
      </c>
      <c r="G120">
        <f t="shared" si="15"/>
        <v>-0.59094999999999998</v>
      </c>
      <c r="H120">
        <f t="shared" si="16"/>
        <v>-717.16238263000002</v>
      </c>
      <c r="I120">
        <v>1</v>
      </c>
      <c r="J120">
        <f t="shared" si="17"/>
        <v>0.19357087857647035</v>
      </c>
      <c r="K120">
        <f t="shared" si="18"/>
        <v>-0.63077515177521748</v>
      </c>
      <c r="L120">
        <v>1</v>
      </c>
      <c r="M120">
        <f t="shared" si="19"/>
        <v>0.52100135336515963</v>
      </c>
      <c r="N120">
        <f t="shared" si="20"/>
        <v>9.8906395099999989E-2</v>
      </c>
      <c r="O120">
        <f t="shared" si="21"/>
        <v>2.0023994100000001E-2</v>
      </c>
      <c r="P120">
        <f t="shared" si="22"/>
        <v>-9.1565907899421352E-3</v>
      </c>
      <c r="V120">
        <v>5.6</v>
      </c>
      <c r="W120">
        <f t="shared" si="24"/>
        <v>-0.76877799999999996</v>
      </c>
    </row>
    <row r="121" spans="1:23" x14ac:dyDescent="0.3">
      <c r="A121">
        <v>6.1193046999999998</v>
      </c>
      <c r="B121">
        <v>0.58921000000000001</v>
      </c>
      <c r="C121">
        <f t="shared" si="13"/>
        <v>3.6055555222870002</v>
      </c>
      <c r="D121">
        <v>1.6299999999999999E-2</v>
      </c>
      <c r="E121">
        <v>3.3E-3</v>
      </c>
      <c r="F121">
        <f t="shared" si="14"/>
        <v>1223.86094</v>
      </c>
      <c r="G121">
        <f t="shared" si="15"/>
        <v>-0.58921000000000001</v>
      </c>
      <c r="H121">
        <f t="shared" si="16"/>
        <v>-721.11110445740007</v>
      </c>
      <c r="I121">
        <v>1</v>
      </c>
      <c r="J121">
        <f t="shared" si="17"/>
        <v>0.2020105665247921</v>
      </c>
      <c r="K121">
        <f t="shared" si="18"/>
        <v>-0.63251515177521744</v>
      </c>
      <c r="L121">
        <v>1</v>
      </c>
      <c r="M121">
        <f t="shared" si="19"/>
        <v>0.52138814426383118</v>
      </c>
      <c r="N121">
        <f t="shared" si="20"/>
        <v>9.9744666609999991E-2</v>
      </c>
      <c r="O121">
        <f t="shared" si="21"/>
        <v>2.019370551E-2</v>
      </c>
      <c r="P121">
        <f t="shared" si="22"/>
        <v>-8.811364608613724E-3</v>
      </c>
      <c r="V121">
        <v>5.7</v>
      </c>
      <c r="W121">
        <f t="shared" si="24"/>
        <v>-0.77336099999999997</v>
      </c>
    </row>
    <row r="122" spans="1:23" x14ac:dyDescent="0.3">
      <c r="A122">
        <v>6.1712411999999999</v>
      </c>
      <c r="B122">
        <v>0.58764000000000005</v>
      </c>
      <c r="C122">
        <f t="shared" si="13"/>
        <v>3.6264681787680004</v>
      </c>
      <c r="D122">
        <v>1.6299999999999999E-2</v>
      </c>
      <c r="E122">
        <v>3.3E-3</v>
      </c>
      <c r="F122">
        <f t="shared" si="14"/>
        <v>1234.2482399999999</v>
      </c>
      <c r="G122">
        <f t="shared" si="15"/>
        <v>-0.58764000000000005</v>
      </c>
      <c r="H122">
        <f t="shared" si="16"/>
        <v>-725.29363575360003</v>
      </c>
      <c r="I122">
        <v>1</v>
      </c>
      <c r="J122">
        <f t="shared" si="17"/>
        <v>0.21046207218863189</v>
      </c>
      <c r="K122">
        <f t="shared" si="18"/>
        <v>-0.6340851517752174</v>
      </c>
      <c r="L122">
        <v>1</v>
      </c>
      <c r="M122">
        <f t="shared" si="19"/>
        <v>0.52177547676840497</v>
      </c>
      <c r="N122">
        <f t="shared" si="20"/>
        <v>0.10059123155999999</v>
      </c>
      <c r="O122">
        <f t="shared" si="21"/>
        <v>2.0365095959999999E-2</v>
      </c>
      <c r="P122">
        <f t="shared" si="22"/>
        <v>-8.6466525131875561E-3</v>
      </c>
      <c r="V122">
        <v>5.8</v>
      </c>
      <c r="W122">
        <f t="shared" si="24"/>
        <v>-0.77794399999999997</v>
      </c>
    </row>
    <row r="123" spans="1:23" x14ac:dyDescent="0.3">
      <c r="A123">
        <v>6.2272509999999999</v>
      </c>
      <c r="B123">
        <v>0.58594000000000002</v>
      </c>
      <c r="C123">
        <f t="shared" si="13"/>
        <v>3.6487954509400002</v>
      </c>
      <c r="D123">
        <v>1.6299999999999999E-2</v>
      </c>
      <c r="E123">
        <v>3.3E-3</v>
      </c>
      <c r="F123">
        <f t="shared" si="14"/>
        <v>1245.4502</v>
      </c>
      <c r="G123">
        <f t="shared" si="15"/>
        <v>-0.58594000000000002</v>
      </c>
      <c r="H123">
        <f t="shared" si="16"/>
        <v>-729.75909018800007</v>
      </c>
      <c r="I123">
        <v>1</v>
      </c>
      <c r="J123">
        <f t="shared" si="17"/>
        <v>0.21949707097852708</v>
      </c>
      <c r="K123">
        <f t="shared" si="18"/>
        <v>-0.63578515177521744</v>
      </c>
      <c r="L123">
        <v>1</v>
      </c>
      <c r="M123">
        <f t="shared" si="19"/>
        <v>0.52218955076294582</v>
      </c>
      <c r="N123">
        <f t="shared" si="20"/>
        <v>0.10150419129999999</v>
      </c>
      <c r="O123">
        <f t="shared" si="21"/>
        <v>2.0549928299999999E-2</v>
      </c>
      <c r="P123">
        <f t="shared" si="22"/>
        <v>-8.4585185877283711E-3</v>
      </c>
      <c r="V123">
        <v>5.9</v>
      </c>
      <c r="W123">
        <f t="shared" si="24"/>
        <v>-0.78252699999999997</v>
      </c>
    </row>
    <row r="124" spans="1:23" x14ac:dyDescent="0.3">
      <c r="A124">
        <v>6.2858071000000004</v>
      </c>
      <c r="B124">
        <v>0.58428000000000002</v>
      </c>
      <c r="C124">
        <f t="shared" si="13"/>
        <v>3.6726713723880002</v>
      </c>
      <c r="D124">
        <v>1.6299999999999999E-2</v>
      </c>
      <c r="E124">
        <v>3.3E-3</v>
      </c>
      <c r="F124">
        <f t="shared" si="14"/>
        <v>1257.1614200000001</v>
      </c>
      <c r="G124">
        <f t="shared" si="15"/>
        <v>-0.58428000000000002</v>
      </c>
      <c r="H124">
        <f t="shared" si="16"/>
        <v>-734.53427447760009</v>
      </c>
      <c r="I124">
        <v>1</v>
      </c>
      <c r="J124">
        <f t="shared" si="17"/>
        <v>0.22885633822892348</v>
      </c>
      <c r="K124">
        <f t="shared" si="18"/>
        <v>-0.63744515177521743</v>
      </c>
      <c r="L124">
        <v>1</v>
      </c>
      <c r="M124">
        <f t="shared" si="19"/>
        <v>0.52261848598103156</v>
      </c>
      <c r="N124">
        <f t="shared" si="20"/>
        <v>0.10245865573</v>
      </c>
      <c r="O124">
        <f t="shared" si="21"/>
        <v>2.0743163430000003E-2</v>
      </c>
      <c r="P124">
        <f t="shared" si="22"/>
        <v>-8.3751533658141253E-3</v>
      </c>
      <c r="V124">
        <v>6</v>
      </c>
      <c r="W124">
        <f t="shared" si="24"/>
        <v>-0.78710999999999998</v>
      </c>
    </row>
    <row r="125" spans="1:23" x14ac:dyDescent="0.3">
      <c r="A125">
        <v>6.3362157999999997</v>
      </c>
      <c r="B125">
        <v>0.58243</v>
      </c>
      <c r="C125">
        <f t="shared" si="13"/>
        <v>3.6904021683939998</v>
      </c>
      <c r="D125">
        <v>1.6299999999999999E-2</v>
      </c>
      <c r="E125">
        <v>3.3E-3</v>
      </c>
      <c r="F125">
        <f t="shared" si="14"/>
        <v>1267.24316</v>
      </c>
      <c r="G125">
        <f t="shared" si="15"/>
        <v>-0.58243</v>
      </c>
      <c r="H125">
        <f t="shared" si="16"/>
        <v>-738.08043367879998</v>
      </c>
      <c r="I125">
        <v>1</v>
      </c>
      <c r="J125">
        <f t="shared" si="17"/>
        <v>0.23684380084145246</v>
      </c>
      <c r="K125">
        <f t="shared" si="18"/>
        <v>-0.63929515177521745</v>
      </c>
      <c r="L125">
        <v>1</v>
      </c>
      <c r="M125">
        <f t="shared" si="19"/>
        <v>0.52298455139256372</v>
      </c>
      <c r="N125">
        <f t="shared" si="20"/>
        <v>0.10328031753999999</v>
      </c>
      <c r="O125">
        <f t="shared" si="21"/>
        <v>2.0909512139999999E-2</v>
      </c>
      <c r="P125">
        <f t="shared" si="22"/>
        <v>-7.8792292973462567E-3</v>
      </c>
      <c r="V125">
        <v>6.1</v>
      </c>
      <c r="W125">
        <f t="shared" si="24"/>
        <v>-0.79169299999999998</v>
      </c>
    </row>
    <row r="126" spans="1:23" x14ac:dyDescent="0.3">
      <c r="A126">
        <v>6.3932450999999997</v>
      </c>
      <c r="B126">
        <v>0.58070999999999995</v>
      </c>
      <c r="C126">
        <f t="shared" si="13"/>
        <v>3.7126213620209993</v>
      </c>
      <c r="D126">
        <v>1.6299999999999999E-2</v>
      </c>
      <c r="E126">
        <v>3.3E-3</v>
      </c>
      <c r="F126">
        <f t="shared" si="14"/>
        <v>1278.6490199999998</v>
      </c>
      <c r="G126">
        <f t="shared" si="15"/>
        <v>-0.58070999999999995</v>
      </c>
      <c r="H126">
        <f t="shared" si="16"/>
        <v>-742.52427240419991</v>
      </c>
      <c r="I126">
        <v>1</v>
      </c>
      <c r="J126">
        <f t="shared" si="17"/>
        <v>0.24580406742364727</v>
      </c>
      <c r="K126">
        <f t="shared" si="18"/>
        <v>-0.64101515177521751</v>
      </c>
      <c r="L126">
        <v>1</v>
      </c>
      <c r="M126">
        <f t="shared" si="19"/>
        <v>0.52339520041002574</v>
      </c>
      <c r="N126">
        <f t="shared" si="20"/>
        <v>0.10420989512999998</v>
      </c>
      <c r="O126">
        <f t="shared" si="21"/>
        <v>2.1097708829999999E-2</v>
      </c>
      <c r="P126">
        <f t="shared" si="22"/>
        <v>-7.6876525948082128E-3</v>
      </c>
      <c r="V126">
        <v>6.2</v>
      </c>
      <c r="W126">
        <f t="shared" si="24"/>
        <v>-0.79627599999999998</v>
      </c>
    </row>
    <row r="127" spans="1:23" x14ac:dyDescent="0.3">
      <c r="A127">
        <v>6.4456898999999996</v>
      </c>
      <c r="B127">
        <v>0.57913000000000003</v>
      </c>
      <c r="C127">
        <f t="shared" si="13"/>
        <v>3.7328923917869998</v>
      </c>
      <c r="D127">
        <v>1.6299999999999999E-2</v>
      </c>
      <c r="E127">
        <v>3.3E-3</v>
      </c>
      <c r="F127">
        <f t="shared" si="14"/>
        <v>1289.13798</v>
      </c>
      <c r="G127">
        <f t="shared" si="15"/>
        <v>-0.57913000000000003</v>
      </c>
      <c r="H127">
        <f t="shared" si="16"/>
        <v>-746.57847835739994</v>
      </c>
      <c r="I127">
        <v>1</v>
      </c>
      <c r="J127">
        <f t="shared" si="17"/>
        <v>0.25397376244855246</v>
      </c>
      <c r="K127">
        <f t="shared" si="18"/>
        <v>-0.64259515177521742</v>
      </c>
      <c r="L127">
        <v>1</v>
      </c>
      <c r="M127">
        <f t="shared" si="19"/>
        <v>0.5237696175330171</v>
      </c>
      <c r="N127">
        <f t="shared" si="20"/>
        <v>0.10506474536999999</v>
      </c>
      <c r="O127">
        <f t="shared" si="21"/>
        <v>2.1270776669999998E-2</v>
      </c>
      <c r="P127">
        <f t="shared" si="22"/>
        <v>-7.5099877977996624E-3</v>
      </c>
      <c r="V127">
        <v>6.3</v>
      </c>
      <c r="W127">
        <f t="shared" si="24"/>
        <v>-0.80085899999999999</v>
      </c>
    </row>
    <row r="128" spans="1:23" x14ac:dyDescent="0.3">
      <c r="A128">
        <v>6.4960996</v>
      </c>
      <c r="B128">
        <v>0.57737000000000005</v>
      </c>
      <c r="C128">
        <f t="shared" si="13"/>
        <v>3.7506530260520003</v>
      </c>
      <c r="D128">
        <v>1.6299999999999999E-2</v>
      </c>
      <c r="E128">
        <v>3.3E-3</v>
      </c>
      <c r="F128">
        <f t="shared" si="14"/>
        <v>1299.21992</v>
      </c>
      <c r="G128">
        <f t="shared" si="15"/>
        <v>-0.57737000000000005</v>
      </c>
      <c r="H128">
        <f t="shared" si="16"/>
        <v>-750.13060521040006</v>
      </c>
      <c r="I128">
        <v>1</v>
      </c>
      <c r="J128">
        <f t="shared" si="17"/>
        <v>0.26176402282005001</v>
      </c>
      <c r="K128">
        <f t="shared" si="18"/>
        <v>-0.64435515177521741</v>
      </c>
      <c r="L128">
        <v>1</v>
      </c>
      <c r="M128">
        <f t="shared" si="19"/>
        <v>0.52412664516584284</v>
      </c>
      <c r="N128">
        <f t="shared" si="20"/>
        <v>0.10588642347999999</v>
      </c>
      <c r="O128">
        <f t="shared" si="21"/>
        <v>2.143712868E-2</v>
      </c>
      <c r="P128">
        <f t="shared" si="22"/>
        <v>-7.0950455506254284E-3</v>
      </c>
      <c r="V128">
        <v>6.4</v>
      </c>
      <c r="W128">
        <f t="shared" si="24"/>
        <v>-0.80544199999999999</v>
      </c>
    </row>
    <row r="129" spans="1:23" x14ac:dyDescent="0.3">
      <c r="A129">
        <v>6.5480361</v>
      </c>
      <c r="B129">
        <v>0.57589999999999997</v>
      </c>
      <c r="C129">
        <f t="shared" si="13"/>
        <v>3.7710139899899997</v>
      </c>
      <c r="D129">
        <v>1.6299999999999999E-2</v>
      </c>
      <c r="E129">
        <v>3.3E-3</v>
      </c>
      <c r="F129">
        <f t="shared" si="14"/>
        <v>1309.6072200000001</v>
      </c>
      <c r="G129">
        <f t="shared" si="15"/>
        <v>-0.57589999999999997</v>
      </c>
      <c r="H129">
        <f t="shared" si="16"/>
        <v>-754.20279799799994</v>
      </c>
      <c r="I129">
        <v>1</v>
      </c>
      <c r="J129">
        <f t="shared" si="17"/>
        <v>0.26972726019337229</v>
      </c>
      <c r="K129">
        <f t="shared" si="18"/>
        <v>-0.64582515177521749</v>
      </c>
      <c r="L129">
        <v>1</v>
      </c>
      <c r="M129">
        <f t="shared" si="19"/>
        <v>0.52449160033466224</v>
      </c>
      <c r="N129">
        <f t="shared" si="20"/>
        <v>0.10673298842999999</v>
      </c>
      <c r="O129">
        <f t="shared" si="21"/>
        <v>2.160851913E-2</v>
      </c>
      <c r="P129">
        <f t="shared" si="22"/>
        <v>-7.0079561194447519E-3</v>
      </c>
      <c r="V129">
        <v>6.5</v>
      </c>
      <c r="W129">
        <f t="shared" si="24"/>
        <v>-0.810025</v>
      </c>
    </row>
    <row r="130" spans="1:23" x14ac:dyDescent="0.3">
      <c r="A130">
        <v>6.6004819000000001</v>
      </c>
      <c r="B130">
        <v>0.57413000000000003</v>
      </c>
      <c r="C130">
        <f t="shared" si="13"/>
        <v>3.7895346732470001</v>
      </c>
      <c r="D130">
        <v>1.6299999999999999E-2</v>
      </c>
      <c r="E130">
        <v>3.3E-3</v>
      </c>
      <c r="F130">
        <f t="shared" si="14"/>
        <v>1320.09638</v>
      </c>
      <c r="G130">
        <f t="shared" si="15"/>
        <v>-0.57413000000000003</v>
      </c>
      <c r="H130">
        <f t="shared" si="16"/>
        <v>-757.9069346494</v>
      </c>
      <c r="I130">
        <v>1</v>
      </c>
      <c r="J130">
        <f t="shared" si="17"/>
        <v>0.27770474908431808</v>
      </c>
      <c r="K130">
        <f t="shared" si="18"/>
        <v>-0.64759515177521743</v>
      </c>
      <c r="L130">
        <v>1</v>
      </c>
      <c r="M130">
        <f t="shared" si="19"/>
        <v>0.52485720865053431</v>
      </c>
      <c r="N130">
        <f t="shared" si="20"/>
        <v>0.10758785496999999</v>
      </c>
      <c r="O130">
        <f t="shared" si="21"/>
        <v>2.1781590270000002E-2</v>
      </c>
      <c r="P130">
        <f t="shared" si="22"/>
        <v>-6.631502115316882E-3</v>
      </c>
      <c r="V130">
        <v>6.6</v>
      </c>
      <c r="W130">
        <f t="shared" si="24"/>
        <v>-0.814608</v>
      </c>
    </row>
    <row r="131" spans="1:23" x14ac:dyDescent="0.3">
      <c r="A131">
        <v>6.6539463000000003</v>
      </c>
      <c r="B131">
        <v>0.57255999999999996</v>
      </c>
      <c r="C131">
        <f t="shared" si="13"/>
        <v>3.8097834935279997</v>
      </c>
      <c r="D131">
        <v>1.6299999999999999E-2</v>
      </c>
      <c r="E131">
        <v>3.3E-3</v>
      </c>
      <c r="F131">
        <f t="shared" si="14"/>
        <v>1330.78926</v>
      </c>
      <c r="G131">
        <f t="shared" si="15"/>
        <v>-0.57255999999999996</v>
      </c>
      <c r="H131">
        <f t="shared" si="16"/>
        <v>-761.95669870559993</v>
      </c>
      <c r="I131">
        <v>1</v>
      </c>
      <c r="J131">
        <f t="shared" si="17"/>
        <v>0.28577219479598537</v>
      </c>
      <c r="K131">
        <f t="shared" si="18"/>
        <v>-0.6491651517752175</v>
      </c>
      <c r="L131">
        <v>1</v>
      </c>
      <c r="M131">
        <f t="shared" si="19"/>
        <v>0.52522693968750001</v>
      </c>
      <c r="N131">
        <f t="shared" si="20"/>
        <v>0.10845932469</v>
      </c>
      <c r="O131">
        <f t="shared" si="21"/>
        <v>2.195802279E-2</v>
      </c>
      <c r="P131">
        <f t="shared" si="22"/>
        <v>-6.4791353922825055E-3</v>
      </c>
      <c r="V131">
        <v>6.7</v>
      </c>
      <c r="W131">
        <f t="shared" si="24"/>
        <v>-0.819191</v>
      </c>
    </row>
    <row r="132" spans="1:23" x14ac:dyDescent="0.3">
      <c r="A132">
        <v>6.7058833</v>
      </c>
      <c r="B132">
        <v>0.57108999999999999</v>
      </c>
      <c r="C132">
        <f t="shared" ref="C132:C195" si="25">A132*B132</f>
        <v>3.8296628937969999</v>
      </c>
      <c r="D132">
        <v>1.6299999999999999E-2</v>
      </c>
      <c r="E132">
        <v>3.3E-3</v>
      </c>
      <c r="F132">
        <f t="shared" ref="F132:F195" si="26">A132*200</f>
        <v>1341.1766600000001</v>
      </c>
      <c r="G132">
        <f t="shared" ref="G132:G195" si="27">-B132</f>
        <v>-0.57108999999999999</v>
      </c>
      <c r="H132">
        <f t="shared" ref="H132:H195" si="28">-C132*200</f>
        <v>-765.93257875940003</v>
      </c>
      <c r="I132">
        <v>1</v>
      </c>
      <c r="J132">
        <f t="shared" ref="J132:J195" si="29">LN(F132/1000)</f>
        <v>0.2935473331322393</v>
      </c>
      <c r="K132">
        <f t="shared" ref="K132:K195" si="30">((-G132)-$N$2)</f>
        <v>-0.65063515177521747</v>
      </c>
      <c r="L132">
        <v>1</v>
      </c>
      <c r="M132">
        <f t="shared" ref="M132:M195" si="31">-1*($S$4+($S$5*J132))</f>
        <v>0.52558327427745055</v>
      </c>
      <c r="N132">
        <f t="shared" ref="N132:N195" si="32">D132*A132</f>
        <v>0.10930589779</v>
      </c>
      <c r="O132">
        <f t="shared" ref="O132:O195" si="33">E132*A132</f>
        <v>2.2129414890000001E-2</v>
      </c>
      <c r="P132">
        <f t="shared" ref="P132:P195" si="34">-K132-M132-N132-O132</f>
        <v>-6.3834351822330791E-3</v>
      </c>
      <c r="V132">
        <v>6.8</v>
      </c>
      <c r="W132">
        <f t="shared" ref="W132:W163" si="35">V132*$S$5+$S$4</f>
        <v>-0.82377400000000001</v>
      </c>
    </row>
    <row r="133" spans="1:23" x14ac:dyDescent="0.3">
      <c r="A133">
        <v>6.7573100999999998</v>
      </c>
      <c r="B133">
        <v>0.56925999999999999</v>
      </c>
      <c r="C133">
        <f t="shared" si="25"/>
        <v>3.8466663475259999</v>
      </c>
      <c r="D133">
        <v>1.6299999999999999E-2</v>
      </c>
      <c r="E133">
        <v>3.3E-3</v>
      </c>
      <c r="F133">
        <f t="shared" si="26"/>
        <v>1351.4620199999999</v>
      </c>
      <c r="G133">
        <f t="shared" si="27"/>
        <v>-0.56925999999999999</v>
      </c>
      <c r="H133">
        <f t="shared" si="28"/>
        <v>-769.33326950519995</v>
      </c>
      <c r="I133">
        <v>1</v>
      </c>
      <c r="J133">
        <f t="shared" si="29"/>
        <v>0.3011869842307256</v>
      </c>
      <c r="K133">
        <f t="shared" si="30"/>
        <v>-0.65246515177521747</v>
      </c>
      <c r="L133">
        <v>1</v>
      </c>
      <c r="M133">
        <f t="shared" si="31"/>
        <v>0.52593339948729412</v>
      </c>
      <c r="N133">
        <f t="shared" si="32"/>
        <v>0.11014415462999999</v>
      </c>
      <c r="O133">
        <f t="shared" si="33"/>
        <v>2.229912333E-2</v>
      </c>
      <c r="P133">
        <f t="shared" si="34"/>
        <v>-5.9115256720766417E-3</v>
      </c>
      <c r="V133">
        <v>6.9</v>
      </c>
      <c r="W133">
        <f t="shared" si="35"/>
        <v>-0.82835700000000001</v>
      </c>
    </row>
    <row r="134" spans="1:23" x14ac:dyDescent="0.3">
      <c r="A134">
        <v>6.8082295000000004</v>
      </c>
      <c r="B134">
        <v>0.56759999999999999</v>
      </c>
      <c r="C134">
        <f t="shared" si="25"/>
        <v>3.8643510642000001</v>
      </c>
      <c r="D134">
        <v>1.6299999999999999E-2</v>
      </c>
      <c r="E134">
        <v>3.3E-3</v>
      </c>
      <c r="F134">
        <f t="shared" si="26"/>
        <v>1361.6459</v>
      </c>
      <c r="G134">
        <f t="shared" si="27"/>
        <v>-0.56759999999999999</v>
      </c>
      <c r="H134">
        <f t="shared" si="28"/>
        <v>-772.87021284000002</v>
      </c>
      <c r="I134">
        <v>1</v>
      </c>
      <c r="J134">
        <f t="shared" si="29"/>
        <v>0.30869418860956749</v>
      </c>
      <c r="K134">
        <f t="shared" si="30"/>
        <v>-0.65412515177521746</v>
      </c>
      <c r="L134">
        <v>1</v>
      </c>
      <c r="M134">
        <f t="shared" si="31"/>
        <v>0.52627745466397646</v>
      </c>
      <c r="N134">
        <f t="shared" si="32"/>
        <v>0.11097414085</v>
      </c>
      <c r="O134">
        <f t="shared" si="33"/>
        <v>2.2467157350000003E-2</v>
      </c>
      <c r="P134">
        <f t="shared" si="34"/>
        <v>-5.5936010887590037E-3</v>
      </c>
      <c r="V134">
        <v>7</v>
      </c>
      <c r="W134">
        <f t="shared" si="35"/>
        <v>-0.83294000000000001</v>
      </c>
    </row>
    <row r="135" spans="1:23" x14ac:dyDescent="0.3">
      <c r="A135">
        <v>6.8601660000000004</v>
      </c>
      <c r="B135">
        <v>0.56601000000000001</v>
      </c>
      <c r="C135">
        <f t="shared" si="25"/>
        <v>3.8829225576600002</v>
      </c>
      <c r="D135">
        <v>1.6299999999999999E-2</v>
      </c>
      <c r="E135">
        <v>3.3E-3</v>
      </c>
      <c r="F135">
        <f t="shared" si="26"/>
        <v>1372.0332000000001</v>
      </c>
      <c r="G135">
        <f t="shared" si="27"/>
        <v>-0.56601000000000001</v>
      </c>
      <c r="H135">
        <f t="shared" si="28"/>
        <v>-776.58451153200008</v>
      </c>
      <c r="I135">
        <v>1</v>
      </c>
      <c r="J135">
        <f t="shared" si="29"/>
        <v>0.3162937272616495</v>
      </c>
      <c r="K135">
        <f t="shared" si="30"/>
        <v>-0.65571515177521744</v>
      </c>
      <c r="L135">
        <v>1</v>
      </c>
      <c r="M135">
        <f t="shared" si="31"/>
        <v>0.52662574152040142</v>
      </c>
      <c r="N135">
        <f t="shared" si="32"/>
        <v>0.1118207058</v>
      </c>
      <c r="O135">
        <f t="shared" si="33"/>
        <v>2.2638547800000002E-2</v>
      </c>
      <c r="P135">
        <f t="shared" si="34"/>
        <v>-5.3698433451839882E-3</v>
      </c>
      <c r="V135">
        <v>7.1</v>
      </c>
      <c r="W135">
        <f t="shared" si="35"/>
        <v>-0.83752300000000002</v>
      </c>
    </row>
    <row r="136" spans="1:23" x14ac:dyDescent="0.3">
      <c r="A136">
        <v>6.9105746999999997</v>
      </c>
      <c r="B136">
        <v>0.56474999999999997</v>
      </c>
      <c r="C136">
        <f t="shared" si="25"/>
        <v>3.9027470618249995</v>
      </c>
      <c r="D136">
        <v>1.6299999999999999E-2</v>
      </c>
      <c r="E136">
        <v>3.3E-3</v>
      </c>
      <c r="F136">
        <f t="shared" si="26"/>
        <v>1382.1149399999999</v>
      </c>
      <c r="G136">
        <f t="shared" si="27"/>
        <v>-0.56474999999999997</v>
      </c>
      <c r="H136">
        <f t="shared" si="28"/>
        <v>-780.54941236499985</v>
      </c>
      <c r="I136">
        <v>1</v>
      </c>
      <c r="J136">
        <f t="shared" si="29"/>
        <v>0.32361489120692827</v>
      </c>
      <c r="K136">
        <f t="shared" si="30"/>
        <v>-0.65697515177521748</v>
      </c>
      <c r="L136">
        <v>1</v>
      </c>
      <c r="M136">
        <f t="shared" si="31"/>
        <v>0.52696127046401353</v>
      </c>
      <c r="N136">
        <f t="shared" si="32"/>
        <v>0.11264236760999999</v>
      </c>
      <c r="O136">
        <f t="shared" si="33"/>
        <v>2.2804896509999999E-2</v>
      </c>
      <c r="P136">
        <f t="shared" si="34"/>
        <v>-5.4333828087960376E-3</v>
      </c>
      <c r="V136">
        <v>7.2</v>
      </c>
      <c r="W136">
        <f t="shared" si="35"/>
        <v>-0.84210600000000002</v>
      </c>
    </row>
    <row r="137" spans="1:23" x14ac:dyDescent="0.3">
      <c r="A137">
        <v>6.962002</v>
      </c>
      <c r="B137">
        <v>0.56296000000000002</v>
      </c>
      <c r="C137">
        <f t="shared" si="25"/>
        <v>3.9193286459200003</v>
      </c>
      <c r="D137">
        <v>1.6299999999999999E-2</v>
      </c>
      <c r="E137">
        <v>3.3E-3</v>
      </c>
      <c r="F137">
        <f t="shared" si="26"/>
        <v>1392.4004</v>
      </c>
      <c r="G137">
        <f t="shared" si="27"/>
        <v>-0.56296000000000002</v>
      </c>
      <c r="H137">
        <f t="shared" si="28"/>
        <v>-783.86572918400009</v>
      </c>
      <c r="I137">
        <v>1</v>
      </c>
      <c r="J137">
        <f t="shared" si="29"/>
        <v>0.33102916422887751</v>
      </c>
      <c r="K137">
        <f t="shared" si="30"/>
        <v>-0.65876515177521744</v>
      </c>
      <c r="L137">
        <v>1</v>
      </c>
      <c r="M137">
        <f t="shared" si="31"/>
        <v>0.52730106659660947</v>
      </c>
      <c r="N137">
        <f t="shared" si="32"/>
        <v>0.11348063259999999</v>
      </c>
      <c r="O137">
        <f t="shared" si="33"/>
        <v>2.2974606599999999E-2</v>
      </c>
      <c r="P137">
        <f t="shared" si="34"/>
        <v>-4.9911540213920212E-3</v>
      </c>
      <c r="V137">
        <v>7.3</v>
      </c>
      <c r="W137">
        <f t="shared" si="35"/>
        <v>-0.84668900000000002</v>
      </c>
    </row>
    <row r="138" spans="1:23" x14ac:dyDescent="0.3">
      <c r="A138">
        <v>7.0175033999999998</v>
      </c>
      <c r="B138">
        <v>0.56150999999999995</v>
      </c>
      <c r="C138">
        <f t="shared" si="25"/>
        <v>3.9403983341339996</v>
      </c>
      <c r="D138">
        <v>1.6299999999999999E-2</v>
      </c>
      <c r="E138">
        <v>3.3E-3</v>
      </c>
      <c r="F138">
        <f t="shared" si="26"/>
        <v>1403.5006799999999</v>
      </c>
      <c r="G138">
        <f t="shared" si="27"/>
        <v>-0.56150999999999995</v>
      </c>
      <c r="H138">
        <f t="shared" si="28"/>
        <v>-788.07966682679989</v>
      </c>
      <c r="I138">
        <v>1</v>
      </c>
      <c r="J138">
        <f t="shared" si="29"/>
        <v>0.33896960132271076</v>
      </c>
      <c r="K138">
        <f t="shared" si="30"/>
        <v>-0.6602151517752175</v>
      </c>
      <c r="L138">
        <v>1</v>
      </c>
      <c r="M138">
        <f t="shared" si="31"/>
        <v>0.52766497682861979</v>
      </c>
      <c r="N138">
        <f t="shared" si="32"/>
        <v>0.11438530541999999</v>
      </c>
      <c r="O138">
        <f t="shared" si="33"/>
        <v>2.315776122E-2</v>
      </c>
      <c r="P138">
        <f t="shared" si="34"/>
        <v>-4.9928916934022759E-3</v>
      </c>
      <c r="V138">
        <v>7.4</v>
      </c>
      <c r="W138">
        <f t="shared" si="35"/>
        <v>-0.85127200000000003</v>
      </c>
    </row>
    <row r="139" spans="1:23" x14ac:dyDescent="0.3">
      <c r="A139">
        <v>7.0684218999999997</v>
      </c>
      <c r="B139">
        <v>0.55962000000000001</v>
      </c>
      <c r="C139">
        <f t="shared" si="25"/>
        <v>3.9556302636780001</v>
      </c>
      <c r="D139">
        <v>1.6299999999999999E-2</v>
      </c>
      <c r="E139">
        <v>3.3E-3</v>
      </c>
      <c r="F139">
        <f t="shared" si="26"/>
        <v>1413.6843799999999</v>
      </c>
      <c r="G139">
        <f t="shared" si="27"/>
        <v>-0.55962000000000001</v>
      </c>
      <c r="H139">
        <f t="shared" si="28"/>
        <v>-791.12605273560007</v>
      </c>
      <c r="I139">
        <v>1</v>
      </c>
      <c r="J139">
        <f t="shared" si="29"/>
        <v>0.34619933180950752</v>
      </c>
      <c r="K139">
        <f t="shared" si="30"/>
        <v>-0.66210515177521745</v>
      </c>
      <c r="L139">
        <v>1</v>
      </c>
      <c r="M139">
        <f t="shared" si="31"/>
        <v>0.52799631537682967</v>
      </c>
      <c r="N139">
        <f t="shared" si="32"/>
        <v>0.11521527696999999</v>
      </c>
      <c r="O139">
        <f t="shared" si="33"/>
        <v>2.3325792269999999E-2</v>
      </c>
      <c r="P139">
        <f t="shared" si="34"/>
        <v>-4.4322328416122117E-3</v>
      </c>
      <c r="V139">
        <v>7.5</v>
      </c>
      <c r="W139">
        <f t="shared" si="35"/>
        <v>-0.85585500000000003</v>
      </c>
    </row>
    <row r="140" spans="1:23" x14ac:dyDescent="0.3">
      <c r="A140">
        <v>7.1203583999999998</v>
      </c>
      <c r="B140">
        <v>0.55803000000000003</v>
      </c>
      <c r="C140">
        <f t="shared" si="25"/>
        <v>3.973373597952</v>
      </c>
      <c r="D140">
        <v>1.6299999999999999E-2</v>
      </c>
      <c r="E140">
        <v>3.3E-3</v>
      </c>
      <c r="F140">
        <f t="shared" si="26"/>
        <v>1424.07168</v>
      </c>
      <c r="G140">
        <f t="shared" si="27"/>
        <v>-0.55803000000000003</v>
      </c>
      <c r="H140">
        <f t="shared" si="28"/>
        <v>-794.67471959039995</v>
      </c>
      <c r="I140">
        <v>1</v>
      </c>
      <c r="J140">
        <f t="shared" si="29"/>
        <v>0.35352014880156746</v>
      </c>
      <c r="K140">
        <f t="shared" si="30"/>
        <v>-0.66369515177521743</v>
      </c>
      <c r="L140">
        <v>1</v>
      </c>
      <c r="M140">
        <f t="shared" si="31"/>
        <v>0.52833182841957582</v>
      </c>
      <c r="N140">
        <f t="shared" si="32"/>
        <v>0.11606184191999999</v>
      </c>
      <c r="O140">
        <f t="shared" si="33"/>
        <v>2.3497182719999999E-2</v>
      </c>
      <c r="P140">
        <f t="shared" si="34"/>
        <v>-4.1957012843583837E-3</v>
      </c>
    </row>
    <row r="141" spans="1:23" x14ac:dyDescent="0.3">
      <c r="A141">
        <v>7.1717861000000003</v>
      </c>
      <c r="B141">
        <v>0.55642999999999998</v>
      </c>
      <c r="C141">
        <f t="shared" si="25"/>
        <v>3.9905969396229999</v>
      </c>
      <c r="D141">
        <v>1.6299999999999999E-2</v>
      </c>
      <c r="E141">
        <v>3.3E-3</v>
      </c>
      <c r="F141">
        <f t="shared" si="26"/>
        <v>1434.3572200000001</v>
      </c>
      <c r="G141">
        <f t="shared" si="27"/>
        <v>-0.55642999999999998</v>
      </c>
      <c r="H141">
        <f t="shared" si="28"/>
        <v>-798.11938792460001</v>
      </c>
      <c r="I141">
        <v>1</v>
      </c>
      <c r="J141">
        <f t="shared" si="29"/>
        <v>0.36071681854724486</v>
      </c>
      <c r="K141">
        <f t="shared" si="30"/>
        <v>-0.66529515177521747</v>
      </c>
      <c r="L141">
        <v>1</v>
      </c>
      <c r="M141">
        <f t="shared" si="31"/>
        <v>0.52866165179402025</v>
      </c>
      <c r="N141">
        <f t="shared" si="32"/>
        <v>0.11690011342999999</v>
      </c>
      <c r="O141">
        <f t="shared" si="33"/>
        <v>2.3666894130000001E-2</v>
      </c>
      <c r="P141">
        <f t="shared" si="34"/>
        <v>-3.9335075788027689E-3</v>
      </c>
    </row>
    <row r="142" spans="1:23" x14ac:dyDescent="0.3">
      <c r="A142">
        <v>7.2221947999999996</v>
      </c>
      <c r="B142">
        <v>0.55496000000000001</v>
      </c>
      <c r="C142">
        <f t="shared" si="25"/>
        <v>4.0080292262079995</v>
      </c>
      <c r="D142">
        <v>1.6299999999999999E-2</v>
      </c>
      <c r="E142">
        <v>3.3E-3</v>
      </c>
      <c r="F142">
        <f t="shared" si="26"/>
        <v>1444.43896</v>
      </c>
      <c r="G142">
        <f t="shared" si="27"/>
        <v>-0.55496000000000001</v>
      </c>
      <c r="H142">
        <f t="shared" si="28"/>
        <v>-801.60584524159992</v>
      </c>
      <c r="I142">
        <v>1</v>
      </c>
      <c r="J142">
        <f t="shared" si="29"/>
        <v>0.36772098319503216</v>
      </c>
      <c r="K142">
        <f t="shared" si="30"/>
        <v>-0.66676515177521745</v>
      </c>
      <c r="L142">
        <v>1</v>
      </c>
      <c r="M142">
        <f t="shared" si="31"/>
        <v>0.52898265265982825</v>
      </c>
      <c r="N142">
        <f t="shared" si="32"/>
        <v>0.11772177523999998</v>
      </c>
      <c r="O142">
        <f t="shared" si="33"/>
        <v>2.3833242839999998E-2</v>
      </c>
      <c r="P142">
        <f t="shared" si="34"/>
        <v>-3.7725189646107757E-3</v>
      </c>
    </row>
    <row r="143" spans="1:23" x14ac:dyDescent="0.3">
      <c r="A143">
        <v>7.2731138</v>
      </c>
      <c r="B143">
        <v>0.55332999999999999</v>
      </c>
      <c r="C143">
        <f t="shared" si="25"/>
        <v>4.0244320589539999</v>
      </c>
      <c r="D143">
        <v>1.6299999999999999E-2</v>
      </c>
      <c r="E143">
        <v>3.3E-3</v>
      </c>
      <c r="F143">
        <f t="shared" si="26"/>
        <v>1454.62276</v>
      </c>
      <c r="G143">
        <f t="shared" si="27"/>
        <v>-0.55332999999999999</v>
      </c>
      <c r="H143">
        <f t="shared" si="28"/>
        <v>-804.88641179080003</v>
      </c>
      <c r="I143">
        <v>1</v>
      </c>
      <c r="J143">
        <f t="shared" si="29"/>
        <v>0.37474659552913231</v>
      </c>
      <c r="K143">
        <f t="shared" si="30"/>
        <v>-0.66839515177521747</v>
      </c>
      <c r="L143">
        <v>1</v>
      </c>
      <c r="M143">
        <f t="shared" si="31"/>
        <v>0.52930463647310011</v>
      </c>
      <c r="N143">
        <f t="shared" si="32"/>
        <v>0.11855175493999999</v>
      </c>
      <c r="O143">
        <f t="shared" si="33"/>
        <v>2.4001275539999999E-2</v>
      </c>
      <c r="P143">
        <f t="shared" si="34"/>
        <v>-3.4625151778826316E-3</v>
      </c>
    </row>
    <row r="144" spans="1:23" x14ac:dyDescent="0.3">
      <c r="A144">
        <v>7.3281049999999999</v>
      </c>
      <c r="B144">
        <v>0.55191999999999997</v>
      </c>
      <c r="C144">
        <f t="shared" si="25"/>
        <v>4.0445277115999998</v>
      </c>
      <c r="D144">
        <v>1.6299999999999999E-2</v>
      </c>
      <c r="E144">
        <v>3.3E-3</v>
      </c>
      <c r="F144">
        <f t="shared" si="26"/>
        <v>1465.6209999999999</v>
      </c>
      <c r="G144">
        <f t="shared" si="27"/>
        <v>-0.55191999999999997</v>
      </c>
      <c r="H144">
        <f t="shared" si="28"/>
        <v>-808.90554232</v>
      </c>
      <c r="I144">
        <v>1</v>
      </c>
      <c r="J144">
        <f t="shared" si="29"/>
        <v>0.38227904343769531</v>
      </c>
      <c r="K144">
        <f t="shared" si="30"/>
        <v>-0.66980515177521749</v>
      </c>
      <c r="L144">
        <v>1</v>
      </c>
      <c r="M144">
        <f t="shared" si="31"/>
        <v>0.52964984856074959</v>
      </c>
      <c r="N144">
        <f t="shared" si="32"/>
        <v>0.11944811149999998</v>
      </c>
      <c r="O144">
        <f t="shared" si="33"/>
        <v>2.4182746499999998E-2</v>
      </c>
      <c r="P144">
        <f t="shared" si="34"/>
        <v>-3.4755547855320826E-3</v>
      </c>
    </row>
    <row r="145" spans="1:16" x14ac:dyDescent="0.3">
      <c r="A145">
        <v>7.3830971999999999</v>
      </c>
      <c r="B145">
        <v>0.55015999999999998</v>
      </c>
      <c r="C145">
        <f t="shared" si="25"/>
        <v>4.0618847555519997</v>
      </c>
      <c r="D145">
        <v>1.6299999999999999E-2</v>
      </c>
      <c r="E145">
        <v>3.3E-3</v>
      </c>
      <c r="F145">
        <f t="shared" si="26"/>
        <v>1476.6194399999999</v>
      </c>
      <c r="G145">
        <f t="shared" si="27"/>
        <v>-0.55015999999999998</v>
      </c>
      <c r="H145">
        <f t="shared" si="28"/>
        <v>-812.37695111039989</v>
      </c>
      <c r="I145">
        <v>1</v>
      </c>
      <c r="J145">
        <f t="shared" si="29"/>
        <v>0.38975531293619209</v>
      </c>
      <c r="K145">
        <f t="shared" si="30"/>
        <v>-0.67156515177521747</v>
      </c>
      <c r="L145">
        <v>1</v>
      </c>
      <c r="M145">
        <f t="shared" si="31"/>
        <v>0.52999248599186566</v>
      </c>
      <c r="N145">
        <f t="shared" si="32"/>
        <v>0.12034448435999999</v>
      </c>
      <c r="O145">
        <f t="shared" si="33"/>
        <v>2.4364220759999999E-2</v>
      </c>
      <c r="P145">
        <f t="shared" si="34"/>
        <v>-3.1360393366481748E-3</v>
      </c>
    </row>
    <row r="146" spans="1:16" x14ac:dyDescent="0.3">
      <c r="A146">
        <v>7.4370703000000002</v>
      </c>
      <c r="B146">
        <v>0.54847999999999997</v>
      </c>
      <c r="C146">
        <f t="shared" si="25"/>
        <v>4.079084318144</v>
      </c>
      <c r="D146">
        <v>1.6299999999999999E-2</v>
      </c>
      <c r="E146">
        <v>3.3E-3</v>
      </c>
      <c r="F146">
        <f t="shared" si="26"/>
        <v>1487.4140600000001</v>
      </c>
      <c r="G146">
        <f t="shared" si="27"/>
        <v>-0.54847999999999997</v>
      </c>
      <c r="H146">
        <f t="shared" si="28"/>
        <v>-815.81686362879998</v>
      </c>
      <c r="I146">
        <v>1</v>
      </c>
      <c r="J146">
        <f t="shared" si="29"/>
        <v>0.39703908197870441</v>
      </c>
      <c r="K146">
        <f t="shared" si="30"/>
        <v>-0.67324515177521749</v>
      </c>
      <c r="L146">
        <v>1</v>
      </c>
      <c r="M146">
        <f t="shared" si="31"/>
        <v>0.53032630112708401</v>
      </c>
      <c r="N146">
        <f t="shared" si="32"/>
        <v>0.12122424589</v>
      </c>
      <c r="O146">
        <f t="shared" si="33"/>
        <v>2.4542331989999999E-2</v>
      </c>
      <c r="P146">
        <f t="shared" si="34"/>
        <v>-2.8477272318665203E-3</v>
      </c>
    </row>
    <row r="147" spans="1:16" x14ac:dyDescent="0.3">
      <c r="A147">
        <v>7.4879888000000001</v>
      </c>
      <c r="B147">
        <v>0.54679999999999995</v>
      </c>
      <c r="C147">
        <f t="shared" si="25"/>
        <v>4.09443227584</v>
      </c>
      <c r="D147">
        <v>1.6299999999999999E-2</v>
      </c>
      <c r="E147">
        <v>3.3E-3</v>
      </c>
      <c r="F147">
        <f t="shared" si="26"/>
        <v>1497.5977600000001</v>
      </c>
      <c r="G147">
        <f t="shared" si="27"/>
        <v>-0.54679999999999995</v>
      </c>
      <c r="H147">
        <f t="shared" si="28"/>
        <v>-818.886455168</v>
      </c>
      <c r="I147">
        <v>1</v>
      </c>
      <c r="J147">
        <f t="shared" si="29"/>
        <v>0.40386233101357627</v>
      </c>
      <c r="K147">
        <f t="shared" si="30"/>
        <v>-0.6749251517752175</v>
      </c>
      <c r="L147">
        <v>1</v>
      </c>
      <c r="M147">
        <f t="shared" si="31"/>
        <v>0.53063901063035213</v>
      </c>
      <c r="N147">
        <f t="shared" si="32"/>
        <v>0.12205421743999999</v>
      </c>
      <c r="O147">
        <f t="shared" si="33"/>
        <v>2.4710363039999999E-2</v>
      </c>
      <c r="P147">
        <f t="shared" si="34"/>
        <v>-2.47843933513461E-3</v>
      </c>
    </row>
    <row r="148" spans="1:16" x14ac:dyDescent="0.3">
      <c r="A148">
        <v>7.5404350999999998</v>
      </c>
      <c r="B148">
        <v>0.54532000000000003</v>
      </c>
      <c r="C148">
        <f t="shared" si="25"/>
        <v>4.1119500687319999</v>
      </c>
      <c r="D148">
        <v>1.6299999999999999E-2</v>
      </c>
      <c r="E148">
        <v>3.3E-3</v>
      </c>
      <c r="F148">
        <f t="shared" si="26"/>
        <v>1508.0870199999999</v>
      </c>
      <c r="G148">
        <f t="shared" si="27"/>
        <v>-0.54532000000000003</v>
      </c>
      <c r="H148">
        <f t="shared" si="28"/>
        <v>-822.39001374639997</v>
      </c>
      <c r="I148">
        <v>1</v>
      </c>
      <c r="J148">
        <f t="shared" si="29"/>
        <v>0.41084197349115364</v>
      </c>
      <c r="K148">
        <f t="shared" si="30"/>
        <v>-0.67640515177521743</v>
      </c>
      <c r="L148">
        <v>1</v>
      </c>
      <c r="M148">
        <f t="shared" si="31"/>
        <v>0.53095888764509958</v>
      </c>
      <c r="N148">
        <f t="shared" si="32"/>
        <v>0.12290909212999998</v>
      </c>
      <c r="O148">
        <f t="shared" si="33"/>
        <v>2.4883435829999998E-2</v>
      </c>
      <c r="P148">
        <f t="shared" si="34"/>
        <v>-2.346263829882126E-3</v>
      </c>
    </row>
    <row r="149" spans="1:16" x14ac:dyDescent="0.3">
      <c r="A149">
        <v>7.5908442000000003</v>
      </c>
      <c r="B149">
        <v>0.54376999999999998</v>
      </c>
      <c r="C149">
        <f t="shared" si="25"/>
        <v>4.1276733506339998</v>
      </c>
      <c r="D149">
        <v>1.6299999999999999E-2</v>
      </c>
      <c r="E149">
        <v>3.3E-3</v>
      </c>
      <c r="F149">
        <f t="shared" si="26"/>
        <v>1518.16884</v>
      </c>
      <c r="G149">
        <f t="shared" si="27"/>
        <v>-0.54376999999999998</v>
      </c>
      <c r="H149">
        <f t="shared" si="28"/>
        <v>-825.53467012679994</v>
      </c>
      <c r="I149">
        <v>1</v>
      </c>
      <c r="J149">
        <f t="shared" si="29"/>
        <v>0.41750489808480618</v>
      </c>
      <c r="K149">
        <f t="shared" si="30"/>
        <v>-0.67795515177521748</v>
      </c>
      <c r="L149">
        <v>1</v>
      </c>
      <c r="M149">
        <f t="shared" si="31"/>
        <v>0.53126424947922668</v>
      </c>
      <c r="N149">
        <f t="shared" si="32"/>
        <v>0.12373076045999999</v>
      </c>
      <c r="O149">
        <f t="shared" si="33"/>
        <v>2.504978586E-2</v>
      </c>
      <c r="P149">
        <f t="shared" si="34"/>
        <v>-2.0896440240091921E-3</v>
      </c>
    </row>
    <row r="150" spans="1:16" x14ac:dyDescent="0.3">
      <c r="A150">
        <v>7.6412528999999996</v>
      </c>
      <c r="B150">
        <v>0.54205000000000003</v>
      </c>
      <c r="C150">
        <f t="shared" si="25"/>
        <v>4.1419411344450001</v>
      </c>
      <c r="D150">
        <v>1.6299999999999999E-2</v>
      </c>
      <c r="E150">
        <v>3.3E-3</v>
      </c>
      <c r="F150">
        <f t="shared" si="26"/>
        <v>1528.2505799999999</v>
      </c>
      <c r="G150">
        <f t="shared" si="27"/>
        <v>-0.54205000000000003</v>
      </c>
      <c r="H150">
        <f t="shared" si="28"/>
        <v>-828.38822688900007</v>
      </c>
      <c r="I150">
        <v>1</v>
      </c>
      <c r="J150">
        <f t="shared" si="29"/>
        <v>0.42412366944568342</v>
      </c>
      <c r="K150">
        <f t="shared" si="30"/>
        <v>-0.67967515177521742</v>
      </c>
      <c r="L150">
        <v>1</v>
      </c>
      <c r="M150">
        <f t="shared" si="31"/>
        <v>0.53156758777069568</v>
      </c>
      <c r="N150">
        <f t="shared" si="32"/>
        <v>0.12455242226999998</v>
      </c>
      <c r="O150">
        <f t="shared" si="33"/>
        <v>2.521613457E-2</v>
      </c>
      <c r="P150">
        <f t="shared" si="34"/>
        <v>-1.6609928354782352E-3</v>
      </c>
    </row>
    <row r="151" spans="1:16" x14ac:dyDescent="0.3">
      <c r="A151">
        <v>7.6916625999999999</v>
      </c>
      <c r="B151">
        <v>0.54049999999999998</v>
      </c>
      <c r="C151">
        <f t="shared" si="25"/>
        <v>4.1573436353000002</v>
      </c>
      <c r="D151">
        <v>1.6299999999999999E-2</v>
      </c>
      <c r="E151">
        <v>3.3E-3</v>
      </c>
      <c r="F151">
        <f t="shared" si="26"/>
        <v>1538.3325199999999</v>
      </c>
      <c r="G151">
        <f t="shared" si="27"/>
        <v>-0.54049999999999998</v>
      </c>
      <c r="H151">
        <f t="shared" si="28"/>
        <v>-831.46872705999999</v>
      </c>
      <c r="I151">
        <v>1</v>
      </c>
      <c r="J151">
        <f t="shared" si="29"/>
        <v>0.43069905057584013</v>
      </c>
      <c r="K151">
        <f t="shared" si="30"/>
        <v>-0.68122515177521747</v>
      </c>
      <c r="L151">
        <v>1</v>
      </c>
      <c r="M151">
        <f t="shared" si="31"/>
        <v>0.53186893748789077</v>
      </c>
      <c r="N151">
        <f t="shared" si="32"/>
        <v>0.12537410037999999</v>
      </c>
      <c r="O151">
        <f t="shared" si="33"/>
        <v>2.5382486579999999E-2</v>
      </c>
      <c r="P151">
        <f t="shared" si="34"/>
        <v>-1.4003726726732856E-3</v>
      </c>
    </row>
    <row r="152" spans="1:16" x14ac:dyDescent="0.3">
      <c r="A152">
        <v>7.7420713000000001</v>
      </c>
      <c r="B152">
        <v>0.53893999999999997</v>
      </c>
      <c r="C152">
        <f t="shared" si="25"/>
        <v>4.1725119064219998</v>
      </c>
      <c r="D152">
        <v>1.6299999999999999E-2</v>
      </c>
      <c r="E152">
        <v>3.3E-3</v>
      </c>
      <c r="F152">
        <f t="shared" si="26"/>
        <v>1548.41426</v>
      </c>
      <c r="G152">
        <f t="shared" si="27"/>
        <v>-0.53893999999999997</v>
      </c>
      <c r="H152">
        <f t="shared" si="28"/>
        <v>-834.50238128439992</v>
      </c>
      <c r="I152">
        <v>1</v>
      </c>
      <c r="J152">
        <f t="shared" si="29"/>
        <v>0.43723134918553613</v>
      </c>
      <c r="K152">
        <f t="shared" si="30"/>
        <v>-0.68278515177521748</v>
      </c>
      <c r="L152">
        <v>1</v>
      </c>
      <c r="M152">
        <f t="shared" si="31"/>
        <v>0.53216831273317311</v>
      </c>
      <c r="N152">
        <f t="shared" si="32"/>
        <v>0.12619576218999998</v>
      </c>
      <c r="O152">
        <f t="shared" si="33"/>
        <v>2.5548835289999999E-2</v>
      </c>
      <c r="P152">
        <f t="shared" si="34"/>
        <v>-1.1277584379556053E-3</v>
      </c>
    </row>
    <row r="153" spans="1:16" x14ac:dyDescent="0.3">
      <c r="A153">
        <v>7.7950264000000002</v>
      </c>
      <c r="B153">
        <v>0.53752999999999995</v>
      </c>
      <c r="C153">
        <f t="shared" si="25"/>
        <v>4.1900605407919995</v>
      </c>
      <c r="D153">
        <v>1.6299999999999999E-2</v>
      </c>
      <c r="E153">
        <v>3.3E-3</v>
      </c>
      <c r="F153">
        <f t="shared" si="26"/>
        <v>1559.0052800000001</v>
      </c>
      <c r="G153">
        <f t="shared" si="27"/>
        <v>-0.53752999999999995</v>
      </c>
      <c r="H153">
        <f t="shared" si="28"/>
        <v>-838.01210815839988</v>
      </c>
      <c r="I153">
        <v>1</v>
      </c>
      <c r="J153">
        <f t="shared" si="29"/>
        <v>0.44404797685630587</v>
      </c>
      <c r="K153">
        <f t="shared" si="30"/>
        <v>-0.6841951517752175</v>
      </c>
      <c r="L153">
        <v>1</v>
      </c>
      <c r="M153">
        <f t="shared" si="31"/>
        <v>0.53248071877932446</v>
      </c>
      <c r="N153">
        <f t="shared" si="32"/>
        <v>0.12705893031999999</v>
      </c>
      <c r="O153">
        <f t="shared" si="33"/>
        <v>2.5723587120000002E-2</v>
      </c>
      <c r="P153">
        <f t="shared" si="34"/>
        <v>-1.0680844441069426E-3</v>
      </c>
    </row>
    <row r="154" spans="1:16" x14ac:dyDescent="0.3">
      <c r="A154">
        <v>7.8454354999999998</v>
      </c>
      <c r="B154">
        <v>0.53600000000000003</v>
      </c>
      <c r="C154">
        <f t="shared" si="25"/>
        <v>4.205153428</v>
      </c>
      <c r="D154">
        <v>1.6299999999999999E-2</v>
      </c>
      <c r="E154">
        <v>3.3E-3</v>
      </c>
      <c r="F154">
        <f t="shared" si="26"/>
        <v>1569.0871</v>
      </c>
      <c r="G154">
        <f t="shared" si="27"/>
        <v>-0.53600000000000003</v>
      </c>
      <c r="H154">
        <f t="shared" si="28"/>
        <v>-841.03068559999997</v>
      </c>
      <c r="I154">
        <v>1</v>
      </c>
      <c r="J154">
        <f t="shared" si="29"/>
        <v>0.45049398527574924</v>
      </c>
      <c r="K154">
        <f t="shared" si="30"/>
        <v>-0.68572515177521742</v>
      </c>
      <c r="L154">
        <v>1</v>
      </c>
      <c r="M154">
        <f t="shared" si="31"/>
        <v>0.53277613934518753</v>
      </c>
      <c r="N154">
        <f t="shared" si="32"/>
        <v>0.12788059864999998</v>
      </c>
      <c r="O154">
        <f t="shared" si="33"/>
        <v>2.588993715E-2</v>
      </c>
      <c r="P154">
        <f t="shared" si="34"/>
        <v>-8.215233699700869E-4</v>
      </c>
    </row>
    <row r="155" spans="1:16" x14ac:dyDescent="0.3">
      <c r="A155">
        <v>7.8958446999999996</v>
      </c>
      <c r="B155">
        <v>0.53444999999999998</v>
      </c>
      <c r="C155">
        <f t="shared" si="25"/>
        <v>4.2199341999149995</v>
      </c>
      <c r="D155">
        <v>1.6299999999999999E-2</v>
      </c>
      <c r="E155">
        <v>3.3E-3</v>
      </c>
      <c r="F155">
        <f t="shared" si="26"/>
        <v>1579.16894</v>
      </c>
      <c r="G155">
        <f t="shared" si="27"/>
        <v>-0.53444999999999998</v>
      </c>
      <c r="H155">
        <f t="shared" si="28"/>
        <v>-843.98683998299987</v>
      </c>
      <c r="I155">
        <v>1</v>
      </c>
      <c r="J155">
        <f t="shared" si="29"/>
        <v>0.45689872131723525</v>
      </c>
      <c r="K155">
        <f t="shared" si="30"/>
        <v>-0.68727515177521747</v>
      </c>
      <c r="L155">
        <v>1</v>
      </c>
      <c r="M155">
        <f t="shared" si="31"/>
        <v>0.53306966839796888</v>
      </c>
      <c r="N155">
        <f t="shared" si="32"/>
        <v>0.12870226860999998</v>
      </c>
      <c r="O155">
        <f t="shared" si="33"/>
        <v>2.6056287509999998E-2</v>
      </c>
      <c r="P155">
        <f t="shared" si="34"/>
        <v>-5.5307274275137597E-4</v>
      </c>
    </row>
    <row r="156" spans="1:16" x14ac:dyDescent="0.3">
      <c r="A156">
        <v>7.9477812999999999</v>
      </c>
      <c r="B156">
        <v>0.53259999999999996</v>
      </c>
      <c r="C156">
        <f t="shared" si="25"/>
        <v>4.2329883203799996</v>
      </c>
      <c r="D156">
        <v>1.6299999999999999E-2</v>
      </c>
      <c r="E156">
        <v>3.3E-3</v>
      </c>
      <c r="F156">
        <f t="shared" si="26"/>
        <v>1589.5562600000001</v>
      </c>
      <c r="G156">
        <f t="shared" si="27"/>
        <v>-0.53259999999999996</v>
      </c>
      <c r="H156">
        <f t="shared" si="28"/>
        <v>-846.59766407599989</v>
      </c>
      <c r="I156">
        <v>1</v>
      </c>
      <c r="J156">
        <f t="shared" si="29"/>
        <v>0.46345489552057223</v>
      </c>
      <c r="K156">
        <f t="shared" si="30"/>
        <v>-0.68912515177521749</v>
      </c>
      <c r="L156">
        <v>1</v>
      </c>
      <c r="M156">
        <f t="shared" si="31"/>
        <v>0.53337013786170784</v>
      </c>
      <c r="N156">
        <f t="shared" si="32"/>
        <v>0.12954883518999999</v>
      </c>
      <c r="O156">
        <f t="shared" si="33"/>
        <v>2.6227678290000001E-2</v>
      </c>
      <c r="P156">
        <f t="shared" si="34"/>
        <v>-2.149956649033502E-5</v>
      </c>
    </row>
    <row r="157" spans="1:16" x14ac:dyDescent="0.3">
      <c r="A157">
        <v>8.0002274999999994</v>
      </c>
      <c r="B157">
        <v>0.53086</v>
      </c>
      <c r="C157">
        <f t="shared" si="25"/>
        <v>4.2470007706499997</v>
      </c>
      <c r="D157">
        <v>1.6299999999999999E-2</v>
      </c>
      <c r="E157">
        <v>3.3E-3</v>
      </c>
      <c r="F157">
        <f t="shared" si="26"/>
        <v>1600.0454999999999</v>
      </c>
      <c r="G157">
        <f t="shared" si="27"/>
        <v>-0.53086</v>
      </c>
      <c r="H157">
        <f t="shared" si="28"/>
        <v>-849.40015412999992</v>
      </c>
      <c r="I157">
        <v>1</v>
      </c>
      <c r="J157">
        <f t="shared" si="29"/>
        <v>0.47003206634139755</v>
      </c>
      <c r="K157">
        <f t="shared" si="30"/>
        <v>-0.69086515177521746</v>
      </c>
      <c r="L157">
        <v>1</v>
      </c>
      <c r="M157">
        <f t="shared" si="31"/>
        <v>0.53367156960042628</v>
      </c>
      <c r="N157">
        <f t="shared" si="32"/>
        <v>0.13040370824999997</v>
      </c>
      <c r="O157">
        <f t="shared" si="33"/>
        <v>2.6400750749999997E-2</v>
      </c>
      <c r="P157">
        <f t="shared" si="34"/>
        <v>3.8912317479121092E-4</v>
      </c>
    </row>
    <row r="158" spans="1:16" x14ac:dyDescent="0.3">
      <c r="A158">
        <v>8.0531821000000008</v>
      </c>
      <c r="B158">
        <v>0.52939000000000003</v>
      </c>
      <c r="C158">
        <f t="shared" si="25"/>
        <v>4.2632740719190005</v>
      </c>
      <c r="D158">
        <v>1.6299999999999999E-2</v>
      </c>
      <c r="E158">
        <v>3.3E-3</v>
      </c>
      <c r="F158">
        <f t="shared" si="26"/>
        <v>1610.6364200000003</v>
      </c>
      <c r="G158">
        <f t="shared" si="27"/>
        <v>-0.52939000000000003</v>
      </c>
      <c r="H158">
        <f t="shared" si="28"/>
        <v>-852.65481438380016</v>
      </c>
      <c r="I158">
        <v>1</v>
      </c>
      <c r="J158">
        <f t="shared" si="29"/>
        <v>0.47662939281456723</v>
      </c>
      <c r="K158">
        <f t="shared" si="30"/>
        <v>-0.69233515177521743</v>
      </c>
      <c r="L158">
        <v>1</v>
      </c>
      <c r="M158">
        <f t="shared" si="31"/>
        <v>0.53397392507269159</v>
      </c>
      <c r="N158">
        <f t="shared" si="32"/>
        <v>0.13126686823</v>
      </c>
      <c r="O158">
        <f t="shared" si="33"/>
        <v>2.6575500930000003E-2</v>
      </c>
      <c r="P158">
        <f t="shared" si="34"/>
        <v>5.1885754252583433E-4</v>
      </c>
    </row>
    <row r="159" spans="1:16" x14ac:dyDescent="0.3">
      <c r="A159">
        <v>8.1051190999999996</v>
      </c>
      <c r="B159">
        <v>0.52775000000000005</v>
      </c>
      <c r="C159">
        <f t="shared" si="25"/>
        <v>4.2774766050249999</v>
      </c>
      <c r="D159">
        <v>1.6299999999999999E-2</v>
      </c>
      <c r="E159">
        <v>3.3E-3</v>
      </c>
      <c r="F159">
        <f t="shared" si="26"/>
        <v>1621.0238199999999</v>
      </c>
      <c r="G159">
        <f t="shared" si="27"/>
        <v>-0.52775000000000005</v>
      </c>
      <c r="H159">
        <f t="shared" si="28"/>
        <v>-855.49532100499994</v>
      </c>
      <c r="I159">
        <v>1</v>
      </c>
      <c r="J159">
        <f t="shared" si="29"/>
        <v>0.48305793727851648</v>
      </c>
      <c r="K159">
        <f t="shared" si="30"/>
        <v>-0.6939751517752174</v>
      </c>
      <c r="L159">
        <v>1</v>
      </c>
      <c r="M159">
        <f t="shared" si="31"/>
        <v>0.5342685452654744</v>
      </c>
      <c r="N159">
        <f t="shared" si="32"/>
        <v>0.13211344132999997</v>
      </c>
      <c r="O159">
        <f t="shared" si="33"/>
        <v>2.674689303E-2</v>
      </c>
      <c r="P159">
        <f t="shared" si="34"/>
        <v>8.4627214974302908E-4</v>
      </c>
    </row>
    <row r="160" spans="1:16" x14ac:dyDescent="0.3">
      <c r="A160">
        <v>8.1555277999999998</v>
      </c>
      <c r="B160">
        <v>0.52617000000000003</v>
      </c>
      <c r="C160">
        <f t="shared" si="25"/>
        <v>4.2911940625260003</v>
      </c>
      <c r="D160">
        <v>1.6299999999999999E-2</v>
      </c>
      <c r="E160">
        <v>3.3E-3</v>
      </c>
      <c r="F160">
        <f t="shared" si="26"/>
        <v>1631.10556</v>
      </c>
      <c r="G160">
        <f t="shared" si="27"/>
        <v>-0.52617000000000003</v>
      </c>
      <c r="H160">
        <f t="shared" si="28"/>
        <v>-858.23881250520003</v>
      </c>
      <c r="I160">
        <v>1</v>
      </c>
      <c r="J160">
        <f t="shared" si="29"/>
        <v>0.4892580425746042</v>
      </c>
      <c r="K160">
        <f t="shared" si="30"/>
        <v>-0.69555515177521743</v>
      </c>
      <c r="L160">
        <v>1</v>
      </c>
      <c r="M160">
        <f t="shared" si="31"/>
        <v>0.53455269609119405</v>
      </c>
      <c r="N160">
        <f t="shared" si="32"/>
        <v>0.13293510313999998</v>
      </c>
      <c r="O160">
        <f t="shared" si="33"/>
        <v>2.691324174E-2</v>
      </c>
      <c r="P160">
        <f t="shared" si="34"/>
        <v>1.1541108040233998E-3</v>
      </c>
    </row>
    <row r="161" spans="1:16" x14ac:dyDescent="0.3">
      <c r="A161">
        <v>8.2074648000000003</v>
      </c>
      <c r="B161">
        <v>0.52476999999999996</v>
      </c>
      <c r="C161">
        <f t="shared" si="25"/>
        <v>4.3070313030960001</v>
      </c>
      <c r="D161">
        <v>1.6299999999999999E-2</v>
      </c>
      <c r="E161">
        <v>3.3E-3</v>
      </c>
      <c r="F161">
        <f t="shared" si="26"/>
        <v>1641.49296</v>
      </c>
      <c r="G161">
        <f t="shared" si="27"/>
        <v>-0.52476999999999996</v>
      </c>
      <c r="H161">
        <f t="shared" si="28"/>
        <v>-861.4062606192</v>
      </c>
      <c r="I161">
        <v>1</v>
      </c>
      <c r="J161">
        <f t="shared" si="29"/>
        <v>0.49560616919003336</v>
      </c>
      <c r="K161">
        <f t="shared" si="30"/>
        <v>-0.6969551517752175</v>
      </c>
      <c r="L161">
        <v>1</v>
      </c>
      <c r="M161">
        <f t="shared" si="31"/>
        <v>0.53484363073397923</v>
      </c>
      <c r="N161">
        <f t="shared" si="32"/>
        <v>0.13378167623999998</v>
      </c>
      <c r="O161">
        <f t="shared" si="33"/>
        <v>2.708463384E-2</v>
      </c>
      <c r="P161">
        <f t="shared" si="34"/>
        <v>1.2452109612382904E-3</v>
      </c>
    </row>
    <row r="162" spans="1:16" x14ac:dyDescent="0.3">
      <c r="A162">
        <v>8.2604199000000005</v>
      </c>
      <c r="B162">
        <v>0.52329999999999999</v>
      </c>
      <c r="C162">
        <f t="shared" si="25"/>
        <v>4.32267773367</v>
      </c>
      <c r="D162">
        <v>1.6299999999999999E-2</v>
      </c>
      <c r="E162">
        <v>3.3E-3</v>
      </c>
      <c r="F162">
        <f t="shared" si="26"/>
        <v>1652.0839800000001</v>
      </c>
      <c r="G162">
        <f t="shared" si="27"/>
        <v>-0.52329999999999999</v>
      </c>
      <c r="H162">
        <f t="shared" si="28"/>
        <v>-864.53554673400004</v>
      </c>
      <c r="I162">
        <v>1</v>
      </c>
      <c r="J162">
        <f t="shared" si="29"/>
        <v>0.50203750915780321</v>
      </c>
      <c r="K162">
        <f t="shared" si="30"/>
        <v>-0.69842515177521747</v>
      </c>
      <c r="L162">
        <v>1</v>
      </c>
      <c r="M162">
        <f t="shared" si="31"/>
        <v>0.53513837904470207</v>
      </c>
      <c r="N162">
        <f t="shared" si="32"/>
        <v>0.13464484436999999</v>
      </c>
      <c r="O162">
        <f t="shared" si="33"/>
        <v>2.725938567E-2</v>
      </c>
      <c r="P162">
        <f t="shared" si="34"/>
        <v>1.3825426905154058E-3</v>
      </c>
    </row>
    <row r="163" spans="1:16" x14ac:dyDescent="0.3">
      <c r="A163">
        <v>8.3123564000000005</v>
      </c>
      <c r="B163">
        <v>0.52146999999999999</v>
      </c>
      <c r="C163">
        <f t="shared" si="25"/>
        <v>4.3346444919080005</v>
      </c>
      <c r="D163">
        <v>1.6299999999999999E-2</v>
      </c>
      <c r="E163">
        <v>3.3E-3</v>
      </c>
      <c r="F163">
        <f t="shared" si="26"/>
        <v>1662.4712800000002</v>
      </c>
      <c r="G163">
        <f t="shared" si="27"/>
        <v>-0.52146999999999999</v>
      </c>
      <c r="H163">
        <f t="shared" si="28"/>
        <v>-866.92889838160011</v>
      </c>
      <c r="I163">
        <v>1</v>
      </c>
      <c r="J163">
        <f t="shared" si="29"/>
        <v>0.50830521821068453</v>
      </c>
      <c r="K163">
        <f t="shared" si="30"/>
        <v>-0.70025515177521747</v>
      </c>
      <c r="L163">
        <v>1</v>
      </c>
      <c r="M163">
        <f t="shared" si="31"/>
        <v>0.53542562815059569</v>
      </c>
      <c r="N163">
        <f t="shared" si="32"/>
        <v>0.13549140932000001</v>
      </c>
      <c r="O163">
        <f t="shared" si="33"/>
        <v>2.743077612E-2</v>
      </c>
      <c r="P163">
        <f t="shared" si="34"/>
        <v>1.9073381846217707E-3</v>
      </c>
    </row>
    <row r="164" spans="1:16" x14ac:dyDescent="0.3">
      <c r="A164">
        <v>8.3637841999999996</v>
      </c>
      <c r="B164">
        <v>0.51983000000000001</v>
      </c>
      <c r="C164">
        <f t="shared" si="25"/>
        <v>4.347745940686</v>
      </c>
      <c r="D164">
        <v>1.6299999999999999E-2</v>
      </c>
      <c r="E164">
        <v>3.3E-3</v>
      </c>
      <c r="F164">
        <f t="shared" si="26"/>
        <v>1672.75684</v>
      </c>
      <c r="G164">
        <f t="shared" si="27"/>
        <v>-0.51983000000000001</v>
      </c>
      <c r="H164">
        <f t="shared" si="28"/>
        <v>-869.54918813719996</v>
      </c>
      <c r="I164">
        <v>1</v>
      </c>
      <c r="J164">
        <f t="shared" si="29"/>
        <v>0.51447306774730572</v>
      </c>
      <c r="K164">
        <f t="shared" si="30"/>
        <v>-0.70189515177521744</v>
      </c>
      <c r="L164">
        <v>1</v>
      </c>
      <c r="M164">
        <f t="shared" si="31"/>
        <v>0.53570830069485897</v>
      </c>
      <c r="N164">
        <f t="shared" si="32"/>
        <v>0.13632968245999999</v>
      </c>
      <c r="O164">
        <f t="shared" si="33"/>
        <v>2.7600487859999998E-2</v>
      </c>
      <c r="P164">
        <f t="shared" si="34"/>
        <v>2.2566807603584781E-3</v>
      </c>
    </row>
    <row r="165" spans="1:16" x14ac:dyDescent="0.3">
      <c r="A165">
        <v>8.4141943000000001</v>
      </c>
      <c r="B165">
        <v>0.51844999999999997</v>
      </c>
      <c r="C165">
        <f t="shared" si="25"/>
        <v>4.3623390348350002</v>
      </c>
      <c r="D165">
        <v>1.6299999999999999E-2</v>
      </c>
      <c r="E165">
        <v>3.3E-3</v>
      </c>
      <c r="F165">
        <f t="shared" si="26"/>
        <v>1682.8388600000001</v>
      </c>
      <c r="G165">
        <f t="shared" si="27"/>
        <v>-0.51844999999999997</v>
      </c>
      <c r="H165">
        <f t="shared" si="28"/>
        <v>-872.467806967</v>
      </c>
      <c r="I165">
        <v>1</v>
      </c>
      <c r="J165">
        <f t="shared" si="29"/>
        <v>0.5204821649325414</v>
      </c>
      <c r="K165">
        <f t="shared" si="30"/>
        <v>-0.70327515177521749</v>
      </c>
      <c r="L165">
        <v>1</v>
      </c>
      <c r="M165">
        <f t="shared" si="31"/>
        <v>0.53598369761885833</v>
      </c>
      <c r="N165">
        <f t="shared" si="32"/>
        <v>0.13715136708999998</v>
      </c>
      <c r="O165">
        <f t="shared" si="33"/>
        <v>2.7766841189999999E-2</v>
      </c>
      <c r="P165">
        <f t="shared" si="34"/>
        <v>2.3732458763591792E-3</v>
      </c>
    </row>
    <row r="166" spans="1:16" x14ac:dyDescent="0.3">
      <c r="A166">
        <v>8.4661308999999996</v>
      </c>
      <c r="B166">
        <v>0.51680999999999999</v>
      </c>
      <c r="C166">
        <f t="shared" si="25"/>
        <v>4.3753811104290001</v>
      </c>
      <c r="D166">
        <v>1.6299999999999999E-2</v>
      </c>
      <c r="E166">
        <v>3.3E-3</v>
      </c>
      <c r="F166">
        <f t="shared" si="26"/>
        <v>1693.2261799999999</v>
      </c>
      <c r="G166">
        <f t="shared" si="27"/>
        <v>-0.51680999999999999</v>
      </c>
      <c r="H166">
        <f t="shared" si="28"/>
        <v>-875.07622208580005</v>
      </c>
      <c r="I166">
        <v>1</v>
      </c>
      <c r="J166">
        <f t="shared" si="29"/>
        <v>0.526635691392488</v>
      </c>
      <c r="K166">
        <f t="shared" si="30"/>
        <v>-0.70491515177521746</v>
      </c>
      <c r="L166">
        <v>1</v>
      </c>
      <c r="M166">
        <f t="shared" si="31"/>
        <v>0.53626571373651766</v>
      </c>
      <c r="N166">
        <f t="shared" si="32"/>
        <v>0.13799793366999999</v>
      </c>
      <c r="O166">
        <f t="shared" si="33"/>
        <v>2.7938231969999998E-2</v>
      </c>
      <c r="P166">
        <f t="shared" si="34"/>
        <v>2.7132723986998189E-3</v>
      </c>
    </row>
    <row r="167" spans="1:16" x14ac:dyDescent="0.3">
      <c r="A167">
        <v>8.5165400000000009</v>
      </c>
      <c r="B167">
        <v>0.51526000000000005</v>
      </c>
      <c r="C167">
        <f t="shared" si="25"/>
        <v>4.3882324004000006</v>
      </c>
      <c r="D167">
        <v>1.6299999999999999E-2</v>
      </c>
      <c r="E167">
        <v>3.3E-3</v>
      </c>
      <c r="F167">
        <f t="shared" si="26"/>
        <v>1703.3080000000002</v>
      </c>
      <c r="G167">
        <f t="shared" si="27"/>
        <v>-0.51526000000000005</v>
      </c>
      <c r="H167">
        <f t="shared" si="28"/>
        <v>-877.64648008000017</v>
      </c>
      <c r="I167">
        <v>1</v>
      </c>
      <c r="J167">
        <f t="shared" si="29"/>
        <v>0.53257224263846792</v>
      </c>
      <c r="K167">
        <f t="shared" si="30"/>
        <v>-0.7064651517752174</v>
      </c>
      <c r="L167">
        <v>1</v>
      </c>
      <c r="M167">
        <f t="shared" si="31"/>
        <v>0.53653778588012091</v>
      </c>
      <c r="N167">
        <f t="shared" si="32"/>
        <v>0.13881960200000001</v>
      </c>
      <c r="O167">
        <f t="shared" si="33"/>
        <v>2.8104582000000003E-2</v>
      </c>
      <c r="P167">
        <f t="shared" si="34"/>
        <v>3.0031818950964767E-3</v>
      </c>
    </row>
    <row r="168" spans="1:16" x14ac:dyDescent="0.3">
      <c r="A168">
        <v>8.5715313000000002</v>
      </c>
      <c r="B168">
        <v>0.51373999999999997</v>
      </c>
      <c r="C168">
        <f t="shared" si="25"/>
        <v>4.403538490062</v>
      </c>
      <c r="D168">
        <v>1.6299999999999999E-2</v>
      </c>
      <c r="E168">
        <v>3.3E-3</v>
      </c>
      <c r="F168">
        <f t="shared" si="26"/>
        <v>1714.3062600000001</v>
      </c>
      <c r="G168">
        <f t="shared" si="27"/>
        <v>-0.51373999999999997</v>
      </c>
      <c r="H168">
        <f t="shared" si="28"/>
        <v>-880.70769801239999</v>
      </c>
      <c r="I168">
        <v>1</v>
      </c>
      <c r="J168">
        <f t="shared" si="29"/>
        <v>0.53900848566086756</v>
      </c>
      <c r="K168">
        <f t="shared" si="30"/>
        <v>-0.70798515177521748</v>
      </c>
      <c r="L168">
        <v>1</v>
      </c>
      <c r="M168">
        <f t="shared" si="31"/>
        <v>0.53683275889783755</v>
      </c>
      <c r="N168">
        <f t="shared" si="32"/>
        <v>0.13971596018999999</v>
      </c>
      <c r="O168">
        <f t="shared" si="33"/>
        <v>2.8286053290000002E-2</v>
      </c>
      <c r="P168">
        <f t="shared" si="34"/>
        <v>3.1503793973799432E-3</v>
      </c>
    </row>
    <row r="169" spans="1:16" x14ac:dyDescent="0.3">
      <c r="A169">
        <v>8.6219403999999997</v>
      </c>
      <c r="B169">
        <v>0.51202000000000003</v>
      </c>
      <c r="C169">
        <f t="shared" si="25"/>
        <v>4.4146059236079997</v>
      </c>
      <c r="D169">
        <v>1.6299999999999999E-2</v>
      </c>
      <c r="E169">
        <v>3.3E-3</v>
      </c>
      <c r="F169">
        <f t="shared" si="26"/>
        <v>1724.3880799999999</v>
      </c>
      <c r="G169">
        <f t="shared" si="27"/>
        <v>-0.51202000000000003</v>
      </c>
      <c r="H169">
        <f t="shared" si="28"/>
        <v>-882.92118472159996</v>
      </c>
      <c r="I169">
        <v>1</v>
      </c>
      <c r="J169">
        <f t="shared" si="29"/>
        <v>0.54487225131765826</v>
      </c>
      <c r="K169">
        <f t="shared" si="30"/>
        <v>-0.70970515177521742</v>
      </c>
      <c r="L169">
        <v>1</v>
      </c>
      <c r="M169">
        <f t="shared" si="31"/>
        <v>0.53710149527788831</v>
      </c>
      <c r="N169">
        <f t="shared" si="32"/>
        <v>0.14053762851999999</v>
      </c>
      <c r="O169">
        <f t="shared" si="33"/>
        <v>2.845240332E-2</v>
      </c>
      <c r="P169">
        <f t="shared" si="34"/>
        <v>3.6136246573291314E-3</v>
      </c>
    </row>
    <row r="170" spans="1:16" x14ac:dyDescent="0.3">
      <c r="A170">
        <v>8.6769326000000007</v>
      </c>
      <c r="B170">
        <v>0.51032</v>
      </c>
      <c r="C170">
        <f t="shared" si="25"/>
        <v>4.4280122444320007</v>
      </c>
      <c r="D170">
        <v>1.6299999999999999E-2</v>
      </c>
      <c r="E170">
        <v>3.3E-3</v>
      </c>
      <c r="F170">
        <f t="shared" si="26"/>
        <v>1735.38652</v>
      </c>
      <c r="G170">
        <f t="shared" si="27"/>
        <v>-0.51032</v>
      </c>
      <c r="H170">
        <f t="shared" si="28"/>
        <v>-885.60244888640011</v>
      </c>
      <c r="I170">
        <v>1</v>
      </c>
      <c r="J170">
        <f t="shared" si="29"/>
        <v>0.55123016668544966</v>
      </c>
      <c r="K170">
        <f t="shared" si="30"/>
        <v>-0.71140515177521746</v>
      </c>
      <c r="L170">
        <v>1</v>
      </c>
      <c r="M170">
        <f t="shared" si="31"/>
        <v>0.53739287853919415</v>
      </c>
      <c r="N170">
        <f t="shared" si="32"/>
        <v>0.14143400138000001</v>
      </c>
      <c r="O170">
        <f t="shared" si="33"/>
        <v>2.8633877580000001E-2</v>
      </c>
      <c r="P170">
        <f t="shared" si="34"/>
        <v>3.9443942760232983E-3</v>
      </c>
    </row>
    <row r="171" spans="1:16" x14ac:dyDescent="0.3">
      <c r="A171">
        <v>8.7278506</v>
      </c>
      <c r="B171">
        <v>0.50880999999999998</v>
      </c>
      <c r="C171">
        <f t="shared" si="25"/>
        <v>4.4408176637859995</v>
      </c>
      <c r="D171">
        <v>1.6299999999999999E-2</v>
      </c>
      <c r="E171">
        <v>3.3E-3</v>
      </c>
      <c r="F171">
        <f t="shared" si="26"/>
        <v>1745.5701200000001</v>
      </c>
      <c r="G171">
        <f t="shared" si="27"/>
        <v>-0.50880999999999998</v>
      </c>
      <c r="H171">
        <f t="shared" si="28"/>
        <v>-888.16353275719985</v>
      </c>
      <c r="I171">
        <v>1</v>
      </c>
      <c r="J171">
        <f t="shared" si="29"/>
        <v>0.55708121862660986</v>
      </c>
      <c r="K171">
        <f t="shared" si="30"/>
        <v>-0.71291515177521747</v>
      </c>
      <c r="L171">
        <v>1</v>
      </c>
      <c r="M171">
        <f t="shared" si="31"/>
        <v>0.53766103224965756</v>
      </c>
      <c r="N171">
        <f t="shared" si="32"/>
        <v>0.14226396477999997</v>
      </c>
      <c r="O171">
        <f t="shared" si="33"/>
        <v>2.880190698E-2</v>
      </c>
      <c r="P171">
        <f t="shared" si="34"/>
        <v>4.1882477655599409E-3</v>
      </c>
    </row>
    <row r="172" spans="1:16" x14ac:dyDescent="0.3">
      <c r="A172">
        <v>8.7787685999999994</v>
      </c>
      <c r="B172">
        <v>0.50738000000000005</v>
      </c>
      <c r="C172">
        <f t="shared" si="25"/>
        <v>4.4541716122680004</v>
      </c>
      <c r="D172">
        <v>1.6299999999999999E-2</v>
      </c>
      <c r="E172">
        <v>3.3E-3</v>
      </c>
      <c r="F172">
        <f t="shared" si="26"/>
        <v>1755.7537199999999</v>
      </c>
      <c r="G172">
        <f t="shared" si="27"/>
        <v>-0.50738000000000005</v>
      </c>
      <c r="H172">
        <f t="shared" si="28"/>
        <v>-890.83432245360007</v>
      </c>
      <c r="I172">
        <v>1</v>
      </c>
      <c r="J172">
        <f t="shared" si="29"/>
        <v>0.56289823480741796</v>
      </c>
      <c r="K172">
        <f t="shared" si="30"/>
        <v>-0.7143451517752174</v>
      </c>
      <c r="L172">
        <v>1</v>
      </c>
      <c r="M172">
        <f t="shared" si="31"/>
        <v>0.53792762610122391</v>
      </c>
      <c r="N172">
        <f t="shared" si="32"/>
        <v>0.14309392817999997</v>
      </c>
      <c r="O172">
        <f t="shared" si="33"/>
        <v>2.8969936379999998E-2</v>
      </c>
      <c r="P172">
        <f t="shared" si="34"/>
        <v>4.3536611139935247E-3</v>
      </c>
    </row>
    <row r="173" spans="1:16" x14ac:dyDescent="0.3">
      <c r="A173">
        <v>8.8307050999999994</v>
      </c>
      <c r="B173">
        <v>0.50561999999999996</v>
      </c>
      <c r="C173">
        <f t="shared" si="25"/>
        <v>4.4649811126619996</v>
      </c>
      <c r="D173">
        <v>1.6299999999999999E-2</v>
      </c>
      <c r="E173">
        <v>3.3E-3</v>
      </c>
      <c r="F173">
        <f t="shared" si="26"/>
        <v>1766.1410199999998</v>
      </c>
      <c r="G173">
        <f t="shared" si="27"/>
        <v>-0.50561999999999996</v>
      </c>
      <c r="H173">
        <f t="shared" si="28"/>
        <v>-892.99622253239988</v>
      </c>
      <c r="I173">
        <v>1</v>
      </c>
      <c r="J173">
        <f t="shared" si="29"/>
        <v>0.568796951768337</v>
      </c>
      <c r="K173">
        <f t="shared" si="30"/>
        <v>-0.7161051517752175</v>
      </c>
      <c r="L173">
        <v>1</v>
      </c>
      <c r="M173">
        <f t="shared" si="31"/>
        <v>0.53819796429954281</v>
      </c>
      <c r="N173">
        <f t="shared" si="32"/>
        <v>0.14394049312999999</v>
      </c>
      <c r="O173">
        <f t="shared" si="33"/>
        <v>2.9141326829999998E-2</v>
      </c>
      <c r="P173">
        <f t="shared" si="34"/>
        <v>4.8253675156747049E-3</v>
      </c>
    </row>
    <row r="174" spans="1:16" x14ac:dyDescent="0.3">
      <c r="A174">
        <v>8.8816240000000004</v>
      </c>
      <c r="B174">
        <v>0.50392000000000003</v>
      </c>
      <c r="C174">
        <f t="shared" si="25"/>
        <v>4.4756279660800002</v>
      </c>
      <c r="D174">
        <v>1.6299999999999999E-2</v>
      </c>
      <c r="E174">
        <v>3.3E-3</v>
      </c>
      <c r="F174">
        <f t="shared" si="26"/>
        <v>1776.3248000000001</v>
      </c>
      <c r="G174">
        <f t="shared" si="27"/>
        <v>-0.50392000000000003</v>
      </c>
      <c r="H174">
        <f t="shared" si="28"/>
        <v>-895.12559321600008</v>
      </c>
      <c r="I174">
        <v>1</v>
      </c>
      <c r="J174">
        <f t="shared" si="29"/>
        <v>0.57454651073182539</v>
      </c>
      <c r="K174">
        <f t="shared" si="30"/>
        <v>-0.71780515177521742</v>
      </c>
      <c r="L174">
        <v>1</v>
      </c>
      <c r="M174">
        <f t="shared" si="31"/>
        <v>0.53846146658683958</v>
      </c>
      <c r="N174">
        <f t="shared" si="32"/>
        <v>0.1447704712</v>
      </c>
      <c r="O174">
        <f t="shared" si="33"/>
        <v>2.9309359200000003E-2</v>
      </c>
      <c r="P174">
        <f t="shared" si="34"/>
        <v>5.2638547883778405E-3</v>
      </c>
    </row>
    <row r="175" spans="1:16" x14ac:dyDescent="0.3">
      <c r="A175">
        <v>8.9386522999999993</v>
      </c>
      <c r="B175">
        <v>0.50222</v>
      </c>
      <c r="C175">
        <f t="shared" si="25"/>
        <v>4.4891699581059994</v>
      </c>
      <c r="D175">
        <v>1.6299999999999999E-2</v>
      </c>
      <c r="E175">
        <v>3.3E-3</v>
      </c>
      <c r="F175">
        <f t="shared" si="26"/>
        <v>1787.7304599999998</v>
      </c>
      <c r="G175">
        <f t="shared" si="27"/>
        <v>-0.50222</v>
      </c>
      <c r="H175">
        <f t="shared" si="28"/>
        <v>-897.83399162119986</v>
      </c>
      <c r="I175">
        <v>1</v>
      </c>
      <c r="J175">
        <f t="shared" si="29"/>
        <v>0.58094691594676728</v>
      </c>
      <c r="K175">
        <f t="shared" si="30"/>
        <v>-0.71950515177521746</v>
      </c>
      <c r="L175">
        <v>1</v>
      </c>
      <c r="M175">
        <f t="shared" si="31"/>
        <v>0.53875479715784036</v>
      </c>
      <c r="N175">
        <f t="shared" si="32"/>
        <v>0.14570003248999996</v>
      </c>
      <c r="O175">
        <f t="shared" si="33"/>
        <v>2.9497552589999997E-2</v>
      </c>
      <c r="P175">
        <f t="shared" si="34"/>
        <v>5.5527695373771349E-3</v>
      </c>
    </row>
    <row r="176" spans="1:16" x14ac:dyDescent="0.3">
      <c r="A176">
        <v>8.9921171999999991</v>
      </c>
      <c r="B176">
        <v>0.50070999999999999</v>
      </c>
      <c r="C176">
        <f t="shared" si="25"/>
        <v>4.5024430032119991</v>
      </c>
      <c r="D176">
        <v>1.6299999999999999E-2</v>
      </c>
      <c r="E176">
        <v>3.3E-3</v>
      </c>
      <c r="F176">
        <f t="shared" si="26"/>
        <v>1798.4234399999998</v>
      </c>
      <c r="G176">
        <f t="shared" si="27"/>
        <v>-0.50070999999999999</v>
      </c>
      <c r="H176">
        <f t="shared" si="28"/>
        <v>-900.48860064239977</v>
      </c>
      <c r="I176">
        <v>1</v>
      </c>
      <c r="J176">
        <f t="shared" si="29"/>
        <v>0.58691041444012471</v>
      </c>
      <c r="K176">
        <f t="shared" si="30"/>
        <v>-0.72101515177521747</v>
      </c>
      <c r="L176">
        <v>1</v>
      </c>
      <c r="M176">
        <f t="shared" si="31"/>
        <v>0.53902810429379089</v>
      </c>
      <c r="N176">
        <f t="shared" si="32"/>
        <v>0.14657151035999996</v>
      </c>
      <c r="O176">
        <f t="shared" si="33"/>
        <v>2.9673986759999996E-2</v>
      </c>
      <c r="P176">
        <f t="shared" si="34"/>
        <v>5.7415503614266193E-3</v>
      </c>
    </row>
    <row r="177" spans="1:16" x14ac:dyDescent="0.3">
      <c r="A177">
        <v>9.0476171999999995</v>
      </c>
      <c r="B177">
        <v>0.49904999999999999</v>
      </c>
      <c r="C177">
        <f t="shared" si="25"/>
        <v>4.51521336366</v>
      </c>
      <c r="D177">
        <v>1.6299999999999999E-2</v>
      </c>
      <c r="E177">
        <v>3.3E-3</v>
      </c>
      <c r="F177">
        <f t="shared" si="26"/>
        <v>1809.5234399999999</v>
      </c>
      <c r="G177">
        <f t="shared" si="27"/>
        <v>-0.49904999999999999</v>
      </c>
      <c r="H177">
        <f t="shared" si="28"/>
        <v>-903.04267273200003</v>
      </c>
      <c r="I177">
        <v>1</v>
      </c>
      <c r="J177">
        <f t="shared" si="29"/>
        <v>0.59306351779241562</v>
      </c>
      <c r="K177">
        <f t="shared" si="30"/>
        <v>-0.72267515177521746</v>
      </c>
      <c r="L177">
        <v>1</v>
      </c>
      <c r="M177">
        <f t="shared" si="31"/>
        <v>0.53931010102042642</v>
      </c>
      <c r="N177">
        <f t="shared" si="32"/>
        <v>0.14747616035999997</v>
      </c>
      <c r="O177">
        <f t="shared" si="33"/>
        <v>2.9857136759999996E-2</v>
      </c>
      <c r="P177">
        <f t="shared" si="34"/>
        <v>6.0317536347910712E-3</v>
      </c>
    </row>
    <row r="178" spans="1:16" x14ac:dyDescent="0.3">
      <c r="A178">
        <v>9.0990449000000009</v>
      </c>
      <c r="B178">
        <v>0.49736999999999998</v>
      </c>
      <c r="C178">
        <f t="shared" si="25"/>
        <v>4.5255919619130003</v>
      </c>
      <c r="D178">
        <v>1.6299999999999999E-2</v>
      </c>
      <c r="E178">
        <v>3.3E-3</v>
      </c>
      <c r="F178">
        <f t="shared" si="26"/>
        <v>1819.8089800000002</v>
      </c>
      <c r="G178">
        <f t="shared" si="27"/>
        <v>-0.49736999999999998</v>
      </c>
      <c r="H178">
        <f t="shared" si="28"/>
        <v>-905.11839238260006</v>
      </c>
      <c r="I178">
        <v>1</v>
      </c>
      <c r="J178">
        <f t="shared" si="29"/>
        <v>0.59873153953647718</v>
      </c>
      <c r="K178">
        <f t="shared" si="30"/>
        <v>-0.72435515177521748</v>
      </c>
      <c r="L178">
        <v>1</v>
      </c>
      <c r="M178">
        <f t="shared" si="31"/>
        <v>0.5395698664569567</v>
      </c>
      <c r="N178">
        <f t="shared" si="32"/>
        <v>0.14831443187000001</v>
      </c>
      <c r="O178">
        <f t="shared" si="33"/>
        <v>3.0026848170000002E-2</v>
      </c>
      <c r="P178">
        <f t="shared" si="34"/>
        <v>6.4440052782607574E-3</v>
      </c>
    </row>
    <row r="179" spans="1:16" x14ac:dyDescent="0.3">
      <c r="A179">
        <v>9.1499629000000002</v>
      </c>
      <c r="B179">
        <v>0.49573</v>
      </c>
      <c r="C179">
        <f t="shared" si="25"/>
        <v>4.5359111084170003</v>
      </c>
      <c r="D179">
        <v>1.6299999999999999E-2</v>
      </c>
      <c r="E179">
        <v>3.3E-3</v>
      </c>
      <c r="F179">
        <f t="shared" si="26"/>
        <v>1829.9925800000001</v>
      </c>
      <c r="G179">
        <f t="shared" si="27"/>
        <v>-0.49573</v>
      </c>
      <c r="H179">
        <f t="shared" si="28"/>
        <v>-907.18222168340003</v>
      </c>
      <c r="I179">
        <v>1</v>
      </c>
      <c r="J179">
        <f t="shared" si="29"/>
        <v>0.60431191220030078</v>
      </c>
      <c r="K179">
        <f t="shared" si="30"/>
        <v>-0.72599515177521745</v>
      </c>
      <c r="L179">
        <v>1</v>
      </c>
      <c r="M179">
        <f t="shared" si="31"/>
        <v>0.53982561493613979</v>
      </c>
      <c r="N179">
        <f t="shared" si="32"/>
        <v>0.14914439526999998</v>
      </c>
      <c r="O179">
        <f t="shared" si="33"/>
        <v>3.019487757E-2</v>
      </c>
      <c r="P179">
        <f t="shared" si="34"/>
        <v>6.8302639990776848E-3</v>
      </c>
    </row>
    <row r="180" spans="1:16" x14ac:dyDescent="0.3">
      <c r="A180">
        <v>9.2013915999999991</v>
      </c>
      <c r="B180">
        <v>0.49419999999999997</v>
      </c>
      <c r="C180">
        <f t="shared" si="25"/>
        <v>4.5473277287199991</v>
      </c>
      <c r="D180">
        <v>1.6299999999999999E-2</v>
      </c>
      <c r="E180">
        <v>3.3E-3</v>
      </c>
      <c r="F180">
        <f t="shared" si="26"/>
        <v>1840.2783199999999</v>
      </c>
      <c r="G180">
        <f t="shared" si="27"/>
        <v>-0.49419999999999997</v>
      </c>
      <c r="H180">
        <f t="shared" si="28"/>
        <v>-909.46554574399988</v>
      </c>
      <c r="I180">
        <v>1</v>
      </c>
      <c r="J180">
        <f t="shared" si="29"/>
        <v>0.60991682105168754</v>
      </c>
      <c r="K180">
        <f t="shared" si="30"/>
        <v>-0.72752515177521748</v>
      </c>
      <c r="L180">
        <v>1</v>
      </c>
      <c r="M180">
        <f t="shared" si="31"/>
        <v>0.54008248790879887</v>
      </c>
      <c r="N180">
        <f t="shared" si="32"/>
        <v>0.14998268307999998</v>
      </c>
      <c r="O180">
        <f t="shared" si="33"/>
        <v>3.0364592279999998E-2</v>
      </c>
      <c r="P180">
        <f t="shared" si="34"/>
        <v>7.0953885064186303E-3</v>
      </c>
    </row>
    <row r="181" spans="1:16" x14ac:dyDescent="0.3">
      <c r="A181">
        <v>9.2543466999999993</v>
      </c>
      <c r="B181">
        <v>0.49249999999999999</v>
      </c>
      <c r="C181">
        <f t="shared" si="25"/>
        <v>4.5577657497499997</v>
      </c>
      <c r="D181">
        <v>1.6299999999999999E-2</v>
      </c>
      <c r="E181">
        <v>3.3E-3</v>
      </c>
      <c r="F181">
        <f t="shared" si="26"/>
        <v>1850.8693399999997</v>
      </c>
      <c r="G181">
        <f t="shared" si="27"/>
        <v>-0.49249999999999999</v>
      </c>
      <c r="H181">
        <f t="shared" si="28"/>
        <v>-911.55314994999992</v>
      </c>
      <c r="I181">
        <v>1</v>
      </c>
      <c r="J181">
        <f t="shared" si="29"/>
        <v>0.61565544222896817</v>
      </c>
      <c r="K181">
        <f t="shared" si="30"/>
        <v>-0.72922515177521752</v>
      </c>
      <c r="L181">
        <v>1</v>
      </c>
      <c r="M181">
        <f t="shared" si="31"/>
        <v>0.54034548891735357</v>
      </c>
      <c r="N181">
        <f t="shared" si="32"/>
        <v>0.15084585120999996</v>
      </c>
      <c r="O181">
        <f t="shared" si="33"/>
        <v>3.0539344109999998E-2</v>
      </c>
      <c r="P181">
        <f t="shared" si="34"/>
        <v>7.4944675378639872E-3</v>
      </c>
    </row>
    <row r="182" spans="1:16" x14ac:dyDescent="0.3">
      <c r="A182">
        <v>9.3083193000000009</v>
      </c>
      <c r="B182">
        <v>0.49080000000000001</v>
      </c>
      <c r="C182">
        <f t="shared" si="25"/>
        <v>4.5685231124400003</v>
      </c>
      <c r="D182">
        <v>1.6299999999999999E-2</v>
      </c>
      <c r="E182">
        <v>3.3E-3</v>
      </c>
      <c r="F182">
        <f t="shared" si="26"/>
        <v>1861.6638600000001</v>
      </c>
      <c r="G182">
        <f t="shared" si="27"/>
        <v>-0.49080000000000001</v>
      </c>
      <c r="H182">
        <f t="shared" si="28"/>
        <v>-913.70462248800004</v>
      </c>
      <c r="I182">
        <v>1</v>
      </c>
      <c r="J182">
        <f t="shared" si="29"/>
        <v>0.62147063624224919</v>
      </c>
      <c r="K182">
        <f t="shared" si="30"/>
        <v>-0.73092515177521744</v>
      </c>
      <c r="L182">
        <v>1</v>
      </c>
      <c r="M182">
        <f t="shared" si="31"/>
        <v>0.54061199925898229</v>
      </c>
      <c r="N182">
        <f t="shared" si="32"/>
        <v>0.15172560459000001</v>
      </c>
      <c r="O182">
        <f t="shared" si="33"/>
        <v>3.0717453690000004E-2</v>
      </c>
      <c r="P182">
        <f t="shared" si="34"/>
        <v>7.8700942362351402E-3</v>
      </c>
    </row>
    <row r="183" spans="1:16" x14ac:dyDescent="0.3">
      <c r="A183">
        <v>9.3607645999999995</v>
      </c>
      <c r="B183">
        <v>0.48921999999999999</v>
      </c>
      <c r="C183">
        <f t="shared" si="25"/>
        <v>4.5794732576119994</v>
      </c>
      <c r="D183">
        <v>1.6299999999999999E-2</v>
      </c>
      <c r="E183">
        <v>3.3E-3</v>
      </c>
      <c r="F183">
        <f t="shared" si="26"/>
        <v>1872.15292</v>
      </c>
      <c r="G183">
        <f t="shared" si="27"/>
        <v>-0.48921999999999999</v>
      </c>
      <c r="H183">
        <f t="shared" si="28"/>
        <v>-915.89465152239984</v>
      </c>
      <c r="I183">
        <v>1</v>
      </c>
      <c r="J183">
        <f t="shared" si="29"/>
        <v>0.62708906275330256</v>
      </c>
      <c r="K183">
        <f t="shared" si="30"/>
        <v>-0.73250515177521747</v>
      </c>
      <c r="L183">
        <v>1</v>
      </c>
      <c r="M183">
        <f t="shared" si="31"/>
        <v>0.54086949174598387</v>
      </c>
      <c r="N183">
        <f t="shared" si="32"/>
        <v>0.15258046297999997</v>
      </c>
      <c r="O183">
        <f t="shared" si="33"/>
        <v>3.0890523179999997E-2</v>
      </c>
      <c r="P183">
        <f t="shared" si="34"/>
        <v>8.1646738692336338E-3</v>
      </c>
    </row>
    <row r="184" spans="1:16" x14ac:dyDescent="0.3">
      <c r="A184">
        <v>9.4111747999999995</v>
      </c>
      <c r="B184">
        <v>0.48743999999999998</v>
      </c>
      <c r="C184">
        <f t="shared" si="25"/>
        <v>4.5873830445119994</v>
      </c>
      <c r="D184">
        <v>1.6299999999999999E-2</v>
      </c>
      <c r="E184">
        <v>3.3E-3</v>
      </c>
      <c r="F184">
        <f t="shared" si="26"/>
        <v>1882.23496</v>
      </c>
      <c r="G184">
        <f t="shared" si="27"/>
        <v>-0.48743999999999998</v>
      </c>
      <c r="H184">
        <f t="shared" si="28"/>
        <v>-917.4766089023999</v>
      </c>
      <c r="I184">
        <v>1</v>
      </c>
      <c r="J184">
        <f t="shared" si="29"/>
        <v>0.63245987927919378</v>
      </c>
      <c r="K184">
        <f t="shared" si="30"/>
        <v>-0.73428515177521747</v>
      </c>
      <c r="L184">
        <v>1</v>
      </c>
      <c r="M184">
        <f t="shared" si="31"/>
        <v>0.54111563626736547</v>
      </c>
      <c r="N184">
        <f t="shared" si="32"/>
        <v>0.15340214923999998</v>
      </c>
      <c r="O184">
        <f t="shared" si="33"/>
        <v>3.1056876839999997E-2</v>
      </c>
      <c r="P184">
        <f t="shared" si="34"/>
        <v>8.7104894278520195E-3</v>
      </c>
    </row>
    <row r="185" spans="1:16" x14ac:dyDescent="0.3">
      <c r="A185">
        <v>9.4631112999999996</v>
      </c>
      <c r="B185">
        <v>0.48603000000000002</v>
      </c>
      <c r="C185">
        <f t="shared" si="25"/>
        <v>4.5993559851389998</v>
      </c>
      <c r="D185">
        <v>1.6299999999999999E-2</v>
      </c>
      <c r="E185">
        <v>3.3E-3</v>
      </c>
      <c r="F185">
        <f t="shared" si="26"/>
        <v>1892.6222599999999</v>
      </c>
      <c r="G185">
        <f t="shared" si="27"/>
        <v>-0.48603000000000002</v>
      </c>
      <c r="H185">
        <f t="shared" si="28"/>
        <v>-919.87119702780001</v>
      </c>
      <c r="I185">
        <v>1</v>
      </c>
      <c r="J185">
        <f t="shared" si="29"/>
        <v>0.63796330662063006</v>
      </c>
      <c r="K185">
        <f t="shared" si="30"/>
        <v>-0.73569515177521749</v>
      </c>
      <c r="L185">
        <v>1</v>
      </c>
      <c r="M185">
        <f t="shared" si="31"/>
        <v>0.5413678583424234</v>
      </c>
      <c r="N185">
        <f t="shared" si="32"/>
        <v>0.15424871418999997</v>
      </c>
      <c r="O185">
        <f t="shared" si="33"/>
        <v>3.1228267289999997E-2</v>
      </c>
      <c r="P185">
        <f t="shared" si="34"/>
        <v>8.8503119527941244E-3</v>
      </c>
    </row>
    <row r="186" spans="1:16" x14ac:dyDescent="0.3">
      <c r="A186">
        <v>9.5135205000000003</v>
      </c>
      <c r="B186">
        <v>0.48435</v>
      </c>
      <c r="C186">
        <f t="shared" si="25"/>
        <v>4.6078736541750001</v>
      </c>
      <c r="D186">
        <v>1.6299999999999999E-2</v>
      </c>
      <c r="E186">
        <v>3.3E-3</v>
      </c>
      <c r="F186">
        <f t="shared" si="26"/>
        <v>1902.7041000000002</v>
      </c>
      <c r="G186">
        <f t="shared" si="27"/>
        <v>-0.48435</v>
      </c>
      <c r="H186">
        <f t="shared" si="28"/>
        <v>-921.57473083499997</v>
      </c>
      <c r="I186">
        <v>1</v>
      </c>
      <c r="J186">
        <f t="shared" si="29"/>
        <v>0.64327608489450272</v>
      </c>
      <c r="K186">
        <f t="shared" si="30"/>
        <v>-0.7373751517752174</v>
      </c>
      <c r="L186">
        <v>1</v>
      </c>
      <c r="M186">
        <f t="shared" si="31"/>
        <v>0.541611342970715</v>
      </c>
      <c r="N186">
        <f t="shared" si="32"/>
        <v>0.15507038414999999</v>
      </c>
      <c r="O186">
        <f t="shared" si="33"/>
        <v>3.1394617649999998E-2</v>
      </c>
      <c r="P186">
        <f t="shared" si="34"/>
        <v>9.2988070045024046E-3</v>
      </c>
    </row>
    <row r="187" spans="1:16" x14ac:dyDescent="0.3">
      <c r="A187">
        <v>9.5710586000000006</v>
      </c>
      <c r="B187">
        <v>0.48293999999999998</v>
      </c>
      <c r="C187">
        <f t="shared" si="25"/>
        <v>4.6222470402839999</v>
      </c>
      <c r="D187">
        <v>1.6299999999999999E-2</v>
      </c>
      <c r="E187">
        <v>3.3E-3</v>
      </c>
      <c r="F187">
        <f t="shared" si="26"/>
        <v>1914.2117200000002</v>
      </c>
      <c r="G187">
        <f t="shared" si="27"/>
        <v>-0.48293999999999998</v>
      </c>
      <c r="H187">
        <f t="shared" si="28"/>
        <v>-924.44940805679994</v>
      </c>
      <c r="I187">
        <v>1</v>
      </c>
      <c r="J187">
        <f t="shared" si="29"/>
        <v>0.64930590342313443</v>
      </c>
      <c r="K187">
        <f t="shared" si="30"/>
        <v>-0.73878515177521753</v>
      </c>
      <c r="L187">
        <v>1</v>
      </c>
      <c r="M187">
        <f t="shared" si="31"/>
        <v>0.54188768955388222</v>
      </c>
      <c r="N187">
        <f t="shared" si="32"/>
        <v>0.15600825518</v>
      </c>
      <c r="O187">
        <f t="shared" si="33"/>
        <v>3.1584493380000002E-2</v>
      </c>
      <c r="P187">
        <f t="shared" si="34"/>
        <v>9.3047136613353051E-3</v>
      </c>
    </row>
    <row r="188" spans="1:16" x14ac:dyDescent="0.3">
      <c r="A188">
        <v>9.6240137000000008</v>
      </c>
      <c r="B188">
        <v>0.48086000000000001</v>
      </c>
      <c r="C188">
        <f t="shared" si="25"/>
        <v>4.6278032277820005</v>
      </c>
      <c r="D188">
        <v>1.6299999999999999E-2</v>
      </c>
      <c r="E188">
        <v>3.3E-3</v>
      </c>
      <c r="F188">
        <f t="shared" si="26"/>
        <v>1924.8027400000001</v>
      </c>
      <c r="G188">
        <f t="shared" si="27"/>
        <v>-0.48086000000000001</v>
      </c>
      <c r="H188">
        <f t="shared" si="28"/>
        <v>-925.56064555640012</v>
      </c>
      <c r="I188">
        <v>1</v>
      </c>
      <c r="J188">
        <f t="shared" si="29"/>
        <v>0.65482348976178628</v>
      </c>
      <c r="K188">
        <f t="shared" si="30"/>
        <v>-0.74086515177521739</v>
      </c>
      <c r="L188">
        <v>1</v>
      </c>
      <c r="M188">
        <f t="shared" si="31"/>
        <v>0.54214056053578263</v>
      </c>
      <c r="N188">
        <f t="shared" si="32"/>
        <v>0.15687142331000001</v>
      </c>
      <c r="O188">
        <f t="shared" si="33"/>
        <v>3.1759245210000002E-2</v>
      </c>
      <c r="P188">
        <f t="shared" si="34"/>
        <v>1.0093922719434746E-2</v>
      </c>
    </row>
    <row r="189" spans="1:16" x14ac:dyDescent="0.3">
      <c r="A189">
        <v>9.6749316000000007</v>
      </c>
      <c r="B189">
        <v>0.47938999999999998</v>
      </c>
      <c r="C189">
        <f t="shared" si="25"/>
        <v>4.6380654597240003</v>
      </c>
      <c r="D189">
        <v>1.6299999999999999E-2</v>
      </c>
      <c r="E189">
        <v>3.3E-3</v>
      </c>
      <c r="F189">
        <f t="shared" si="26"/>
        <v>1934.9863200000002</v>
      </c>
      <c r="G189">
        <f t="shared" si="27"/>
        <v>-0.47938999999999998</v>
      </c>
      <c r="H189">
        <f t="shared" si="28"/>
        <v>-927.61309194480009</v>
      </c>
      <c r="I189">
        <v>1</v>
      </c>
      <c r="J189">
        <f t="shared" si="29"/>
        <v>0.66010025668931238</v>
      </c>
      <c r="K189">
        <f t="shared" si="30"/>
        <v>-0.74233515177521747</v>
      </c>
      <c r="L189">
        <v>1</v>
      </c>
      <c r="M189">
        <f t="shared" si="31"/>
        <v>0.54238239476407113</v>
      </c>
      <c r="N189">
        <f t="shared" si="32"/>
        <v>0.15770138508000001</v>
      </c>
      <c r="O189">
        <f t="shared" si="33"/>
        <v>3.1927274280000001E-2</v>
      </c>
      <c r="P189">
        <f t="shared" si="34"/>
        <v>1.0324097651146336E-2</v>
      </c>
    </row>
    <row r="190" spans="1:16" x14ac:dyDescent="0.3">
      <c r="A190">
        <v>9.7258496000000001</v>
      </c>
      <c r="B190">
        <v>0.47765000000000002</v>
      </c>
      <c r="C190">
        <f t="shared" si="25"/>
        <v>4.6455520614400001</v>
      </c>
      <c r="D190">
        <v>1.6299999999999999E-2</v>
      </c>
      <c r="E190">
        <v>3.3E-3</v>
      </c>
      <c r="F190">
        <f t="shared" si="26"/>
        <v>1945.16992</v>
      </c>
      <c r="G190">
        <f t="shared" si="27"/>
        <v>-0.47765000000000002</v>
      </c>
      <c r="H190">
        <f t="shared" si="28"/>
        <v>-929.11041228800002</v>
      </c>
      <c r="I190">
        <v>1</v>
      </c>
      <c r="J190">
        <f t="shared" si="29"/>
        <v>0.66534933572239785</v>
      </c>
      <c r="K190">
        <f t="shared" si="30"/>
        <v>-0.74407515177521744</v>
      </c>
      <c r="L190">
        <v>1</v>
      </c>
      <c r="M190">
        <f t="shared" si="31"/>
        <v>0.54262296005615751</v>
      </c>
      <c r="N190">
        <f t="shared" si="32"/>
        <v>0.15853134848</v>
      </c>
      <c r="O190">
        <f t="shared" si="33"/>
        <v>3.2095303679999999E-2</v>
      </c>
      <c r="P190">
        <f t="shared" si="34"/>
        <v>1.0825539559059925E-2</v>
      </c>
    </row>
    <row r="191" spans="1:16" x14ac:dyDescent="0.3">
      <c r="A191">
        <v>9.7777870999999994</v>
      </c>
      <c r="B191">
        <v>0.47620000000000001</v>
      </c>
      <c r="C191">
        <f t="shared" si="25"/>
        <v>4.6561822170199996</v>
      </c>
      <c r="D191">
        <v>1.6299999999999999E-2</v>
      </c>
      <c r="E191">
        <v>3.3E-3</v>
      </c>
      <c r="F191">
        <f t="shared" si="26"/>
        <v>1955.5574199999999</v>
      </c>
      <c r="G191">
        <f t="shared" si="27"/>
        <v>-0.47620000000000001</v>
      </c>
      <c r="H191">
        <f t="shared" si="28"/>
        <v>-931.23644340399994</v>
      </c>
      <c r="I191">
        <v>1</v>
      </c>
      <c r="J191">
        <f t="shared" si="29"/>
        <v>0.67067527811652305</v>
      </c>
      <c r="K191">
        <f t="shared" si="30"/>
        <v>-0.7455251517752175</v>
      </c>
      <c r="L191">
        <v>1</v>
      </c>
      <c r="M191">
        <f t="shared" si="31"/>
        <v>0.54286704799608021</v>
      </c>
      <c r="N191">
        <f t="shared" si="32"/>
        <v>0.15937792972999998</v>
      </c>
      <c r="O191">
        <f t="shared" si="33"/>
        <v>3.2266697429999998E-2</v>
      </c>
      <c r="P191">
        <f t="shared" si="34"/>
        <v>1.1013476619137312E-2</v>
      </c>
    </row>
    <row r="192" spans="1:16" x14ac:dyDescent="0.3">
      <c r="A192">
        <v>9.8292138999999992</v>
      </c>
      <c r="B192">
        <v>0.47443999999999997</v>
      </c>
      <c r="C192">
        <f t="shared" si="25"/>
        <v>4.6633722427159991</v>
      </c>
      <c r="D192">
        <v>1.6299999999999999E-2</v>
      </c>
      <c r="E192">
        <v>3.3E-3</v>
      </c>
      <c r="F192">
        <f t="shared" si="26"/>
        <v>1965.8427799999999</v>
      </c>
      <c r="G192">
        <f t="shared" si="27"/>
        <v>-0.47443999999999997</v>
      </c>
      <c r="H192">
        <f t="shared" si="28"/>
        <v>-932.67444854319979</v>
      </c>
      <c r="I192">
        <v>1</v>
      </c>
      <c r="J192">
        <f t="shared" si="29"/>
        <v>0.67592104904606531</v>
      </c>
      <c r="K192">
        <f t="shared" si="30"/>
        <v>-0.74728515177521748</v>
      </c>
      <c r="L192">
        <v>1</v>
      </c>
      <c r="M192">
        <f t="shared" si="31"/>
        <v>0.54310746167778112</v>
      </c>
      <c r="N192">
        <f t="shared" si="32"/>
        <v>0.16021618656999997</v>
      </c>
      <c r="O192">
        <f t="shared" si="33"/>
        <v>3.2436405869999997E-2</v>
      </c>
      <c r="P192">
        <f t="shared" si="34"/>
        <v>1.1525097657436388E-2</v>
      </c>
    </row>
    <row r="193" spans="1:16" x14ac:dyDescent="0.3">
      <c r="A193">
        <v>9.8796239999999997</v>
      </c>
      <c r="B193">
        <v>0.47300999999999999</v>
      </c>
      <c r="C193">
        <f t="shared" si="25"/>
        <v>4.6731609482399996</v>
      </c>
      <c r="D193">
        <v>1.6299999999999999E-2</v>
      </c>
      <c r="E193">
        <v>3.3E-3</v>
      </c>
      <c r="F193">
        <f t="shared" si="26"/>
        <v>1975.9248</v>
      </c>
      <c r="G193">
        <f t="shared" si="27"/>
        <v>-0.47300999999999999</v>
      </c>
      <c r="H193">
        <f t="shared" si="28"/>
        <v>-934.63218964799989</v>
      </c>
      <c r="I193">
        <v>1</v>
      </c>
      <c r="J193">
        <f t="shared" si="29"/>
        <v>0.68103654192134033</v>
      </c>
      <c r="K193">
        <f t="shared" si="30"/>
        <v>-0.74871515177521752</v>
      </c>
      <c r="L193">
        <v>1</v>
      </c>
      <c r="M193">
        <f t="shared" si="31"/>
        <v>0.54334190471625499</v>
      </c>
      <c r="N193">
        <f t="shared" si="32"/>
        <v>0.16103787119999999</v>
      </c>
      <c r="O193">
        <f t="shared" si="33"/>
        <v>3.2602759199999998E-2</v>
      </c>
      <c r="P193">
        <f t="shared" si="34"/>
        <v>1.1732616658962552E-2</v>
      </c>
    </row>
    <row r="194" spans="1:16" x14ac:dyDescent="0.3">
      <c r="A194">
        <v>9.9305409999999998</v>
      </c>
      <c r="B194">
        <v>0.47131000000000001</v>
      </c>
      <c r="C194">
        <f t="shared" si="25"/>
        <v>4.6803632787099998</v>
      </c>
      <c r="D194">
        <v>1.6299999999999999E-2</v>
      </c>
      <c r="E194">
        <v>3.3E-3</v>
      </c>
      <c r="F194">
        <f t="shared" si="26"/>
        <v>1986.1081999999999</v>
      </c>
      <c r="G194">
        <f t="shared" si="27"/>
        <v>-0.47131000000000001</v>
      </c>
      <c r="H194">
        <f t="shared" si="28"/>
        <v>-936.07265574199994</v>
      </c>
      <c r="I194">
        <v>1</v>
      </c>
      <c r="J194">
        <f t="shared" si="29"/>
        <v>0.686177045508512</v>
      </c>
      <c r="K194">
        <f t="shared" si="30"/>
        <v>-0.75041515177521745</v>
      </c>
      <c r="L194">
        <v>1</v>
      </c>
      <c r="M194">
        <f t="shared" si="31"/>
        <v>0.54357749399565503</v>
      </c>
      <c r="N194">
        <f t="shared" si="32"/>
        <v>0.16186781829999999</v>
      </c>
      <c r="O194">
        <f t="shared" si="33"/>
        <v>3.2770785300000001E-2</v>
      </c>
      <c r="P194">
        <f t="shared" si="34"/>
        <v>1.2199054179562428E-2</v>
      </c>
    </row>
    <row r="195" spans="1:16" x14ac:dyDescent="0.3">
      <c r="A195">
        <v>9.9855332000000008</v>
      </c>
      <c r="B195">
        <v>0.46951999999999999</v>
      </c>
      <c r="C195">
        <f t="shared" si="25"/>
        <v>4.6884075480640002</v>
      </c>
      <c r="D195">
        <v>1.6299999999999999E-2</v>
      </c>
      <c r="E195">
        <v>3.3E-3</v>
      </c>
      <c r="F195">
        <f t="shared" si="26"/>
        <v>1997.1066400000002</v>
      </c>
      <c r="G195">
        <f t="shared" si="27"/>
        <v>-0.46951999999999999</v>
      </c>
      <c r="H195">
        <f t="shared" si="28"/>
        <v>-937.68150961280003</v>
      </c>
      <c r="I195">
        <v>1</v>
      </c>
      <c r="J195">
        <f t="shared" si="29"/>
        <v>0.69169945310809389</v>
      </c>
      <c r="K195">
        <f t="shared" si="30"/>
        <v>-0.75220515177521752</v>
      </c>
      <c r="L195">
        <v>1</v>
      </c>
      <c r="M195">
        <f t="shared" si="31"/>
        <v>0.54383058593594391</v>
      </c>
      <c r="N195">
        <f t="shared" si="32"/>
        <v>0.16276419115999999</v>
      </c>
      <c r="O195">
        <f t="shared" si="33"/>
        <v>3.2952259560000002E-2</v>
      </c>
      <c r="P195">
        <f t="shared" si="34"/>
        <v>1.2658115119273616E-2</v>
      </c>
    </row>
    <row r="196" spans="1:16" x14ac:dyDescent="0.3">
      <c r="A196">
        <v>10.037469</v>
      </c>
      <c r="B196">
        <v>0.46787000000000001</v>
      </c>
      <c r="C196">
        <f t="shared" ref="C196:C259" si="36">A196*B196</f>
        <v>4.6962306210299998</v>
      </c>
      <c r="D196">
        <v>1.6299999999999999E-2</v>
      </c>
      <c r="E196">
        <v>3.3E-3</v>
      </c>
      <c r="F196">
        <f t="shared" ref="F196:F259" si="37">A196*200</f>
        <v>2007.4938</v>
      </c>
      <c r="G196">
        <f t="shared" ref="G196:G259" si="38">-B196</f>
        <v>-0.46787000000000001</v>
      </c>
      <c r="H196">
        <f t="shared" ref="H196:H259" si="39">-C196*200</f>
        <v>-939.24612420599999</v>
      </c>
      <c r="I196">
        <v>1</v>
      </c>
      <c r="J196">
        <f t="shared" ref="J196:J259" si="40">LN(F196/1000)</f>
        <v>0.69688707841557951</v>
      </c>
      <c r="K196">
        <f t="shared" ref="K196:K259" si="41">((-G196)-$N$2)</f>
        <v>-0.75385515177521745</v>
      </c>
      <c r="L196">
        <v>1</v>
      </c>
      <c r="M196">
        <f t="shared" ref="M196:M259" si="42">-1*($S$4+($S$5*J196))</f>
        <v>0.54406833480378602</v>
      </c>
      <c r="N196">
        <f t="shared" ref="N196:N259" si="43">D196*A196</f>
        <v>0.16361074469999998</v>
      </c>
      <c r="O196">
        <f t="shared" ref="O196:O259" si="44">E196*A196</f>
        <v>3.3123647700000002E-2</v>
      </c>
      <c r="P196">
        <f t="shared" ref="P196:P259" si="45">-K196-M196-N196-O196</f>
        <v>1.3052424571431444E-2</v>
      </c>
    </row>
    <row r="197" spans="1:16" x14ac:dyDescent="0.3">
      <c r="A197">
        <v>10.090426000000001</v>
      </c>
      <c r="B197">
        <v>0.46639000000000003</v>
      </c>
      <c r="C197">
        <f t="shared" si="36"/>
        <v>4.7060737821400007</v>
      </c>
      <c r="D197">
        <v>1.6299999999999999E-2</v>
      </c>
      <c r="E197">
        <v>3.3E-3</v>
      </c>
      <c r="F197">
        <f t="shared" si="37"/>
        <v>2018.0852000000002</v>
      </c>
      <c r="G197">
        <f t="shared" si="38"/>
        <v>-0.46639000000000003</v>
      </c>
      <c r="H197">
        <f t="shared" si="39"/>
        <v>-941.2147564280001</v>
      </c>
      <c r="I197">
        <v>1</v>
      </c>
      <c r="J197">
        <f t="shared" si="40"/>
        <v>0.70214914105999904</v>
      </c>
      <c r="K197">
        <f t="shared" si="41"/>
        <v>-0.75533515177521737</v>
      </c>
      <c r="L197">
        <v>1</v>
      </c>
      <c r="M197">
        <f t="shared" si="42"/>
        <v>0.54430949513477977</v>
      </c>
      <c r="N197">
        <f t="shared" si="43"/>
        <v>0.16447394379999999</v>
      </c>
      <c r="O197">
        <f t="shared" si="44"/>
        <v>3.32984058E-2</v>
      </c>
      <c r="P197">
        <f t="shared" si="45"/>
        <v>1.3253307040437604E-2</v>
      </c>
    </row>
    <row r="198" spans="1:16" x14ac:dyDescent="0.3">
      <c r="A198">
        <v>10.142360999999999</v>
      </c>
      <c r="B198">
        <v>0.46465000000000001</v>
      </c>
      <c r="C198">
        <f t="shared" si="36"/>
        <v>4.7126480386499994</v>
      </c>
      <c r="D198">
        <v>1.6299999999999999E-2</v>
      </c>
      <c r="E198">
        <v>3.3E-3</v>
      </c>
      <c r="F198">
        <f t="shared" si="37"/>
        <v>2028.4721999999999</v>
      </c>
      <c r="G198">
        <f t="shared" si="38"/>
        <v>-0.46465000000000001</v>
      </c>
      <c r="H198">
        <f t="shared" si="39"/>
        <v>-942.52960772999984</v>
      </c>
      <c r="I198">
        <v>1</v>
      </c>
      <c r="J198">
        <f t="shared" si="40"/>
        <v>0.70728289886254225</v>
      </c>
      <c r="K198">
        <f t="shared" si="41"/>
        <v>-0.75707515177521745</v>
      </c>
      <c r="L198">
        <v>1</v>
      </c>
      <c r="M198">
        <f t="shared" si="42"/>
        <v>0.54454477525487033</v>
      </c>
      <c r="N198">
        <f t="shared" si="43"/>
        <v>0.16532048429999999</v>
      </c>
      <c r="O198">
        <f t="shared" si="44"/>
        <v>3.3469791299999996E-2</v>
      </c>
      <c r="P198">
        <f t="shared" si="45"/>
        <v>1.3740100920347137E-2</v>
      </c>
    </row>
    <row r="199" spans="1:16" x14ac:dyDescent="0.3">
      <c r="A199">
        <v>10.193279</v>
      </c>
      <c r="B199">
        <v>0.46293000000000001</v>
      </c>
      <c r="C199">
        <f t="shared" si="36"/>
        <v>4.7187746474700001</v>
      </c>
      <c r="D199">
        <v>1.6299999999999999E-2</v>
      </c>
      <c r="E199">
        <v>3.3E-3</v>
      </c>
      <c r="F199">
        <f t="shared" si="37"/>
        <v>2038.6558</v>
      </c>
      <c r="G199">
        <f t="shared" si="38"/>
        <v>-0.46293000000000001</v>
      </c>
      <c r="H199">
        <f t="shared" si="39"/>
        <v>-943.75492949400007</v>
      </c>
      <c r="I199">
        <v>1</v>
      </c>
      <c r="J199">
        <f t="shared" si="40"/>
        <v>0.71229066910327055</v>
      </c>
      <c r="K199">
        <f t="shared" si="41"/>
        <v>-0.75879515177521739</v>
      </c>
      <c r="L199">
        <v>1</v>
      </c>
      <c r="M199">
        <f t="shared" si="42"/>
        <v>0.54477428136500283</v>
      </c>
      <c r="N199">
        <f t="shared" si="43"/>
        <v>0.16615044769999998</v>
      </c>
      <c r="O199">
        <f t="shared" si="44"/>
        <v>3.3637820700000001E-2</v>
      </c>
      <c r="P199">
        <f t="shared" si="45"/>
        <v>1.4232602010214576E-2</v>
      </c>
    </row>
    <row r="200" spans="1:16" x14ac:dyDescent="0.3">
      <c r="A200">
        <v>10.243689</v>
      </c>
      <c r="B200">
        <v>0.46145999999999998</v>
      </c>
      <c r="C200">
        <f t="shared" si="36"/>
        <v>4.7270527259400001</v>
      </c>
      <c r="D200">
        <v>1.6299999999999999E-2</v>
      </c>
      <c r="E200">
        <v>3.3E-3</v>
      </c>
      <c r="F200">
        <f t="shared" si="37"/>
        <v>2048.7377999999999</v>
      </c>
      <c r="G200">
        <f t="shared" si="38"/>
        <v>-0.46145999999999998</v>
      </c>
      <c r="H200">
        <f t="shared" si="39"/>
        <v>-945.41054518800001</v>
      </c>
      <c r="I200">
        <v>1</v>
      </c>
      <c r="J200">
        <f t="shared" si="40"/>
        <v>0.71722389620765359</v>
      </c>
      <c r="K200">
        <f t="shared" si="41"/>
        <v>-0.76026515177521747</v>
      </c>
      <c r="L200">
        <v>1</v>
      </c>
      <c r="M200">
        <f t="shared" si="42"/>
        <v>0.54500037116319677</v>
      </c>
      <c r="N200">
        <f t="shared" si="43"/>
        <v>0.16697213069999997</v>
      </c>
      <c r="O200">
        <f t="shared" si="44"/>
        <v>3.3804173700000002E-2</v>
      </c>
      <c r="P200">
        <f t="shared" si="45"/>
        <v>1.4488476212020727E-2</v>
      </c>
    </row>
    <row r="201" spans="1:16" x14ac:dyDescent="0.3">
      <c r="A201">
        <v>10.294606999999999</v>
      </c>
      <c r="B201">
        <v>0.45976</v>
      </c>
      <c r="C201">
        <f t="shared" si="36"/>
        <v>4.7330485143200001</v>
      </c>
      <c r="D201">
        <v>1.6299999999999999E-2</v>
      </c>
      <c r="E201">
        <v>3.3E-3</v>
      </c>
      <c r="F201">
        <f t="shared" si="37"/>
        <v>2058.9213999999997</v>
      </c>
      <c r="G201">
        <f t="shared" si="38"/>
        <v>-0.45976</v>
      </c>
      <c r="H201">
        <f t="shared" si="39"/>
        <v>-946.60970286400004</v>
      </c>
      <c r="I201">
        <v>1</v>
      </c>
      <c r="J201">
        <f t="shared" si="40"/>
        <v>0.72218225344620035</v>
      </c>
      <c r="K201">
        <f t="shared" si="41"/>
        <v>-0.76196515177521751</v>
      </c>
      <c r="L201">
        <v>1</v>
      </c>
      <c r="M201">
        <f t="shared" si="42"/>
        <v>0.54522761267543929</v>
      </c>
      <c r="N201">
        <f t="shared" si="43"/>
        <v>0.16780209409999997</v>
      </c>
      <c r="O201">
        <f t="shared" si="44"/>
        <v>3.3972203099999994E-2</v>
      </c>
      <c r="P201">
        <f t="shared" si="45"/>
        <v>1.4963241899778261E-2</v>
      </c>
    </row>
    <row r="202" spans="1:16" x14ac:dyDescent="0.3">
      <c r="A202">
        <v>10.345015999999999</v>
      </c>
      <c r="B202">
        <v>0.45818999999999999</v>
      </c>
      <c r="C202">
        <f t="shared" si="36"/>
        <v>4.7399828810399995</v>
      </c>
      <c r="D202">
        <v>1.6299999999999999E-2</v>
      </c>
      <c r="E202">
        <v>3.3E-3</v>
      </c>
      <c r="F202">
        <f t="shared" si="37"/>
        <v>2069.0031999999997</v>
      </c>
      <c r="G202">
        <f t="shared" si="38"/>
        <v>-0.45818999999999999</v>
      </c>
      <c r="H202">
        <f t="shared" si="39"/>
        <v>-947.99657620799985</v>
      </c>
      <c r="I202">
        <v>1</v>
      </c>
      <c r="J202">
        <f t="shared" si="40"/>
        <v>0.72706694540309902</v>
      </c>
      <c r="K202">
        <f t="shared" si="41"/>
        <v>-0.76353515177521747</v>
      </c>
      <c r="L202">
        <v>1</v>
      </c>
      <c r="M202">
        <f t="shared" si="42"/>
        <v>0.54545147810782402</v>
      </c>
      <c r="N202">
        <f t="shared" si="43"/>
        <v>0.16862376079999997</v>
      </c>
      <c r="O202">
        <f t="shared" si="44"/>
        <v>3.4138552799999999E-2</v>
      </c>
      <c r="P202">
        <f t="shared" si="45"/>
        <v>1.5321360067393486E-2</v>
      </c>
    </row>
    <row r="203" spans="1:16" x14ac:dyDescent="0.3">
      <c r="A203">
        <v>10.396444000000001</v>
      </c>
      <c r="B203">
        <v>0.45635999999999999</v>
      </c>
      <c r="C203">
        <f t="shared" si="36"/>
        <v>4.7445211838399999</v>
      </c>
      <c r="D203">
        <v>1.6299999999999999E-2</v>
      </c>
      <c r="E203">
        <v>3.3E-3</v>
      </c>
      <c r="F203">
        <f t="shared" si="37"/>
        <v>2079.2888000000003</v>
      </c>
      <c r="G203">
        <f t="shared" si="38"/>
        <v>-0.45635999999999999</v>
      </c>
      <c r="H203">
        <f t="shared" si="39"/>
        <v>-948.90423676799992</v>
      </c>
      <c r="I203">
        <v>1</v>
      </c>
      <c r="J203">
        <f t="shared" si="40"/>
        <v>0.73202591216727997</v>
      </c>
      <c r="K203">
        <f t="shared" si="41"/>
        <v>-0.76536515177521747</v>
      </c>
      <c r="L203">
        <v>1</v>
      </c>
      <c r="M203">
        <f t="shared" si="42"/>
        <v>0.54567874755462642</v>
      </c>
      <c r="N203">
        <f t="shared" si="43"/>
        <v>0.1694620372</v>
      </c>
      <c r="O203">
        <f t="shared" si="44"/>
        <v>3.43082652E-2</v>
      </c>
      <c r="P203">
        <f t="shared" si="45"/>
        <v>1.5916101820591048E-2</v>
      </c>
    </row>
    <row r="204" spans="1:16" x14ac:dyDescent="0.3">
      <c r="A204">
        <v>10.450417</v>
      </c>
      <c r="B204">
        <v>0.45483000000000001</v>
      </c>
      <c r="C204">
        <f t="shared" si="36"/>
        <v>4.7531631641100001</v>
      </c>
      <c r="D204">
        <v>1.6299999999999999E-2</v>
      </c>
      <c r="E204">
        <v>3.3E-3</v>
      </c>
      <c r="F204">
        <f t="shared" si="37"/>
        <v>2090.0834</v>
      </c>
      <c r="G204">
        <f t="shared" si="38"/>
        <v>-0.45483000000000001</v>
      </c>
      <c r="H204">
        <f t="shared" si="39"/>
        <v>-950.63263282200001</v>
      </c>
      <c r="I204">
        <v>1</v>
      </c>
      <c r="J204">
        <f t="shared" si="40"/>
        <v>0.73720396948678413</v>
      </c>
      <c r="K204">
        <f t="shared" si="41"/>
        <v>-0.76689515177521739</v>
      </c>
      <c r="L204">
        <v>1</v>
      </c>
      <c r="M204">
        <f t="shared" si="42"/>
        <v>0.54591605792157927</v>
      </c>
      <c r="N204">
        <f t="shared" si="43"/>
        <v>0.17034179709999997</v>
      </c>
      <c r="O204">
        <f t="shared" si="44"/>
        <v>3.44863761E-2</v>
      </c>
      <c r="P204">
        <f t="shared" si="45"/>
        <v>1.615092065363815E-2</v>
      </c>
    </row>
    <row r="205" spans="1:16" x14ac:dyDescent="0.3">
      <c r="A205">
        <v>10.501844</v>
      </c>
      <c r="B205">
        <v>0.45317000000000002</v>
      </c>
      <c r="C205">
        <f t="shared" si="36"/>
        <v>4.7591206454800004</v>
      </c>
      <c r="D205">
        <v>1.6299999999999999E-2</v>
      </c>
      <c r="E205">
        <v>3.3E-3</v>
      </c>
      <c r="F205">
        <f t="shared" si="37"/>
        <v>2100.3688000000002</v>
      </c>
      <c r="G205">
        <f t="shared" si="38"/>
        <v>-0.45317000000000002</v>
      </c>
      <c r="H205">
        <f t="shared" si="39"/>
        <v>-951.82412909600009</v>
      </c>
      <c r="I205">
        <v>1</v>
      </c>
      <c r="J205">
        <f t="shared" si="40"/>
        <v>0.74211294835777664</v>
      </c>
      <c r="K205">
        <f t="shared" si="41"/>
        <v>-0.76855515177521738</v>
      </c>
      <c r="L205">
        <v>1</v>
      </c>
      <c r="M205">
        <f t="shared" si="42"/>
        <v>0.54614103642323686</v>
      </c>
      <c r="N205">
        <f t="shared" si="43"/>
        <v>0.17118005719999999</v>
      </c>
      <c r="O205">
        <f t="shared" si="44"/>
        <v>3.4656085199999999E-2</v>
      </c>
      <c r="P205">
        <f t="shared" si="45"/>
        <v>1.6577972951980539E-2</v>
      </c>
    </row>
    <row r="206" spans="1:16" x14ac:dyDescent="0.3">
      <c r="A206">
        <v>10.553272</v>
      </c>
      <c r="B206">
        <v>0.45140000000000002</v>
      </c>
      <c r="C206">
        <f t="shared" si="36"/>
        <v>4.7637469807999997</v>
      </c>
      <c r="D206">
        <v>1.6299999999999999E-2</v>
      </c>
      <c r="E206">
        <v>3.3E-3</v>
      </c>
      <c r="F206">
        <f t="shared" si="37"/>
        <v>2110.6543999999999</v>
      </c>
      <c r="G206">
        <f t="shared" si="38"/>
        <v>-0.45140000000000002</v>
      </c>
      <c r="H206">
        <f t="shared" si="39"/>
        <v>-952.74939615999995</v>
      </c>
      <c r="I206">
        <v>1</v>
      </c>
      <c r="J206">
        <f t="shared" si="40"/>
        <v>0.74699804158392569</v>
      </c>
      <c r="K206">
        <f t="shared" si="41"/>
        <v>-0.77032515177521743</v>
      </c>
      <c r="L206">
        <v>1</v>
      </c>
      <c r="M206">
        <f t="shared" si="42"/>
        <v>0.54636492024579131</v>
      </c>
      <c r="N206">
        <f t="shared" si="43"/>
        <v>0.17201833359999999</v>
      </c>
      <c r="O206">
        <f t="shared" si="44"/>
        <v>3.48257976E-2</v>
      </c>
      <c r="P206">
        <f t="shared" si="45"/>
        <v>1.7116100329426134E-2</v>
      </c>
    </row>
    <row r="207" spans="1:16" x14ac:dyDescent="0.3">
      <c r="A207">
        <v>10.604699999999999</v>
      </c>
      <c r="B207">
        <v>0.44979000000000002</v>
      </c>
      <c r="C207">
        <f t="shared" si="36"/>
        <v>4.7698880130000001</v>
      </c>
      <c r="D207">
        <v>1.6299999999999999E-2</v>
      </c>
      <c r="E207">
        <v>3.3E-3</v>
      </c>
      <c r="F207">
        <f t="shared" si="37"/>
        <v>2120.94</v>
      </c>
      <c r="G207">
        <f t="shared" si="38"/>
        <v>-0.44979000000000002</v>
      </c>
      <c r="H207">
        <f t="shared" si="39"/>
        <v>-953.97760260000007</v>
      </c>
      <c r="I207">
        <v>1</v>
      </c>
      <c r="J207">
        <f t="shared" si="40"/>
        <v>0.75185938663927698</v>
      </c>
      <c r="K207">
        <f t="shared" si="41"/>
        <v>-0.77193515177521743</v>
      </c>
      <c r="L207">
        <v>1</v>
      </c>
      <c r="M207">
        <f t="shared" si="42"/>
        <v>0.54658771568967801</v>
      </c>
      <c r="N207">
        <f t="shared" si="43"/>
        <v>0.17285660999999997</v>
      </c>
      <c r="O207">
        <f t="shared" si="44"/>
        <v>3.4995510000000001E-2</v>
      </c>
      <c r="P207">
        <f t="shared" si="45"/>
        <v>1.7495316085539454E-2</v>
      </c>
    </row>
    <row r="208" spans="1:16" x14ac:dyDescent="0.3">
      <c r="A208">
        <v>10.656127</v>
      </c>
      <c r="B208">
        <v>0.44797999999999999</v>
      </c>
      <c r="C208">
        <f t="shared" si="36"/>
        <v>4.7737317734599998</v>
      </c>
      <c r="D208">
        <v>1.6299999999999999E-2</v>
      </c>
      <c r="E208">
        <v>3.3E-3</v>
      </c>
      <c r="F208">
        <f t="shared" si="37"/>
        <v>2131.2253999999998</v>
      </c>
      <c r="G208">
        <f t="shared" si="38"/>
        <v>-0.44797999999999999</v>
      </c>
      <c r="H208">
        <f t="shared" si="39"/>
        <v>-954.74635469199995</v>
      </c>
      <c r="I208">
        <v>1</v>
      </c>
      <c r="J208">
        <f t="shared" si="40"/>
        <v>0.75669711946108031</v>
      </c>
      <c r="K208">
        <f t="shared" si="41"/>
        <v>-0.77374515177521741</v>
      </c>
      <c r="L208">
        <v>1</v>
      </c>
      <c r="M208">
        <f t="shared" si="42"/>
        <v>0.54680942898490126</v>
      </c>
      <c r="N208">
        <f t="shared" si="43"/>
        <v>0.17369487009999998</v>
      </c>
      <c r="O208">
        <f t="shared" si="44"/>
        <v>3.5165219099999999E-2</v>
      </c>
      <c r="P208">
        <f t="shared" si="45"/>
        <v>1.8075633590316172E-2</v>
      </c>
    </row>
    <row r="209" spans="1:16" x14ac:dyDescent="0.3">
      <c r="A209">
        <v>10.708064</v>
      </c>
      <c r="B209">
        <v>0.44629999999999997</v>
      </c>
      <c r="C209">
        <f t="shared" si="36"/>
        <v>4.7790089631999999</v>
      </c>
      <c r="D209">
        <v>1.6299999999999999E-2</v>
      </c>
      <c r="E209">
        <v>3.3E-3</v>
      </c>
      <c r="F209">
        <f t="shared" si="37"/>
        <v>2141.6127999999999</v>
      </c>
      <c r="G209">
        <f t="shared" si="38"/>
        <v>-0.44629999999999997</v>
      </c>
      <c r="H209">
        <f t="shared" si="39"/>
        <v>-955.80179264000003</v>
      </c>
      <c r="I209">
        <v>1</v>
      </c>
      <c r="J209">
        <f t="shared" si="40"/>
        <v>0.76155919004589034</v>
      </c>
      <c r="K209">
        <f t="shared" si="41"/>
        <v>-0.77542515177521754</v>
      </c>
      <c r="L209">
        <v>1</v>
      </c>
      <c r="M209">
        <f t="shared" si="42"/>
        <v>0.54703225767980312</v>
      </c>
      <c r="N209">
        <f t="shared" si="43"/>
        <v>0.17454144319999998</v>
      </c>
      <c r="O209">
        <f t="shared" si="44"/>
        <v>3.53366112E-2</v>
      </c>
      <c r="P209">
        <f t="shared" si="45"/>
        <v>1.8514839695414433E-2</v>
      </c>
    </row>
    <row r="210" spans="1:16" x14ac:dyDescent="0.3">
      <c r="A210">
        <v>10.759492</v>
      </c>
      <c r="B210">
        <v>0.44473000000000001</v>
      </c>
      <c r="C210">
        <f t="shared" si="36"/>
        <v>4.7850688771600005</v>
      </c>
      <c r="D210">
        <v>1.6299999999999999E-2</v>
      </c>
      <c r="E210">
        <v>3.3E-3</v>
      </c>
      <c r="F210">
        <f t="shared" si="37"/>
        <v>2151.8984</v>
      </c>
      <c r="G210">
        <f t="shared" si="38"/>
        <v>-0.44473000000000001</v>
      </c>
      <c r="H210">
        <f t="shared" si="39"/>
        <v>-957.0137754320001</v>
      </c>
      <c r="I210">
        <v>1</v>
      </c>
      <c r="J210">
        <f t="shared" si="40"/>
        <v>0.76635042928911046</v>
      </c>
      <c r="K210">
        <f t="shared" si="41"/>
        <v>-0.77699515177521739</v>
      </c>
      <c r="L210">
        <v>1</v>
      </c>
      <c r="M210">
        <f t="shared" si="42"/>
        <v>0.54725184017431994</v>
      </c>
      <c r="N210">
        <f t="shared" si="43"/>
        <v>0.17537971959999998</v>
      </c>
      <c r="O210">
        <f t="shared" si="44"/>
        <v>3.55063236E-2</v>
      </c>
      <c r="P210">
        <f t="shared" si="45"/>
        <v>1.8857268400897464E-2</v>
      </c>
    </row>
    <row r="211" spans="1:16" x14ac:dyDescent="0.3">
      <c r="A211">
        <v>10.810919</v>
      </c>
      <c r="B211">
        <v>0.44297999999999998</v>
      </c>
      <c r="C211">
        <f t="shared" si="36"/>
        <v>4.7890208986199996</v>
      </c>
      <c r="D211">
        <v>1.6299999999999999E-2</v>
      </c>
      <c r="E211">
        <v>3.3E-3</v>
      </c>
      <c r="F211">
        <f t="shared" si="37"/>
        <v>2162.1838000000002</v>
      </c>
      <c r="G211">
        <f t="shared" si="38"/>
        <v>-0.44297999999999998</v>
      </c>
      <c r="H211">
        <f t="shared" si="39"/>
        <v>-957.80417972399994</v>
      </c>
      <c r="I211">
        <v>1</v>
      </c>
      <c r="J211">
        <f t="shared" si="40"/>
        <v>0.7711187294795826</v>
      </c>
      <c r="K211">
        <f t="shared" si="41"/>
        <v>-0.77874515177521753</v>
      </c>
      <c r="L211">
        <v>1</v>
      </c>
      <c r="M211">
        <f t="shared" si="42"/>
        <v>0.54747037137204924</v>
      </c>
      <c r="N211">
        <f t="shared" si="43"/>
        <v>0.1762179797</v>
      </c>
      <c r="O211">
        <f t="shared" si="44"/>
        <v>3.5676032699999999E-2</v>
      </c>
      <c r="P211">
        <f t="shared" si="45"/>
        <v>1.9380768003168292E-2</v>
      </c>
    </row>
    <row r="212" spans="1:16" x14ac:dyDescent="0.3">
      <c r="A212">
        <v>10.862856000000001</v>
      </c>
      <c r="B212">
        <v>0.44131999999999999</v>
      </c>
      <c r="C212">
        <f t="shared" si="36"/>
        <v>4.7939956099200005</v>
      </c>
      <c r="D212">
        <v>1.6299999999999999E-2</v>
      </c>
      <c r="E212">
        <v>3.3E-3</v>
      </c>
      <c r="F212">
        <f t="shared" si="37"/>
        <v>2172.5712000000003</v>
      </c>
      <c r="G212">
        <f t="shared" si="38"/>
        <v>-0.44131999999999999</v>
      </c>
      <c r="H212">
        <f t="shared" si="39"/>
        <v>-958.79912198400007</v>
      </c>
      <c r="I212">
        <v>1</v>
      </c>
      <c r="J212">
        <f t="shared" si="40"/>
        <v>0.77591135092302388</v>
      </c>
      <c r="K212">
        <f t="shared" si="41"/>
        <v>-0.78040515177521752</v>
      </c>
      <c r="L212">
        <v>1</v>
      </c>
      <c r="M212">
        <f t="shared" si="42"/>
        <v>0.54769001721280219</v>
      </c>
      <c r="N212">
        <f t="shared" si="43"/>
        <v>0.1770645528</v>
      </c>
      <c r="O212">
        <f t="shared" si="44"/>
        <v>3.58474248E-2</v>
      </c>
      <c r="P212">
        <f t="shared" si="45"/>
        <v>1.980315696241533E-2</v>
      </c>
    </row>
    <row r="213" spans="1:16" x14ac:dyDescent="0.3">
      <c r="A213">
        <v>10.913266</v>
      </c>
      <c r="B213">
        <v>0.43956000000000001</v>
      </c>
      <c r="C213">
        <f t="shared" si="36"/>
        <v>4.7970352029600001</v>
      </c>
      <c r="D213">
        <v>1.6299999999999999E-2</v>
      </c>
      <c r="E213">
        <v>3.3E-3</v>
      </c>
      <c r="F213">
        <f t="shared" si="37"/>
        <v>2182.6532000000002</v>
      </c>
      <c r="G213">
        <f t="shared" si="38"/>
        <v>-0.43956000000000001</v>
      </c>
      <c r="H213">
        <f t="shared" si="39"/>
        <v>-959.40704059200004</v>
      </c>
      <c r="I213">
        <v>1</v>
      </c>
      <c r="J213">
        <f t="shared" si="40"/>
        <v>0.78054120099889879</v>
      </c>
      <c r="K213">
        <f t="shared" si="41"/>
        <v>-0.7821651517752175</v>
      </c>
      <c r="L213">
        <v>1</v>
      </c>
      <c r="M213">
        <f t="shared" si="42"/>
        <v>0.54790220324177952</v>
      </c>
      <c r="N213">
        <f t="shared" si="43"/>
        <v>0.17788623579999999</v>
      </c>
      <c r="O213">
        <f t="shared" si="44"/>
        <v>3.6013777800000001E-2</v>
      </c>
      <c r="P213">
        <f t="shared" si="45"/>
        <v>2.0362934933438E-2</v>
      </c>
    </row>
    <row r="214" spans="1:16" x14ac:dyDescent="0.3">
      <c r="A214">
        <v>10.965711000000001</v>
      </c>
      <c r="B214">
        <v>0.43814999999999998</v>
      </c>
      <c r="C214">
        <f t="shared" si="36"/>
        <v>4.8046262746500004</v>
      </c>
      <c r="D214">
        <v>1.6299999999999999E-2</v>
      </c>
      <c r="E214">
        <v>3.3E-3</v>
      </c>
      <c r="F214">
        <f t="shared" si="37"/>
        <v>2193.1422000000002</v>
      </c>
      <c r="G214">
        <f t="shared" si="38"/>
        <v>-0.43814999999999998</v>
      </c>
      <c r="H214">
        <f t="shared" si="39"/>
        <v>-960.92525493000005</v>
      </c>
      <c r="I214">
        <v>1</v>
      </c>
      <c r="J214">
        <f t="shared" si="40"/>
        <v>0.78533531001481394</v>
      </c>
      <c r="K214">
        <f t="shared" si="41"/>
        <v>-0.78357515177521742</v>
      </c>
      <c r="L214">
        <v>1</v>
      </c>
      <c r="M214">
        <f t="shared" si="42"/>
        <v>0.54812191725797887</v>
      </c>
      <c r="N214">
        <f t="shared" si="43"/>
        <v>0.17874108929999999</v>
      </c>
      <c r="O214">
        <f t="shared" si="44"/>
        <v>3.6186846299999999E-2</v>
      </c>
      <c r="P214">
        <f t="shared" si="45"/>
        <v>2.0525298917238553E-2</v>
      </c>
    </row>
    <row r="215" spans="1:16" x14ac:dyDescent="0.3">
      <c r="A215">
        <v>11.016120000000001</v>
      </c>
      <c r="B215">
        <v>0.43614000000000003</v>
      </c>
      <c r="C215">
        <f t="shared" si="36"/>
        <v>4.8045705768000007</v>
      </c>
      <c r="D215">
        <v>1.6299999999999999E-2</v>
      </c>
      <c r="E215">
        <v>3.3E-3</v>
      </c>
      <c r="F215">
        <f t="shared" si="37"/>
        <v>2203.2240000000002</v>
      </c>
      <c r="G215">
        <f t="shared" si="38"/>
        <v>-0.43614000000000003</v>
      </c>
      <c r="H215">
        <f t="shared" si="39"/>
        <v>-960.9141153600001</v>
      </c>
      <c r="I215">
        <v>1</v>
      </c>
      <c r="J215">
        <f t="shared" si="40"/>
        <v>0.78992174217910982</v>
      </c>
      <c r="K215">
        <f t="shared" si="41"/>
        <v>-0.78558515177521748</v>
      </c>
      <c r="L215">
        <v>1</v>
      </c>
      <c r="M215">
        <f t="shared" si="42"/>
        <v>0.54833211344406863</v>
      </c>
      <c r="N215">
        <f t="shared" si="43"/>
        <v>0.17956275599999999</v>
      </c>
      <c r="O215">
        <f t="shared" si="44"/>
        <v>3.6353196000000004E-2</v>
      </c>
      <c r="P215">
        <f t="shared" si="45"/>
        <v>2.1337086331148863E-2</v>
      </c>
    </row>
    <row r="216" spans="1:16" x14ac:dyDescent="0.3">
      <c r="A216">
        <v>11.067546999999999</v>
      </c>
      <c r="B216">
        <v>0.43476999999999999</v>
      </c>
      <c r="C216">
        <f t="shared" si="36"/>
        <v>4.8118374091899998</v>
      </c>
      <c r="D216">
        <v>1.6299999999999999E-2</v>
      </c>
      <c r="E216">
        <v>3.3E-3</v>
      </c>
      <c r="F216">
        <f t="shared" si="37"/>
        <v>2213.5093999999999</v>
      </c>
      <c r="G216">
        <f t="shared" si="38"/>
        <v>-0.43476999999999999</v>
      </c>
      <c r="H216">
        <f t="shared" si="39"/>
        <v>-962.367481838</v>
      </c>
      <c r="I216">
        <v>1</v>
      </c>
      <c r="J216">
        <f t="shared" si="40"/>
        <v>0.7945792198492142</v>
      </c>
      <c r="K216">
        <f t="shared" si="41"/>
        <v>-0.78695515177521747</v>
      </c>
      <c r="L216">
        <v>1</v>
      </c>
      <c r="M216">
        <f t="shared" si="42"/>
        <v>0.54854556564568946</v>
      </c>
      <c r="N216">
        <f t="shared" si="43"/>
        <v>0.18040101609999998</v>
      </c>
      <c r="O216">
        <f t="shared" si="44"/>
        <v>3.6522905099999996E-2</v>
      </c>
      <c r="P216">
        <f t="shared" si="45"/>
        <v>2.1485664929528032E-2</v>
      </c>
    </row>
    <row r="217" spans="1:16" x14ac:dyDescent="0.3">
      <c r="A217">
        <v>11.119484</v>
      </c>
      <c r="B217">
        <v>0.43281999999999998</v>
      </c>
      <c r="C217">
        <f t="shared" si="36"/>
        <v>4.81273506488</v>
      </c>
      <c r="D217">
        <v>1.6299999999999999E-2</v>
      </c>
      <c r="E217">
        <v>3.3E-3</v>
      </c>
      <c r="F217">
        <f t="shared" si="37"/>
        <v>2223.8968</v>
      </c>
      <c r="G217">
        <f t="shared" si="38"/>
        <v>-0.43281999999999998</v>
      </c>
      <c r="H217">
        <f t="shared" si="39"/>
        <v>-962.54701297600002</v>
      </c>
      <c r="I217">
        <v>1</v>
      </c>
      <c r="J217">
        <f t="shared" si="40"/>
        <v>0.79926097243399119</v>
      </c>
      <c r="K217">
        <f t="shared" si="41"/>
        <v>-0.78890515177521747</v>
      </c>
      <c r="L217">
        <v>1</v>
      </c>
      <c r="M217">
        <f t="shared" si="42"/>
        <v>0.54876013036664983</v>
      </c>
      <c r="N217">
        <f t="shared" si="43"/>
        <v>0.18124758919999998</v>
      </c>
      <c r="O217">
        <f t="shared" si="44"/>
        <v>3.6694297199999996E-2</v>
      </c>
      <c r="P217">
        <f t="shared" si="45"/>
        <v>2.2203135008567666E-2</v>
      </c>
    </row>
    <row r="218" spans="1:16" x14ac:dyDescent="0.3">
      <c r="A218">
        <v>11.172948</v>
      </c>
      <c r="B218">
        <v>0.43106</v>
      </c>
      <c r="C218">
        <f t="shared" si="36"/>
        <v>4.8162109648799998</v>
      </c>
      <c r="D218">
        <v>1.6299999999999999E-2</v>
      </c>
      <c r="E218">
        <v>3.3E-3</v>
      </c>
      <c r="F218">
        <f t="shared" si="37"/>
        <v>2234.5895999999998</v>
      </c>
      <c r="G218">
        <f t="shared" si="38"/>
        <v>-0.43106</v>
      </c>
      <c r="H218">
        <f t="shared" si="39"/>
        <v>-963.24219297599996</v>
      </c>
      <c r="I218">
        <v>1</v>
      </c>
      <c r="J218">
        <f t="shared" si="40"/>
        <v>0.80405758704347785</v>
      </c>
      <c r="K218">
        <f t="shared" si="41"/>
        <v>-0.79066515177521746</v>
      </c>
      <c r="L218">
        <v>1</v>
      </c>
      <c r="M218">
        <f t="shared" si="42"/>
        <v>0.54897995921420262</v>
      </c>
      <c r="N218">
        <f t="shared" si="43"/>
        <v>0.18211905239999998</v>
      </c>
      <c r="O218">
        <f t="shared" si="44"/>
        <v>3.6870728399999997E-2</v>
      </c>
      <c r="P218">
        <f t="shared" si="45"/>
        <v>2.2695411761014861E-2</v>
      </c>
    </row>
    <row r="219" spans="1:16" x14ac:dyDescent="0.3">
      <c r="A219">
        <v>11.224375</v>
      </c>
      <c r="B219">
        <v>0.42929</v>
      </c>
      <c r="C219">
        <f t="shared" si="36"/>
        <v>4.8185119437499999</v>
      </c>
      <c r="D219">
        <v>1.6299999999999999E-2</v>
      </c>
      <c r="E219">
        <v>3.3E-3</v>
      </c>
      <c r="F219">
        <f t="shared" si="37"/>
        <v>2244.875</v>
      </c>
      <c r="G219">
        <f t="shared" si="38"/>
        <v>-0.42929</v>
      </c>
      <c r="H219">
        <f t="shared" si="39"/>
        <v>-963.70238874999995</v>
      </c>
      <c r="I219">
        <v>1</v>
      </c>
      <c r="J219">
        <f t="shared" si="40"/>
        <v>0.80864984035676346</v>
      </c>
      <c r="K219">
        <f t="shared" si="41"/>
        <v>-0.79243515177521751</v>
      </c>
      <c r="L219">
        <v>1</v>
      </c>
      <c r="M219">
        <f t="shared" si="42"/>
        <v>0.54919042218355041</v>
      </c>
      <c r="N219">
        <f t="shared" si="43"/>
        <v>0.1829573125</v>
      </c>
      <c r="O219">
        <f t="shared" si="44"/>
        <v>3.7040437500000002E-2</v>
      </c>
      <c r="P219">
        <f t="shared" si="45"/>
        <v>2.3246979591667098E-2</v>
      </c>
    </row>
    <row r="220" spans="1:16" x14ac:dyDescent="0.3">
      <c r="A220">
        <v>11.275804000000001</v>
      </c>
      <c r="B220">
        <v>0.42771999999999999</v>
      </c>
      <c r="C220">
        <f t="shared" si="36"/>
        <v>4.8228868868800001</v>
      </c>
      <c r="D220">
        <v>1.6299999999999999E-2</v>
      </c>
      <c r="E220">
        <v>3.3E-3</v>
      </c>
      <c r="F220">
        <f t="shared" si="37"/>
        <v>2255.1608000000001</v>
      </c>
      <c r="G220">
        <f t="shared" si="38"/>
        <v>-0.42771999999999999</v>
      </c>
      <c r="H220">
        <f t="shared" si="39"/>
        <v>-964.57737737600007</v>
      </c>
      <c r="I220">
        <v>1</v>
      </c>
      <c r="J220">
        <f t="shared" si="40"/>
        <v>0.81322127861632376</v>
      </c>
      <c r="K220">
        <f t="shared" si="41"/>
        <v>-0.79400515177521747</v>
      </c>
      <c r="L220">
        <v>1</v>
      </c>
      <c r="M220">
        <f t="shared" si="42"/>
        <v>0.54939993119898611</v>
      </c>
      <c r="N220">
        <f t="shared" si="43"/>
        <v>0.18379560519999999</v>
      </c>
      <c r="O220">
        <f t="shared" si="44"/>
        <v>3.7210153200000005E-2</v>
      </c>
      <c r="P220">
        <f t="shared" si="45"/>
        <v>2.3599462176231358E-2</v>
      </c>
    </row>
    <row r="221" spans="1:16" x14ac:dyDescent="0.3">
      <c r="A221">
        <v>11.326722</v>
      </c>
      <c r="B221">
        <v>0.42576999999999998</v>
      </c>
      <c r="C221">
        <f t="shared" si="36"/>
        <v>4.8225784259399997</v>
      </c>
      <c r="D221">
        <v>1.6299999999999999E-2</v>
      </c>
      <c r="E221">
        <v>3.3E-3</v>
      </c>
      <c r="F221">
        <f t="shared" si="37"/>
        <v>2265.3444</v>
      </c>
      <c r="G221">
        <f t="shared" si="38"/>
        <v>-0.42576999999999998</v>
      </c>
      <c r="H221">
        <f t="shared" si="39"/>
        <v>-964.51568518799991</v>
      </c>
      <c r="I221">
        <v>1</v>
      </c>
      <c r="J221">
        <f t="shared" si="40"/>
        <v>0.81772680035624712</v>
      </c>
      <c r="K221">
        <f t="shared" si="41"/>
        <v>-0.79595515177521747</v>
      </c>
      <c r="L221">
        <v>1</v>
      </c>
      <c r="M221">
        <f t="shared" si="42"/>
        <v>0.54960641926032683</v>
      </c>
      <c r="N221">
        <f t="shared" si="43"/>
        <v>0.18462556859999998</v>
      </c>
      <c r="O221">
        <f t="shared" si="44"/>
        <v>3.7378182599999997E-2</v>
      </c>
      <c r="P221">
        <f t="shared" si="45"/>
        <v>2.4344981314890664E-2</v>
      </c>
    </row>
    <row r="222" spans="1:16" x14ac:dyDescent="0.3">
      <c r="A222">
        <v>11.380186</v>
      </c>
      <c r="B222">
        <v>0.42398000000000002</v>
      </c>
      <c r="C222">
        <f t="shared" si="36"/>
        <v>4.8249712602799999</v>
      </c>
      <c r="D222">
        <v>1.6299999999999999E-2</v>
      </c>
      <c r="E222">
        <v>3.3E-3</v>
      </c>
      <c r="F222">
        <f t="shared" si="37"/>
        <v>2276.0372000000002</v>
      </c>
      <c r="G222">
        <f t="shared" si="38"/>
        <v>-0.42398000000000002</v>
      </c>
      <c r="H222">
        <f t="shared" si="39"/>
        <v>-964.99425205599994</v>
      </c>
      <c r="I222">
        <v>1</v>
      </c>
      <c r="J222">
        <f t="shared" si="40"/>
        <v>0.82243586059448714</v>
      </c>
      <c r="K222">
        <f t="shared" si="41"/>
        <v>-0.79774515177521743</v>
      </c>
      <c r="L222">
        <v>1</v>
      </c>
      <c r="M222">
        <f t="shared" si="42"/>
        <v>0.54982223549104536</v>
      </c>
      <c r="N222">
        <f t="shared" si="43"/>
        <v>0.18549703179999999</v>
      </c>
      <c r="O222">
        <f t="shared" si="44"/>
        <v>3.7554613799999997E-2</v>
      </c>
      <c r="P222">
        <f t="shared" si="45"/>
        <v>2.4871270684172081E-2</v>
      </c>
    </row>
    <row r="223" spans="1:16" x14ac:dyDescent="0.3">
      <c r="A223">
        <v>11.431613</v>
      </c>
      <c r="B223">
        <v>0.42247000000000001</v>
      </c>
      <c r="C223">
        <f t="shared" si="36"/>
        <v>4.8295135441100001</v>
      </c>
      <c r="D223">
        <v>1.6299999999999999E-2</v>
      </c>
      <c r="E223">
        <v>3.3E-3</v>
      </c>
      <c r="F223">
        <f t="shared" si="37"/>
        <v>2286.3226</v>
      </c>
      <c r="G223">
        <f t="shared" si="38"/>
        <v>-0.42247000000000001</v>
      </c>
      <c r="H223">
        <f t="shared" si="39"/>
        <v>-965.90270882200002</v>
      </c>
      <c r="I223">
        <v>1</v>
      </c>
      <c r="J223">
        <f t="shared" si="40"/>
        <v>0.82694467527616566</v>
      </c>
      <c r="K223">
        <f t="shared" si="41"/>
        <v>-0.79925515177521744</v>
      </c>
      <c r="L223">
        <v>1</v>
      </c>
      <c r="M223">
        <f t="shared" si="42"/>
        <v>0.5500288744679066</v>
      </c>
      <c r="N223">
        <f t="shared" si="43"/>
        <v>0.18633529189999998</v>
      </c>
      <c r="O223">
        <f t="shared" si="44"/>
        <v>3.7724322900000003E-2</v>
      </c>
      <c r="P223">
        <f t="shared" si="45"/>
        <v>2.5166662507310859E-2</v>
      </c>
    </row>
    <row r="224" spans="1:16" x14ac:dyDescent="0.3">
      <c r="A224">
        <v>11.482531</v>
      </c>
      <c r="B224">
        <v>0.42068</v>
      </c>
      <c r="C224">
        <f t="shared" si="36"/>
        <v>4.8304711410800003</v>
      </c>
      <c r="D224">
        <v>1.6299999999999999E-2</v>
      </c>
      <c r="E224">
        <v>3.3E-3</v>
      </c>
      <c r="F224">
        <f t="shared" si="37"/>
        <v>2296.5061999999998</v>
      </c>
      <c r="G224">
        <f t="shared" si="38"/>
        <v>-0.42068</v>
      </c>
      <c r="H224">
        <f t="shared" si="39"/>
        <v>-966.09422821600003</v>
      </c>
      <c r="I224">
        <v>1</v>
      </c>
      <c r="J224">
        <f t="shared" si="40"/>
        <v>0.83138892454057167</v>
      </c>
      <c r="K224">
        <f t="shared" si="41"/>
        <v>-0.80104515177521751</v>
      </c>
      <c r="L224">
        <v>1</v>
      </c>
      <c r="M224">
        <f t="shared" si="42"/>
        <v>0.55023255441169439</v>
      </c>
      <c r="N224">
        <f t="shared" si="43"/>
        <v>0.18716525529999997</v>
      </c>
      <c r="O224">
        <f t="shared" si="44"/>
        <v>3.7892352300000001E-2</v>
      </c>
      <c r="P224">
        <f t="shared" si="45"/>
        <v>2.5754989763523153E-2</v>
      </c>
    </row>
    <row r="225" spans="1:18" x14ac:dyDescent="0.3">
      <c r="A225">
        <v>11.53345</v>
      </c>
      <c r="B225">
        <v>0.41907</v>
      </c>
      <c r="C225">
        <f t="shared" si="36"/>
        <v>4.8333228914999999</v>
      </c>
      <c r="D225">
        <v>1.6299999999999999E-2</v>
      </c>
      <c r="E225">
        <v>3.3E-3</v>
      </c>
      <c r="F225">
        <f t="shared" si="37"/>
        <v>2306.69</v>
      </c>
      <c r="G225">
        <f t="shared" si="38"/>
        <v>-0.41907</v>
      </c>
      <c r="H225">
        <f t="shared" si="39"/>
        <v>-966.66457830000002</v>
      </c>
      <c r="I225">
        <v>1</v>
      </c>
      <c r="J225">
        <f t="shared" si="40"/>
        <v>0.83581359651724252</v>
      </c>
      <c r="K225">
        <f t="shared" si="41"/>
        <v>-0.8026551517752174</v>
      </c>
      <c r="L225">
        <v>1</v>
      </c>
      <c r="M225">
        <f t="shared" si="42"/>
        <v>0.55043533712838522</v>
      </c>
      <c r="N225">
        <f t="shared" si="43"/>
        <v>0.18799523499999998</v>
      </c>
      <c r="O225">
        <f t="shared" si="44"/>
        <v>3.8060385000000002E-2</v>
      </c>
      <c r="P225">
        <f t="shared" si="45"/>
        <v>2.6164194646832201E-2</v>
      </c>
      <c r="R225">
        <f>O225+N225+M225</f>
        <v>0.77649095712838523</v>
      </c>
    </row>
    <row r="226" spans="1:18" x14ac:dyDescent="0.3">
      <c r="A226">
        <v>11.584369000000001</v>
      </c>
      <c r="B226">
        <v>0.41724</v>
      </c>
      <c r="C226">
        <f t="shared" si="36"/>
        <v>4.8334621215600002</v>
      </c>
      <c r="D226">
        <v>1.6299999999999999E-2</v>
      </c>
      <c r="E226">
        <v>3.3E-3</v>
      </c>
      <c r="F226">
        <f t="shared" si="37"/>
        <v>2316.8738000000003</v>
      </c>
      <c r="G226">
        <f t="shared" si="38"/>
        <v>-0.41724</v>
      </c>
      <c r="H226">
        <f t="shared" si="39"/>
        <v>-966.69242431200007</v>
      </c>
      <c r="I226">
        <v>1</v>
      </c>
      <c r="J226">
        <f t="shared" si="40"/>
        <v>0.84021877698369141</v>
      </c>
      <c r="K226">
        <f t="shared" si="41"/>
        <v>-0.8044851517752174</v>
      </c>
      <c r="L226">
        <v>1</v>
      </c>
      <c r="M226">
        <f t="shared" si="42"/>
        <v>0.55063722654916258</v>
      </c>
      <c r="N226">
        <f t="shared" si="43"/>
        <v>0.18882521469999999</v>
      </c>
      <c r="O226">
        <f t="shared" si="44"/>
        <v>3.8228417700000003E-2</v>
      </c>
      <c r="P226">
        <f t="shared" si="45"/>
        <v>2.6794292826054819E-2</v>
      </c>
    </row>
    <row r="227" spans="1:18" x14ac:dyDescent="0.3">
      <c r="A227">
        <v>11.634778000000001</v>
      </c>
      <c r="B227">
        <v>0.41560000000000002</v>
      </c>
      <c r="C227">
        <f t="shared" si="36"/>
        <v>4.8354137368000005</v>
      </c>
      <c r="D227">
        <v>1.6299999999999999E-2</v>
      </c>
      <c r="E227">
        <v>3.3E-3</v>
      </c>
      <c r="F227">
        <f t="shared" si="37"/>
        <v>2326.9556000000002</v>
      </c>
      <c r="G227">
        <f t="shared" si="38"/>
        <v>-0.41560000000000002</v>
      </c>
      <c r="H227">
        <f t="shared" si="39"/>
        <v>-967.0827473600001</v>
      </c>
      <c r="I227">
        <v>1</v>
      </c>
      <c r="J227">
        <f t="shared" si="40"/>
        <v>0.8445608037771426</v>
      </c>
      <c r="K227">
        <f t="shared" si="41"/>
        <v>-0.80612515177521749</v>
      </c>
      <c r="L227">
        <v>1</v>
      </c>
      <c r="M227">
        <f t="shared" si="42"/>
        <v>0.55083622163710644</v>
      </c>
      <c r="N227">
        <f t="shared" si="43"/>
        <v>0.18964688139999999</v>
      </c>
      <c r="O227">
        <f t="shared" si="44"/>
        <v>3.8394767400000002E-2</v>
      </c>
      <c r="P227">
        <f t="shared" si="45"/>
        <v>2.7247281338111051E-2</v>
      </c>
    </row>
    <row r="228" spans="1:18" x14ac:dyDescent="0.3">
      <c r="A228">
        <v>11.687224000000001</v>
      </c>
      <c r="B228">
        <v>0.41372999999999999</v>
      </c>
      <c r="C228">
        <f t="shared" si="36"/>
        <v>4.8353551855200001</v>
      </c>
      <c r="D228">
        <v>1.6299999999999999E-2</v>
      </c>
      <c r="E228">
        <v>3.3E-3</v>
      </c>
      <c r="F228">
        <f t="shared" si="37"/>
        <v>2337.4448000000002</v>
      </c>
      <c r="G228">
        <f t="shared" si="38"/>
        <v>-0.41372999999999999</v>
      </c>
      <c r="H228">
        <f t="shared" si="39"/>
        <v>-967.07103710399997</v>
      </c>
      <c r="I228">
        <v>1</v>
      </c>
      <c r="J228">
        <f t="shared" si="40"/>
        <v>0.84905836692860515</v>
      </c>
      <c r="K228">
        <f t="shared" si="41"/>
        <v>-0.80799515177521752</v>
      </c>
      <c r="L228">
        <v>1</v>
      </c>
      <c r="M228">
        <f t="shared" si="42"/>
        <v>0.55104234495633797</v>
      </c>
      <c r="N228">
        <f t="shared" si="43"/>
        <v>0.19050175119999999</v>
      </c>
      <c r="O228">
        <f t="shared" si="44"/>
        <v>3.8567839200000002E-2</v>
      </c>
      <c r="P228">
        <f t="shared" si="45"/>
        <v>2.7883216418879565E-2</v>
      </c>
    </row>
    <row r="229" spans="1:18" x14ac:dyDescent="0.3">
      <c r="A229">
        <v>11.738143000000001</v>
      </c>
      <c r="B229">
        <v>0.41197</v>
      </c>
      <c r="C229">
        <f t="shared" si="36"/>
        <v>4.8357627717100007</v>
      </c>
      <c r="D229">
        <v>1.6299999999999999E-2</v>
      </c>
      <c r="E229">
        <v>3.3E-3</v>
      </c>
      <c r="F229">
        <f t="shared" si="37"/>
        <v>2347.6286</v>
      </c>
      <c r="G229">
        <f t="shared" si="38"/>
        <v>-0.41197</v>
      </c>
      <c r="H229">
        <f t="shared" si="39"/>
        <v>-967.15255434200014</v>
      </c>
      <c r="I229">
        <v>1</v>
      </c>
      <c r="J229">
        <f t="shared" si="40"/>
        <v>0.85340571228246054</v>
      </c>
      <c r="K229">
        <f t="shared" si="41"/>
        <v>-0.80975515177521751</v>
      </c>
      <c r="L229">
        <v>1</v>
      </c>
      <c r="M229">
        <f t="shared" si="42"/>
        <v>0.55124158379390509</v>
      </c>
      <c r="N229">
        <f t="shared" si="43"/>
        <v>0.1913317309</v>
      </c>
      <c r="O229">
        <f t="shared" si="44"/>
        <v>3.8735871900000003E-2</v>
      </c>
      <c r="P229">
        <f t="shared" si="45"/>
        <v>2.844596518131242E-2</v>
      </c>
    </row>
    <row r="230" spans="1:18" x14ac:dyDescent="0.3">
      <c r="A230">
        <v>11.789061</v>
      </c>
      <c r="B230">
        <v>0.41034999999999999</v>
      </c>
      <c r="C230">
        <f t="shared" si="36"/>
        <v>4.8376411813500004</v>
      </c>
      <c r="D230">
        <v>1.6299999999999999E-2</v>
      </c>
      <c r="E230">
        <v>3.3E-3</v>
      </c>
      <c r="F230">
        <f t="shared" si="37"/>
        <v>2357.8121999999998</v>
      </c>
      <c r="G230">
        <f t="shared" si="38"/>
        <v>-0.41034999999999999</v>
      </c>
      <c r="H230">
        <f t="shared" si="39"/>
        <v>-967.52823627000009</v>
      </c>
      <c r="I230">
        <v>1</v>
      </c>
      <c r="J230">
        <f t="shared" si="40"/>
        <v>0.85773415517754259</v>
      </c>
      <c r="K230">
        <f t="shared" si="41"/>
        <v>-0.81137515177521746</v>
      </c>
      <c r="L230">
        <v>1</v>
      </c>
      <c r="M230">
        <f t="shared" si="42"/>
        <v>0.55143995633178677</v>
      </c>
      <c r="N230">
        <f t="shared" si="43"/>
        <v>0.19216169429999999</v>
      </c>
      <c r="O230">
        <f t="shared" si="44"/>
        <v>3.8903901300000002E-2</v>
      </c>
      <c r="P230">
        <f t="shared" si="45"/>
        <v>2.8869599843430696E-2</v>
      </c>
    </row>
    <row r="231" spans="1:18" x14ac:dyDescent="0.3">
      <c r="A231">
        <v>11.840997</v>
      </c>
      <c r="B231">
        <v>0.40838000000000002</v>
      </c>
      <c r="C231">
        <f t="shared" si="36"/>
        <v>4.8356263548600005</v>
      </c>
      <c r="D231">
        <v>1.6299999999999999E-2</v>
      </c>
      <c r="E231">
        <v>3.3E-3</v>
      </c>
      <c r="F231">
        <f t="shared" si="37"/>
        <v>2368.1994</v>
      </c>
      <c r="G231">
        <f t="shared" si="38"/>
        <v>-0.40838000000000002</v>
      </c>
      <c r="H231">
        <f t="shared" si="39"/>
        <v>-967.12527097200007</v>
      </c>
      <c r="I231">
        <v>1</v>
      </c>
      <c r="J231">
        <f t="shared" si="40"/>
        <v>0.86212991955770724</v>
      </c>
      <c r="K231">
        <f t="shared" si="41"/>
        <v>-0.81334515177521749</v>
      </c>
      <c r="L231">
        <v>1</v>
      </c>
      <c r="M231">
        <f t="shared" si="42"/>
        <v>0.55164141421332968</v>
      </c>
      <c r="N231">
        <f t="shared" si="43"/>
        <v>0.19300825109999997</v>
      </c>
      <c r="O231">
        <f t="shared" si="44"/>
        <v>3.90752901E-2</v>
      </c>
      <c r="P231">
        <f t="shared" si="45"/>
        <v>2.9620196361887834E-2</v>
      </c>
    </row>
    <row r="232" spans="1:18" x14ac:dyDescent="0.3">
      <c r="A232">
        <v>11.896497</v>
      </c>
      <c r="B232">
        <v>0.40653</v>
      </c>
      <c r="C232">
        <f t="shared" si="36"/>
        <v>4.8362829254099999</v>
      </c>
      <c r="D232">
        <v>1.6299999999999999E-2</v>
      </c>
      <c r="E232">
        <v>3.3E-3</v>
      </c>
      <c r="F232">
        <f t="shared" si="37"/>
        <v>2379.2993999999999</v>
      </c>
      <c r="G232">
        <f t="shared" si="38"/>
        <v>-0.40653</v>
      </c>
      <c r="H232">
        <f t="shared" si="39"/>
        <v>-967.25658508200002</v>
      </c>
      <c r="I232">
        <v>1</v>
      </c>
      <c r="J232">
        <f t="shared" si="40"/>
        <v>0.8668060746002052</v>
      </c>
      <c r="K232">
        <f t="shared" si="41"/>
        <v>-0.8151951517752174</v>
      </c>
      <c r="L232">
        <v>1</v>
      </c>
      <c r="M232">
        <f t="shared" si="42"/>
        <v>0.55185572239892733</v>
      </c>
      <c r="N232">
        <f t="shared" si="43"/>
        <v>0.19391290109999998</v>
      </c>
      <c r="O232">
        <f t="shared" si="44"/>
        <v>3.92584401E-2</v>
      </c>
      <c r="P232">
        <f t="shared" si="45"/>
        <v>3.0168088176290089E-2</v>
      </c>
    </row>
    <row r="233" spans="1:18" x14ac:dyDescent="0.3">
      <c r="A233">
        <v>11.948435</v>
      </c>
      <c r="B233">
        <v>0.40466000000000002</v>
      </c>
      <c r="C233">
        <f t="shared" si="36"/>
        <v>4.8350537071000002</v>
      </c>
      <c r="D233">
        <v>1.6299999999999999E-2</v>
      </c>
      <c r="E233">
        <v>3.3E-3</v>
      </c>
      <c r="F233">
        <f t="shared" si="37"/>
        <v>2389.6869999999999</v>
      </c>
      <c r="G233">
        <f t="shared" si="38"/>
        <v>-0.40466000000000002</v>
      </c>
      <c r="H233">
        <f t="shared" si="39"/>
        <v>-967.01074142000004</v>
      </c>
      <c r="I233">
        <v>1</v>
      </c>
      <c r="J233">
        <f t="shared" si="40"/>
        <v>0.87116239502400661</v>
      </c>
      <c r="K233">
        <f t="shared" si="41"/>
        <v>-0.81706515177521744</v>
      </c>
      <c r="L233">
        <v>1</v>
      </c>
      <c r="M233">
        <f t="shared" si="42"/>
        <v>0.55205537256395021</v>
      </c>
      <c r="N233">
        <f t="shared" si="43"/>
        <v>0.19475949049999999</v>
      </c>
      <c r="O233">
        <f t="shared" si="44"/>
        <v>3.9429835499999996E-2</v>
      </c>
      <c r="P233">
        <f t="shared" si="45"/>
        <v>3.0820453211267237E-2</v>
      </c>
    </row>
    <row r="234" spans="1:18" x14ac:dyDescent="0.3">
      <c r="A234">
        <v>12.000372</v>
      </c>
      <c r="B234">
        <v>0.40283999999999998</v>
      </c>
      <c r="C234">
        <f t="shared" si="36"/>
        <v>4.8342298564799995</v>
      </c>
      <c r="D234">
        <v>1.6299999999999999E-2</v>
      </c>
      <c r="E234">
        <v>3.3E-3</v>
      </c>
      <c r="F234">
        <f t="shared" si="37"/>
        <v>2400.0744</v>
      </c>
      <c r="G234">
        <f t="shared" si="38"/>
        <v>-0.40283999999999998</v>
      </c>
      <c r="H234">
        <f t="shared" si="39"/>
        <v>-966.8459712959999</v>
      </c>
      <c r="I234">
        <v>1</v>
      </c>
      <c r="J234">
        <f t="shared" si="40"/>
        <v>0.87549973687340976</v>
      </c>
      <c r="K234">
        <f t="shared" si="41"/>
        <v>-0.81888515177521748</v>
      </c>
      <c r="L234">
        <v>1</v>
      </c>
      <c r="M234">
        <f t="shared" si="42"/>
        <v>0.55225415294090829</v>
      </c>
      <c r="N234">
        <f t="shared" si="43"/>
        <v>0.19560606359999999</v>
      </c>
      <c r="O234">
        <f t="shared" si="44"/>
        <v>3.9601227600000004E-2</v>
      </c>
      <c r="P234">
        <f t="shared" si="45"/>
        <v>3.1423707634309191E-2</v>
      </c>
    </row>
    <row r="235" spans="1:18" x14ac:dyDescent="0.3">
      <c r="A235">
        <v>12.05078</v>
      </c>
      <c r="B235">
        <v>0.40122000000000002</v>
      </c>
      <c r="C235">
        <f t="shared" si="36"/>
        <v>4.8350139515999997</v>
      </c>
      <c r="D235">
        <v>1.6299999999999999E-2</v>
      </c>
      <c r="E235">
        <v>3.3E-3</v>
      </c>
      <c r="F235">
        <f t="shared" si="37"/>
        <v>2410.1559999999999</v>
      </c>
      <c r="G235">
        <f t="shared" si="38"/>
        <v>-0.40122000000000002</v>
      </c>
      <c r="H235">
        <f t="shared" si="39"/>
        <v>-967.00279031999992</v>
      </c>
      <c r="I235">
        <v>1</v>
      </c>
      <c r="J235">
        <f t="shared" si="40"/>
        <v>0.87969147569810513</v>
      </c>
      <c r="K235">
        <f t="shared" si="41"/>
        <v>-0.82050515177521743</v>
      </c>
      <c r="L235">
        <v>1</v>
      </c>
      <c r="M235">
        <f t="shared" si="42"/>
        <v>0.55244626033124411</v>
      </c>
      <c r="N235">
        <f t="shared" si="43"/>
        <v>0.19642771399999998</v>
      </c>
      <c r="O235">
        <f t="shared" si="44"/>
        <v>3.9767574E-2</v>
      </c>
      <c r="P235">
        <f t="shared" si="45"/>
        <v>3.1863603443973348E-2</v>
      </c>
    </row>
    <row r="236" spans="1:18" x14ac:dyDescent="0.3">
      <c r="A236">
        <v>12.103227</v>
      </c>
      <c r="B236">
        <v>0.39945999999999998</v>
      </c>
      <c r="C236">
        <f t="shared" si="36"/>
        <v>4.8347550574199998</v>
      </c>
      <c r="D236">
        <v>1.6299999999999999E-2</v>
      </c>
      <c r="E236">
        <v>3.3E-3</v>
      </c>
      <c r="F236">
        <f t="shared" si="37"/>
        <v>2420.6453999999999</v>
      </c>
      <c r="G236">
        <f t="shared" si="38"/>
        <v>-0.39945999999999998</v>
      </c>
      <c r="H236">
        <f t="shared" si="39"/>
        <v>-966.95101148399999</v>
      </c>
      <c r="I236">
        <v>1</v>
      </c>
      <c r="J236">
        <f t="shared" si="40"/>
        <v>0.88403419882689049</v>
      </c>
      <c r="K236">
        <f t="shared" si="41"/>
        <v>-0.82226515177521753</v>
      </c>
      <c r="L236">
        <v>1</v>
      </c>
      <c r="M236">
        <f t="shared" si="42"/>
        <v>0.55264528733223639</v>
      </c>
      <c r="N236">
        <f t="shared" si="43"/>
        <v>0.19728260009999998</v>
      </c>
      <c r="O236">
        <f t="shared" si="44"/>
        <v>3.9940649100000003E-2</v>
      </c>
      <c r="P236">
        <f t="shared" si="45"/>
        <v>3.2396615242981153E-2</v>
      </c>
    </row>
    <row r="237" spans="1:18" x14ac:dyDescent="0.3">
      <c r="A237">
        <v>12.160765</v>
      </c>
      <c r="B237">
        <v>0.39751999999999998</v>
      </c>
      <c r="C237">
        <f t="shared" si="36"/>
        <v>4.8341473027999999</v>
      </c>
      <c r="D237">
        <v>1.6299999999999999E-2</v>
      </c>
      <c r="E237">
        <v>3.3E-3</v>
      </c>
      <c r="F237">
        <f t="shared" si="37"/>
        <v>2432.1529999999998</v>
      </c>
      <c r="G237">
        <f t="shared" si="38"/>
        <v>-0.39751999999999998</v>
      </c>
      <c r="H237">
        <f t="shared" si="39"/>
        <v>-966.82946056000003</v>
      </c>
      <c r="I237">
        <v>1</v>
      </c>
      <c r="J237">
        <f t="shared" si="40"/>
        <v>0.88877687330930555</v>
      </c>
      <c r="K237">
        <f t="shared" si="41"/>
        <v>-0.82420515177521747</v>
      </c>
      <c r="L237">
        <v>1</v>
      </c>
      <c r="M237">
        <f t="shared" si="42"/>
        <v>0.5528626441037654</v>
      </c>
      <c r="N237">
        <f t="shared" si="43"/>
        <v>0.19822046949999997</v>
      </c>
      <c r="O237">
        <f t="shared" si="44"/>
        <v>4.01305245E-2</v>
      </c>
      <c r="P237">
        <f t="shared" si="45"/>
        <v>3.2991513671452102E-2</v>
      </c>
    </row>
    <row r="238" spans="1:18" x14ac:dyDescent="0.3">
      <c r="A238">
        <v>12.211682</v>
      </c>
      <c r="B238">
        <v>0.39532</v>
      </c>
      <c r="C238">
        <f t="shared" si="36"/>
        <v>4.82752212824</v>
      </c>
      <c r="D238">
        <v>1.6299999999999999E-2</v>
      </c>
      <c r="E238">
        <v>3.3E-3</v>
      </c>
      <c r="F238">
        <f t="shared" si="37"/>
        <v>2442.3364000000001</v>
      </c>
      <c r="G238">
        <f t="shared" si="38"/>
        <v>-0.39532</v>
      </c>
      <c r="H238">
        <f t="shared" si="39"/>
        <v>-965.50442564800005</v>
      </c>
      <c r="I238">
        <v>1</v>
      </c>
      <c r="J238">
        <f t="shared" si="40"/>
        <v>0.89295512213879114</v>
      </c>
      <c r="K238">
        <f t="shared" si="41"/>
        <v>-0.82640515177521745</v>
      </c>
      <c r="L238">
        <v>1</v>
      </c>
      <c r="M238">
        <f t="shared" si="42"/>
        <v>0.55305413324762076</v>
      </c>
      <c r="N238">
        <f t="shared" si="43"/>
        <v>0.19905041659999997</v>
      </c>
      <c r="O238">
        <f t="shared" si="44"/>
        <v>4.0298550599999997E-2</v>
      </c>
      <c r="P238">
        <f t="shared" si="45"/>
        <v>3.4002051327596719E-2</v>
      </c>
    </row>
    <row r="239" spans="1:18" x14ac:dyDescent="0.3">
      <c r="A239">
        <v>12.265656</v>
      </c>
      <c r="B239">
        <v>0.39389000000000002</v>
      </c>
      <c r="C239">
        <f t="shared" si="36"/>
        <v>4.8313192418400002</v>
      </c>
      <c r="D239">
        <v>1.6299999999999999E-2</v>
      </c>
      <c r="E239">
        <v>3.3E-3</v>
      </c>
      <c r="F239">
        <f t="shared" si="37"/>
        <v>2453.1311999999998</v>
      </c>
      <c r="G239">
        <f t="shared" si="38"/>
        <v>-0.39389000000000002</v>
      </c>
      <c r="H239">
        <f t="shared" si="39"/>
        <v>-966.26384836800003</v>
      </c>
      <c r="I239">
        <v>1</v>
      </c>
      <c r="J239">
        <f t="shared" si="40"/>
        <v>0.89736524937397721</v>
      </c>
      <c r="K239">
        <f t="shared" si="41"/>
        <v>-0.82783515177521738</v>
      </c>
      <c r="L239">
        <v>1</v>
      </c>
      <c r="M239">
        <f t="shared" si="42"/>
        <v>0.55325624937880935</v>
      </c>
      <c r="N239">
        <f t="shared" si="43"/>
        <v>0.19993019279999999</v>
      </c>
      <c r="O239">
        <f t="shared" si="44"/>
        <v>4.0476664799999999E-2</v>
      </c>
      <c r="P239">
        <f t="shared" si="45"/>
        <v>3.4172044796408042E-2</v>
      </c>
    </row>
    <row r="240" spans="1:18" x14ac:dyDescent="0.3">
      <c r="A240">
        <v>12.317593</v>
      </c>
      <c r="B240">
        <v>0.39174999999999999</v>
      </c>
      <c r="C240">
        <f t="shared" si="36"/>
        <v>4.8254170577500002</v>
      </c>
      <c r="D240">
        <v>1.6299999999999999E-2</v>
      </c>
      <c r="E240">
        <v>3.3E-3</v>
      </c>
      <c r="F240">
        <f t="shared" si="37"/>
        <v>2463.5185999999999</v>
      </c>
      <c r="G240">
        <f t="shared" si="38"/>
        <v>-0.39174999999999999</v>
      </c>
      <c r="H240">
        <f t="shared" si="39"/>
        <v>-965.08341155000005</v>
      </c>
      <c r="I240">
        <v>1</v>
      </c>
      <c r="J240">
        <f t="shared" si="40"/>
        <v>0.90159065320678555</v>
      </c>
      <c r="K240">
        <f t="shared" si="41"/>
        <v>-0.82997515177521741</v>
      </c>
      <c r="L240">
        <v>1</v>
      </c>
      <c r="M240">
        <f t="shared" si="42"/>
        <v>0.55344989963646696</v>
      </c>
      <c r="N240">
        <f t="shared" si="43"/>
        <v>0.20077676589999999</v>
      </c>
      <c r="O240">
        <f t="shared" si="44"/>
        <v>4.06480569E-2</v>
      </c>
      <c r="P240">
        <f t="shared" si="45"/>
        <v>3.5100429338750468E-2</v>
      </c>
    </row>
    <row r="241" spans="1:16" x14ac:dyDescent="0.3">
      <c r="A241">
        <v>12.369021</v>
      </c>
      <c r="B241">
        <v>0.38984000000000002</v>
      </c>
      <c r="C241">
        <f t="shared" si="36"/>
        <v>4.8219391466400001</v>
      </c>
      <c r="D241">
        <v>1.6299999999999999E-2</v>
      </c>
      <c r="E241">
        <v>3.3E-3</v>
      </c>
      <c r="F241">
        <f t="shared" si="37"/>
        <v>2473.8042</v>
      </c>
      <c r="G241">
        <f t="shared" si="38"/>
        <v>-0.38984000000000002</v>
      </c>
      <c r="H241">
        <f t="shared" si="39"/>
        <v>-964.38782932800007</v>
      </c>
      <c r="I241">
        <v>1</v>
      </c>
      <c r="J241">
        <f t="shared" si="40"/>
        <v>0.90575712775020034</v>
      </c>
      <c r="K241">
        <f t="shared" si="41"/>
        <v>-0.83188515177521749</v>
      </c>
      <c r="L241">
        <v>1</v>
      </c>
      <c r="M241">
        <f t="shared" si="42"/>
        <v>0.55364084916479162</v>
      </c>
      <c r="N241">
        <f t="shared" si="43"/>
        <v>0.20161504229999999</v>
      </c>
      <c r="O241">
        <f t="shared" si="44"/>
        <v>4.0817769300000001E-2</v>
      </c>
      <c r="P241">
        <f t="shared" si="45"/>
        <v>3.5811491010425883E-2</v>
      </c>
    </row>
    <row r="242" spans="1:16" x14ac:dyDescent="0.3">
      <c r="A242">
        <v>12.421467</v>
      </c>
      <c r="B242">
        <v>0.38799</v>
      </c>
      <c r="C242">
        <f t="shared" si="36"/>
        <v>4.8194049813299999</v>
      </c>
      <c r="D242">
        <v>1.6299999999999999E-2</v>
      </c>
      <c r="E242">
        <v>3.3E-3</v>
      </c>
      <c r="F242">
        <f t="shared" si="37"/>
        <v>2484.2934</v>
      </c>
      <c r="G242">
        <f t="shared" si="38"/>
        <v>-0.38799</v>
      </c>
      <c r="H242">
        <f t="shared" si="39"/>
        <v>-963.88099626600001</v>
      </c>
      <c r="I242">
        <v>1</v>
      </c>
      <c r="J242">
        <f t="shared" si="40"/>
        <v>0.90998827303812269</v>
      </c>
      <c r="K242">
        <f t="shared" si="41"/>
        <v>-0.8337351517752174</v>
      </c>
      <c r="L242">
        <v>1</v>
      </c>
      <c r="M242">
        <f t="shared" si="42"/>
        <v>0.55383476255333719</v>
      </c>
      <c r="N242">
        <f t="shared" si="43"/>
        <v>0.20246991209999998</v>
      </c>
      <c r="O242">
        <f t="shared" si="44"/>
        <v>4.0990841100000001E-2</v>
      </c>
      <c r="P242">
        <f t="shared" si="45"/>
        <v>3.6439636021880224E-2</v>
      </c>
    </row>
    <row r="243" spans="1:16" x14ac:dyDescent="0.3">
      <c r="A243">
        <v>12.474931</v>
      </c>
      <c r="B243">
        <v>0.38613999999999998</v>
      </c>
      <c r="C243">
        <f t="shared" si="36"/>
        <v>4.8170698563399998</v>
      </c>
      <c r="D243">
        <v>1.6299999999999999E-2</v>
      </c>
      <c r="E243">
        <v>3.3E-3</v>
      </c>
      <c r="F243">
        <f t="shared" si="37"/>
        <v>2494.9861999999998</v>
      </c>
      <c r="G243">
        <f t="shared" si="38"/>
        <v>-0.38613999999999998</v>
      </c>
      <c r="H243">
        <f t="shared" si="39"/>
        <v>-963.41397126799995</v>
      </c>
      <c r="I243">
        <v>1</v>
      </c>
      <c r="J243">
        <f t="shared" si="40"/>
        <v>0.9142831981260614</v>
      </c>
      <c r="K243">
        <f t="shared" si="41"/>
        <v>-0.83558515177521753</v>
      </c>
      <c r="L243">
        <v>1</v>
      </c>
      <c r="M243">
        <f t="shared" si="42"/>
        <v>0.55403159897011733</v>
      </c>
      <c r="N243">
        <f t="shared" si="43"/>
        <v>0.20334137529999999</v>
      </c>
      <c r="O243">
        <f t="shared" si="44"/>
        <v>4.1167272300000002E-2</v>
      </c>
      <c r="P243">
        <f t="shared" si="45"/>
        <v>3.7044905205100204E-2</v>
      </c>
    </row>
    <row r="244" spans="1:16" x14ac:dyDescent="0.3">
      <c r="A244">
        <v>12.526357000000001</v>
      </c>
      <c r="B244">
        <v>0.38424999999999998</v>
      </c>
      <c r="C244">
        <f t="shared" si="36"/>
        <v>4.8132526772500004</v>
      </c>
      <c r="D244">
        <v>1.6299999999999999E-2</v>
      </c>
      <c r="E244">
        <v>3.3E-3</v>
      </c>
      <c r="F244">
        <f t="shared" si="37"/>
        <v>2505.2714000000001</v>
      </c>
      <c r="G244">
        <f t="shared" si="38"/>
        <v>-0.38424999999999998</v>
      </c>
      <c r="H244">
        <f t="shared" si="39"/>
        <v>-962.65053545000012</v>
      </c>
      <c r="I244">
        <v>1</v>
      </c>
      <c r="J244">
        <f t="shared" si="40"/>
        <v>0.91839707198148857</v>
      </c>
      <c r="K244">
        <f t="shared" si="41"/>
        <v>-0.83747515177521747</v>
      </c>
      <c r="L244">
        <v>1</v>
      </c>
      <c r="M244">
        <f t="shared" si="42"/>
        <v>0.55422013780891155</v>
      </c>
      <c r="N244">
        <f t="shared" si="43"/>
        <v>0.20417961909999999</v>
      </c>
      <c r="O244">
        <f t="shared" si="44"/>
        <v>4.1336978100000005E-2</v>
      </c>
      <c r="P244">
        <f t="shared" si="45"/>
        <v>3.7738416766305932E-2</v>
      </c>
    </row>
    <row r="245" spans="1:16" x14ac:dyDescent="0.3">
      <c r="A245">
        <v>12.577783999999999</v>
      </c>
      <c r="B245">
        <v>0.38238</v>
      </c>
      <c r="C245">
        <f t="shared" si="36"/>
        <v>4.80949304592</v>
      </c>
      <c r="D245">
        <v>1.6299999999999999E-2</v>
      </c>
      <c r="E245">
        <v>3.3E-3</v>
      </c>
      <c r="F245">
        <f t="shared" si="37"/>
        <v>2515.5567999999998</v>
      </c>
      <c r="G245">
        <f t="shared" si="38"/>
        <v>-0.38238</v>
      </c>
      <c r="H245">
        <f t="shared" si="39"/>
        <v>-961.89860918399995</v>
      </c>
      <c r="I245">
        <v>1</v>
      </c>
      <c r="J245">
        <f t="shared" si="40"/>
        <v>0.92249417069828699</v>
      </c>
      <c r="K245">
        <f t="shared" si="41"/>
        <v>-0.83934515177521751</v>
      </c>
      <c r="L245">
        <v>1</v>
      </c>
      <c r="M245">
        <f t="shared" si="42"/>
        <v>0.55440790784310245</v>
      </c>
      <c r="N245">
        <f t="shared" si="43"/>
        <v>0.20501787919999998</v>
      </c>
      <c r="O245">
        <f t="shared" si="44"/>
        <v>4.1506687199999996E-2</v>
      </c>
      <c r="P245">
        <f t="shared" si="45"/>
        <v>3.8412677532115087E-2</v>
      </c>
    </row>
    <row r="246" spans="1:16" x14ac:dyDescent="0.3">
      <c r="A246">
        <v>12.629721</v>
      </c>
      <c r="B246">
        <v>0.38051000000000001</v>
      </c>
      <c r="C246">
        <f t="shared" si="36"/>
        <v>4.8057351377100002</v>
      </c>
      <c r="D246">
        <v>1.6299999999999999E-2</v>
      </c>
      <c r="E246">
        <v>3.3E-3</v>
      </c>
      <c r="F246">
        <f t="shared" si="37"/>
        <v>2525.9441999999999</v>
      </c>
      <c r="G246">
        <f t="shared" si="38"/>
        <v>-0.38051000000000001</v>
      </c>
      <c r="H246">
        <f t="shared" si="39"/>
        <v>-961.14702754200005</v>
      </c>
      <c r="I246">
        <v>1</v>
      </c>
      <c r="J246">
        <f t="shared" si="40"/>
        <v>0.92661493342302337</v>
      </c>
      <c r="K246">
        <f t="shared" si="41"/>
        <v>-0.84121515177521744</v>
      </c>
      <c r="L246">
        <v>1</v>
      </c>
      <c r="M246">
        <f t="shared" si="42"/>
        <v>0.55459676239877709</v>
      </c>
      <c r="N246">
        <f t="shared" si="43"/>
        <v>0.20586445229999997</v>
      </c>
      <c r="O246">
        <f t="shared" si="44"/>
        <v>4.1678079299999997E-2</v>
      </c>
      <c r="P246">
        <f t="shared" si="45"/>
        <v>3.9075857776440383E-2</v>
      </c>
    </row>
    <row r="247" spans="1:16" x14ac:dyDescent="0.3">
      <c r="A247">
        <v>12.680130999999999</v>
      </c>
      <c r="B247">
        <v>0.37852000000000002</v>
      </c>
      <c r="C247">
        <f t="shared" si="36"/>
        <v>4.7996831861200002</v>
      </c>
      <c r="D247">
        <v>1.6299999999999999E-2</v>
      </c>
      <c r="E247">
        <v>3.3E-3</v>
      </c>
      <c r="F247">
        <f t="shared" si="37"/>
        <v>2536.0261999999998</v>
      </c>
      <c r="G247">
        <f t="shared" si="38"/>
        <v>-0.37852000000000002</v>
      </c>
      <c r="H247">
        <f t="shared" si="39"/>
        <v>-959.93663722400004</v>
      </c>
      <c r="I247">
        <v>1</v>
      </c>
      <c r="J247">
        <f t="shared" si="40"/>
        <v>0.93059836775189653</v>
      </c>
      <c r="K247">
        <f t="shared" si="41"/>
        <v>-0.84320515177521749</v>
      </c>
      <c r="L247">
        <v>1</v>
      </c>
      <c r="M247">
        <f t="shared" si="42"/>
        <v>0.55477932319406942</v>
      </c>
      <c r="N247">
        <f t="shared" si="43"/>
        <v>0.20668613529999996</v>
      </c>
      <c r="O247">
        <f t="shared" si="44"/>
        <v>4.1844432299999998E-2</v>
      </c>
      <c r="P247">
        <f t="shared" si="45"/>
        <v>3.9895260981148109E-2</v>
      </c>
    </row>
    <row r="248" spans="1:16" x14ac:dyDescent="0.3">
      <c r="A248">
        <v>12.732066</v>
      </c>
      <c r="B248">
        <v>0.37661</v>
      </c>
      <c r="C248">
        <f t="shared" si="36"/>
        <v>4.7950233762599996</v>
      </c>
      <c r="D248">
        <v>1.6299999999999999E-2</v>
      </c>
      <c r="E248">
        <v>3.3E-3</v>
      </c>
      <c r="F248">
        <f t="shared" si="37"/>
        <v>2546.4132</v>
      </c>
      <c r="G248">
        <f t="shared" si="38"/>
        <v>-0.37661</v>
      </c>
      <c r="H248">
        <f t="shared" si="39"/>
        <v>-959.00467525199997</v>
      </c>
      <c r="I248">
        <v>1</v>
      </c>
      <c r="J248">
        <f t="shared" si="40"/>
        <v>0.93468578076118858</v>
      </c>
      <c r="K248">
        <f t="shared" si="41"/>
        <v>-0.84511515177521745</v>
      </c>
      <c r="L248">
        <v>1</v>
      </c>
      <c r="M248">
        <f t="shared" si="42"/>
        <v>0.55496664933228523</v>
      </c>
      <c r="N248">
        <f t="shared" si="43"/>
        <v>0.20753267579999998</v>
      </c>
      <c r="O248">
        <f t="shared" si="44"/>
        <v>4.2015817800000001E-2</v>
      </c>
      <c r="P248">
        <f t="shared" si="45"/>
        <v>4.0600008842932238E-2</v>
      </c>
    </row>
    <row r="249" spans="1:16" x14ac:dyDescent="0.3">
      <c r="A249">
        <v>12.784514</v>
      </c>
      <c r="B249">
        <v>0.37468000000000001</v>
      </c>
      <c r="C249">
        <f t="shared" si="36"/>
        <v>4.7901017055199997</v>
      </c>
      <c r="D249">
        <v>1.6299999999999999E-2</v>
      </c>
      <c r="E249">
        <v>3.3E-3</v>
      </c>
      <c r="F249">
        <f t="shared" si="37"/>
        <v>2556.9027999999998</v>
      </c>
      <c r="G249">
        <f t="shared" si="38"/>
        <v>-0.37468000000000001</v>
      </c>
      <c r="H249">
        <f t="shared" si="39"/>
        <v>-958.02034110399995</v>
      </c>
      <c r="I249">
        <v>1</v>
      </c>
      <c r="J249">
        <f t="shared" si="40"/>
        <v>0.93879668228969371</v>
      </c>
      <c r="K249">
        <f t="shared" si="41"/>
        <v>-0.84704515177521744</v>
      </c>
      <c r="L249">
        <v>1</v>
      </c>
      <c r="M249">
        <f t="shared" si="42"/>
        <v>0.55515505194933668</v>
      </c>
      <c r="N249">
        <f t="shared" si="43"/>
        <v>0.20838757819999998</v>
      </c>
      <c r="O249">
        <f t="shared" si="44"/>
        <v>4.2188896199999999E-2</v>
      </c>
      <c r="P249">
        <f t="shared" si="45"/>
        <v>4.1313625425880789E-2</v>
      </c>
    </row>
    <row r="250" spans="1:16" x14ac:dyDescent="0.3">
      <c r="A250">
        <v>12.835940000000001</v>
      </c>
      <c r="B250">
        <v>0.37285000000000001</v>
      </c>
      <c r="C250">
        <f t="shared" si="36"/>
        <v>4.7858802290000009</v>
      </c>
      <c r="D250">
        <v>1.6299999999999999E-2</v>
      </c>
      <c r="E250">
        <v>3.3E-3</v>
      </c>
      <c r="F250">
        <f t="shared" si="37"/>
        <v>2567.1880000000001</v>
      </c>
      <c r="G250">
        <f t="shared" si="38"/>
        <v>-0.37285000000000001</v>
      </c>
      <c r="H250">
        <f t="shared" si="39"/>
        <v>-957.17604580000022</v>
      </c>
      <c r="I250">
        <v>1</v>
      </c>
      <c r="J250">
        <f t="shared" si="40"/>
        <v>0.94281113644920422</v>
      </c>
      <c r="K250">
        <f t="shared" si="41"/>
        <v>-0.84887515177521744</v>
      </c>
      <c r="L250">
        <v>1</v>
      </c>
      <c r="M250">
        <f t="shared" si="42"/>
        <v>0.55533903438346699</v>
      </c>
      <c r="N250">
        <f t="shared" si="43"/>
        <v>0.20922582200000001</v>
      </c>
      <c r="O250">
        <f t="shared" si="44"/>
        <v>4.2358602000000002E-2</v>
      </c>
      <c r="P250">
        <f t="shared" si="45"/>
        <v>4.1951693391750443E-2</v>
      </c>
    </row>
    <row r="251" spans="1:16" x14ac:dyDescent="0.3">
      <c r="A251">
        <v>12.887369</v>
      </c>
      <c r="B251">
        <v>0.37076999999999999</v>
      </c>
      <c r="C251">
        <f t="shared" si="36"/>
        <v>4.7782498041299997</v>
      </c>
      <c r="D251">
        <v>1.6299999999999999E-2</v>
      </c>
      <c r="E251">
        <v>3.3E-3</v>
      </c>
      <c r="F251">
        <f t="shared" si="37"/>
        <v>2577.4737999999998</v>
      </c>
      <c r="G251">
        <f t="shared" si="38"/>
        <v>-0.37076999999999999</v>
      </c>
      <c r="H251">
        <f t="shared" si="39"/>
        <v>-955.64996082599998</v>
      </c>
      <c r="I251">
        <v>1</v>
      </c>
      <c r="J251">
        <f t="shared" si="40"/>
        <v>0.94680977196885729</v>
      </c>
      <c r="K251">
        <f t="shared" si="41"/>
        <v>-0.85095515177521741</v>
      </c>
      <c r="L251">
        <v>1</v>
      </c>
      <c r="M251">
        <f t="shared" si="42"/>
        <v>0.55552229184933266</v>
      </c>
      <c r="N251">
        <f t="shared" si="43"/>
        <v>0.21006411469999997</v>
      </c>
      <c r="O251">
        <f t="shared" si="44"/>
        <v>4.2528317699999998E-2</v>
      </c>
      <c r="P251">
        <f t="shared" si="45"/>
        <v>4.2840427525884781E-2</v>
      </c>
    </row>
    <row r="252" spans="1:16" x14ac:dyDescent="0.3">
      <c r="A252">
        <v>12.939304999999999</v>
      </c>
      <c r="B252">
        <v>0.36914999999999998</v>
      </c>
      <c r="C252">
        <f t="shared" si="36"/>
        <v>4.7765444407499995</v>
      </c>
      <c r="D252">
        <v>1.6299999999999999E-2</v>
      </c>
      <c r="E252">
        <v>3.3E-3</v>
      </c>
      <c r="F252">
        <f t="shared" si="37"/>
        <v>2587.8609999999999</v>
      </c>
      <c r="G252">
        <f t="shared" si="38"/>
        <v>-0.36914999999999998</v>
      </c>
      <c r="H252">
        <f t="shared" si="39"/>
        <v>-955.30888814999992</v>
      </c>
      <c r="I252">
        <v>1</v>
      </c>
      <c r="J252">
        <f t="shared" si="40"/>
        <v>0.95083166576812117</v>
      </c>
      <c r="K252">
        <f t="shared" si="41"/>
        <v>-0.85257515177521748</v>
      </c>
      <c r="L252">
        <v>1</v>
      </c>
      <c r="M252">
        <f t="shared" si="42"/>
        <v>0.55570661524215292</v>
      </c>
      <c r="N252">
        <f t="shared" si="43"/>
        <v>0.21091067149999998</v>
      </c>
      <c r="O252">
        <f t="shared" si="44"/>
        <v>4.2699706499999997E-2</v>
      </c>
      <c r="P252">
        <f t="shared" si="45"/>
        <v>4.3258158533064577E-2</v>
      </c>
    </row>
    <row r="253" spans="1:16" x14ac:dyDescent="0.3">
      <c r="A253">
        <v>12.991751000000001</v>
      </c>
      <c r="B253">
        <v>0.36695</v>
      </c>
      <c r="C253">
        <f t="shared" si="36"/>
        <v>4.76732302945</v>
      </c>
      <c r="D253">
        <v>1.6299999999999999E-2</v>
      </c>
      <c r="E253">
        <v>3.3E-3</v>
      </c>
      <c r="F253">
        <f t="shared" si="37"/>
        <v>2598.3502000000003</v>
      </c>
      <c r="G253">
        <f t="shared" si="38"/>
        <v>-0.36695</v>
      </c>
      <c r="H253">
        <f t="shared" si="39"/>
        <v>-953.46460589000003</v>
      </c>
      <c r="I253">
        <v>1</v>
      </c>
      <c r="J253">
        <f t="shared" si="40"/>
        <v>0.95487670516116463</v>
      </c>
      <c r="K253">
        <f t="shared" si="41"/>
        <v>-0.85477515177521746</v>
      </c>
      <c r="L253">
        <v>1</v>
      </c>
      <c r="M253">
        <f t="shared" si="42"/>
        <v>0.5558919993975362</v>
      </c>
      <c r="N253">
        <f t="shared" si="43"/>
        <v>0.2117655413</v>
      </c>
      <c r="O253">
        <f t="shared" si="44"/>
        <v>4.2872778300000004E-2</v>
      </c>
      <c r="P253">
        <f t="shared" si="45"/>
        <v>4.4244832777681257E-2</v>
      </c>
    </row>
    <row r="254" spans="1:16" x14ac:dyDescent="0.3">
      <c r="A254">
        <v>13.042159</v>
      </c>
      <c r="B254">
        <v>0.36512</v>
      </c>
      <c r="C254">
        <f t="shared" si="36"/>
        <v>4.7619530940799999</v>
      </c>
      <c r="D254">
        <v>1.6299999999999999E-2</v>
      </c>
      <c r="E254">
        <v>3.3E-3</v>
      </c>
      <c r="F254">
        <f t="shared" si="37"/>
        <v>2608.4317999999998</v>
      </c>
      <c r="G254">
        <f t="shared" si="38"/>
        <v>-0.36512</v>
      </c>
      <c r="H254">
        <f t="shared" si="39"/>
        <v>-952.39061881600003</v>
      </c>
      <c r="I254">
        <v>1</v>
      </c>
      <c r="J254">
        <f t="shared" si="40"/>
        <v>0.95874919784428581</v>
      </c>
      <c r="K254">
        <f t="shared" si="41"/>
        <v>-0.85660515177521745</v>
      </c>
      <c r="L254">
        <v>1</v>
      </c>
      <c r="M254">
        <f t="shared" si="42"/>
        <v>0.55606947573720356</v>
      </c>
      <c r="N254">
        <f t="shared" si="43"/>
        <v>0.21258719169999998</v>
      </c>
      <c r="O254">
        <f t="shared" si="44"/>
        <v>4.30391247E-2</v>
      </c>
      <c r="P254">
        <f t="shared" si="45"/>
        <v>4.4909359638013915E-2</v>
      </c>
    </row>
    <row r="255" spans="1:16" x14ac:dyDescent="0.3">
      <c r="A255">
        <v>13.092568</v>
      </c>
      <c r="B255">
        <v>0.36299999999999999</v>
      </c>
      <c r="C255">
        <f t="shared" si="36"/>
        <v>4.7526021839999997</v>
      </c>
      <c r="D255">
        <v>1.6299999999999999E-2</v>
      </c>
      <c r="E255">
        <v>3.3E-3</v>
      </c>
      <c r="F255">
        <f t="shared" si="37"/>
        <v>2618.5136000000002</v>
      </c>
      <c r="G255">
        <f t="shared" si="38"/>
        <v>-0.36299999999999999</v>
      </c>
      <c r="H255">
        <f t="shared" si="39"/>
        <v>-950.52043679999997</v>
      </c>
      <c r="I255">
        <v>1</v>
      </c>
      <c r="J255">
        <f t="shared" si="40"/>
        <v>0.9626068285371695</v>
      </c>
      <c r="K255">
        <f t="shared" si="41"/>
        <v>-0.85872515177521747</v>
      </c>
      <c r="L255">
        <v>1</v>
      </c>
      <c r="M255">
        <f t="shared" si="42"/>
        <v>0.55624627095185841</v>
      </c>
      <c r="N255">
        <f t="shared" si="43"/>
        <v>0.21340885839999998</v>
      </c>
      <c r="O255">
        <f t="shared" si="44"/>
        <v>4.3205474399999999E-2</v>
      </c>
      <c r="P255">
        <f t="shared" si="45"/>
        <v>4.586454802335907E-2</v>
      </c>
    </row>
    <row r="256" spans="1:16" x14ac:dyDescent="0.3">
      <c r="A256">
        <v>13.142977999999999</v>
      </c>
      <c r="B256">
        <v>0.36133999999999999</v>
      </c>
      <c r="C256">
        <f t="shared" si="36"/>
        <v>4.7490836705200001</v>
      </c>
      <c r="D256">
        <v>1.6299999999999999E-2</v>
      </c>
      <c r="E256">
        <v>3.3E-3</v>
      </c>
      <c r="F256">
        <f t="shared" si="37"/>
        <v>2628.5955999999996</v>
      </c>
      <c r="G256">
        <f t="shared" si="38"/>
        <v>-0.36133999999999999</v>
      </c>
      <c r="H256">
        <f t="shared" si="39"/>
        <v>-949.81673410400003</v>
      </c>
      <c r="I256">
        <v>1</v>
      </c>
      <c r="J256">
        <f t="shared" si="40"/>
        <v>0.96644971116952072</v>
      </c>
      <c r="K256">
        <f t="shared" si="41"/>
        <v>-0.86038515177521746</v>
      </c>
      <c r="L256">
        <v>1</v>
      </c>
      <c r="M256">
        <f t="shared" si="42"/>
        <v>0.55642239026289908</v>
      </c>
      <c r="N256">
        <f t="shared" si="43"/>
        <v>0.21423054139999997</v>
      </c>
      <c r="O256">
        <f t="shared" si="44"/>
        <v>4.33718274E-2</v>
      </c>
      <c r="P256">
        <f t="shared" si="45"/>
        <v>4.6360392712318406E-2</v>
      </c>
    </row>
    <row r="257" spans="1:16" x14ac:dyDescent="0.3">
      <c r="A257">
        <v>13.193388000000001</v>
      </c>
      <c r="B257">
        <v>0.35937000000000002</v>
      </c>
      <c r="C257">
        <f t="shared" si="36"/>
        <v>4.7413078455600006</v>
      </c>
      <c r="D257">
        <v>1.6299999999999999E-2</v>
      </c>
      <c r="E257">
        <v>3.3E-3</v>
      </c>
      <c r="F257">
        <f t="shared" si="37"/>
        <v>2638.6776</v>
      </c>
      <c r="G257">
        <f t="shared" si="38"/>
        <v>-0.35937000000000002</v>
      </c>
      <c r="H257">
        <f t="shared" si="39"/>
        <v>-948.26156911200007</v>
      </c>
      <c r="I257">
        <v>1</v>
      </c>
      <c r="J257">
        <f t="shared" si="40"/>
        <v>0.97027788257044689</v>
      </c>
      <c r="K257">
        <f t="shared" si="41"/>
        <v>-0.86235515177521749</v>
      </c>
      <c r="L257">
        <v>1</v>
      </c>
      <c r="M257">
        <f t="shared" si="42"/>
        <v>0.55659783535820351</v>
      </c>
      <c r="N257">
        <f t="shared" si="43"/>
        <v>0.21505222439999999</v>
      </c>
      <c r="O257">
        <f t="shared" si="44"/>
        <v>4.3538180400000001E-2</v>
      </c>
      <c r="P257">
        <f t="shared" si="45"/>
        <v>4.7166911617013987E-2</v>
      </c>
    </row>
    <row r="258" spans="1:16" x14ac:dyDescent="0.3">
      <c r="A258">
        <v>13.244306999999999</v>
      </c>
      <c r="B258">
        <v>0.35746</v>
      </c>
      <c r="C258">
        <f t="shared" si="36"/>
        <v>4.7343099802199999</v>
      </c>
      <c r="D258">
        <v>1.6299999999999999E-2</v>
      </c>
      <c r="E258">
        <v>3.3E-3</v>
      </c>
      <c r="F258">
        <f t="shared" si="37"/>
        <v>2648.8613999999998</v>
      </c>
      <c r="G258">
        <f t="shared" si="38"/>
        <v>-0.35746</v>
      </c>
      <c r="H258">
        <f t="shared" si="39"/>
        <v>-946.86199604399997</v>
      </c>
      <c r="I258">
        <v>1</v>
      </c>
      <c r="J258">
        <f t="shared" si="40"/>
        <v>0.97412988729030425</v>
      </c>
      <c r="K258">
        <f t="shared" si="41"/>
        <v>-0.86426515177521746</v>
      </c>
      <c r="L258">
        <v>1</v>
      </c>
      <c r="M258">
        <f t="shared" si="42"/>
        <v>0.55677437273451458</v>
      </c>
      <c r="N258">
        <f t="shared" si="43"/>
        <v>0.21588220409999997</v>
      </c>
      <c r="O258">
        <f t="shared" si="44"/>
        <v>4.3706213099999995E-2</v>
      </c>
      <c r="P258">
        <f t="shared" si="45"/>
        <v>4.7902361840702908E-2</v>
      </c>
    </row>
    <row r="259" spans="1:16" x14ac:dyDescent="0.3">
      <c r="A259">
        <v>13.296751</v>
      </c>
      <c r="B259">
        <v>0.35546</v>
      </c>
      <c r="C259">
        <f t="shared" si="36"/>
        <v>4.7264631104600001</v>
      </c>
      <c r="D259">
        <v>1.6299999999999999E-2</v>
      </c>
      <c r="E259">
        <v>3.3E-3</v>
      </c>
      <c r="F259">
        <f t="shared" si="37"/>
        <v>2659.3501999999999</v>
      </c>
      <c r="G259">
        <f t="shared" si="38"/>
        <v>-0.35546</v>
      </c>
      <c r="H259">
        <f t="shared" si="39"/>
        <v>-945.29262209199999</v>
      </c>
      <c r="I259">
        <v>1</v>
      </c>
      <c r="J259">
        <f t="shared" si="40"/>
        <v>0.97808180723670668</v>
      </c>
      <c r="K259">
        <f t="shared" si="41"/>
        <v>-0.86626515177521746</v>
      </c>
      <c r="L259">
        <v>1</v>
      </c>
      <c r="M259">
        <f t="shared" si="42"/>
        <v>0.5569554892256583</v>
      </c>
      <c r="N259">
        <f t="shared" si="43"/>
        <v>0.21673704129999999</v>
      </c>
      <c r="O259">
        <f t="shared" si="44"/>
        <v>4.3879278299999998E-2</v>
      </c>
      <c r="P259">
        <f t="shared" si="45"/>
        <v>4.8693342949559175E-2</v>
      </c>
    </row>
    <row r="260" spans="1:16" x14ac:dyDescent="0.3">
      <c r="A260">
        <v>13.348687999999999</v>
      </c>
      <c r="B260">
        <v>0.35341</v>
      </c>
      <c r="C260">
        <f t="shared" ref="C260:C323" si="46">A260*B260</f>
        <v>4.7175598260799996</v>
      </c>
      <c r="D260">
        <v>1.6299999999999999E-2</v>
      </c>
      <c r="E260">
        <v>3.3E-3</v>
      </c>
      <c r="F260">
        <f t="shared" ref="F260:F303" si="47">A260*200</f>
        <v>2669.7375999999999</v>
      </c>
      <c r="G260">
        <f t="shared" ref="G260:G303" si="48">-B260</f>
        <v>-0.35341</v>
      </c>
      <c r="H260">
        <f t="shared" ref="H260:H303" si="49">-C260*200</f>
        <v>-943.51196521599991</v>
      </c>
      <c r="I260">
        <v>1</v>
      </c>
      <c r="J260">
        <f t="shared" ref="J260:J303" si="50">LN(F260/1000)</f>
        <v>0.98198019042908424</v>
      </c>
      <c r="K260">
        <f t="shared" ref="K260:K303" si="51">((-G260)-$N$2)</f>
        <v>-0.86831515177521745</v>
      </c>
      <c r="L260">
        <v>1</v>
      </c>
      <c r="M260">
        <f t="shared" ref="M260:M303" si="52">-1*($S$4+($S$5*J260))</f>
        <v>0.55713415212736495</v>
      </c>
      <c r="N260">
        <f t="shared" ref="N260:N303" si="53">D260*A260</f>
        <v>0.21758361439999996</v>
      </c>
      <c r="O260">
        <f t="shared" ref="O260:O303" si="54">E260*A260</f>
        <v>4.4050670399999999E-2</v>
      </c>
      <c r="P260">
        <f t="shared" ref="P260:P323" si="55">-K260-M260-N260-O260</f>
        <v>4.9546714847852551E-2</v>
      </c>
    </row>
    <row r="261" spans="1:16" x14ac:dyDescent="0.3">
      <c r="A261">
        <v>13.401643999999999</v>
      </c>
      <c r="B261">
        <v>0.35141</v>
      </c>
      <c r="C261">
        <f t="shared" si="46"/>
        <v>4.7094717180399996</v>
      </c>
      <c r="D261">
        <v>1.6299999999999999E-2</v>
      </c>
      <c r="E261">
        <v>3.3E-3</v>
      </c>
      <c r="F261">
        <f t="shared" si="47"/>
        <v>2680.3287999999998</v>
      </c>
      <c r="G261">
        <f t="shared" si="48"/>
        <v>-0.35141</v>
      </c>
      <c r="H261">
        <f t="shared" si="49"/>
        <v>-941.89434360799987</v>
      </c>
      <c r="I261">
        <v>1</v>
      </c>
      <c r="J261">
        <f t="shared" si="50"/>
        <v>0.98593947356454803</v>
      </c>
      <c r="K261">
        <f t="shared" si="51"/>
        <v>-0.87031515177521745</v>
      </c>
      <c r="L261">
        <v>1</v>
      </c>
      <c r="M261">
        <f t="shared" si="52"/>
        <v>0.5573156060734632</v>
      </c>
      <c r="N261">
        <f t="shared" si="53"/>
        <v>0.21844679719999996</v>
      </c>
      <c r="O261">
        <f t="shared" si="54"/>
        <v>4.4225425199999994E-2</v>
      </c>
      <c r="P261">
        <f t="shared" si="55"/>
        <v>5.0327323301754302E-2</v>
      </c>
    </row>
    <row r="262" spans="1:16" x14ac:dyDescent="0.3">
      <c r="A262">
        <v>13.453581</v>
      </c>
      <c r="B262">
        <v>0.34931000000000001</v>
      </c>
      <c r="C262">
        <f t="shared" si="46"/>
        <v>4.6994703791100001</v>
      </c>
      <c r="D262">
        <v>1.6299999999999999E-2</v>
      </c>
      <c r="E262">
        <v>3.3E-3</v>
      </c>
      <c r="F262">
        <f t="shared" si="47"/>
        <v>2690.7161999999998</v>
      </c>
      <c r="G262">
        <f t="shared" si="48"/>
        <v>-0.34931000000000001</v>
      </c>
      <c r="H262">
        <f t="shared" si="49"/>
        <v>-939.89407582199999</v>
      </c>
      <c r="I262">
        <v>1</v>
      </c>
      <c r="J262">
        <f t="shared" si="50"/>
        <v>0.98980740352990326</v>
      </c>
      <c r="K262">
        <f t="shared" si="51"/>
        <v>-0.87241515177521745</v>
      </c>
      <c r="L262">
        <v>1</v>
      </c>
      <c r="M262">
        <f t="shared" si="52"/>
        <v>0.55749287330377539</v>
      </c>
      <c r="N262">
        <f t="shared" si="53"/>
        <v>0.21929337029999998</v>
      </c>
      <c r="O262">
        <f t="shared" si="54"/>
        <v>4.4396817300000002E-2</v>
      </c>
      <c r="P262">
        <f t="shared" si="55"/>
        <v>5.1232090871442065E-2</v>
      </c>
    </row>
    <row r="263" spans="1:16" x14ac:dyDescent="0.3">
      <c r="A263">
        <v>13.508062000000001</v>
      </c>
      <c r="B263">
        <v>0.34725</v>
      </c>
      <c r="C263">
        <f t="shared" si="46"/>
        <v>4.6906745294999999</v>
      </c>
      <c r="D263">
        <v>1.6299999999999999E-2</v>
      </c>
      <c r="E263">
        <v>3.3E-3</v>
      </c>
      <c r="F263">
        <f t="shared" si="47"/>
        <v>2701.6124</v>
      </c>
      <c r="G263">
        <f t="shared" si="48"/>
        <v>-0.34725</v>
      </c>
      <c r="H263">
        <f t="shared" si="49"/>
        <v>-938.13490589999992</v>
      </c>
      <c r="I263">
        <v>1</v>
      </c>
      <c r="J263">
        <f t="shared" si="50"/>
        <v>0.99384877995135557</v>
      </c>
      <c r="K263">
        <f t="shared" si="51"/>
        <v>-0.8744751517752174</v>
      </c>
      <c r="L263">
        <v>1</v>
      </c>
      <c r="M263">
        <f t="shared" si="52"/>
        <v>0.55767808958517062</v>
      </c>
      <c r="N263">
        <f t="shared" si="53"/>
        <v>0.22018141059999999</v>
      </c>
      <c r="O263">
        <f t="shared" si="54"/>
        <v>4.45766046E-2</v>
      </c>
      <c r="P263">
        <f t="shared" si="55"/>
        <v>5.2039046990046786E-2</v>
      </c>
    </row>
    <row r="264" spans="1:16" x14ac:dyDescent="0.3">
      <c r="A264">
        <v>13.562036000000001</v>
      </c>
      <c r="B264">
        <v>0.34509000000000001</v>
      </c>
      <c r="C264">
        <f t="shared" si="46"/>
        <v>4.6801230032400003</v>
      </c>
      <c r="D264">
        <v>1.6299999999999999E-2</v>
      </c>
      <c r="E264">
        <v>3.3E-3</v>
      </c>
      <c r="F264">
        <f t="shared" si="47"/>
        <v>2712.4072000000001</v>
      </c>
      <c r="G264">
        <f t="shared" si="48"/>
        <v>-0.34509000000000001</v>
      </c>
      <c r="H264">
        <f t="shared" si="49"/>
        <v>-936.02460064800005</v>
      </c>
      <c r="I264">
        <v>1</v>
      </c>
      <c r="J264">
        <f t="shared" si="50"/>
        <v>0.99783650629976794</v>
      </c>
      <c r="K264">
        <f t="shared" si="51"/>
        <v>-0.87663515177521745</v>
      </c>
      <c r="L264">
        <v>1</v>
      </c>
      <c r="M264">
        <f t="shared" si="52"/>
        <v>0.5578608470837183</v>
      </c>
      <c r="N264">
        <f t="shared" si="53"/>
        <v>0.2210611868</v>
      </c>
      <c r="O264">
        <f t="shared" si="54"/>
        <v>4.4754718800000003E-2</v>
      </c>
      <c r="P264">
        <f t="shared" si="55"/>
        <v>5.2958399091499138E-2</v>
      </c>
    </row>
    <row r="265" spans="1:16" x14ac:dyDescent="0.3">
      <c r="A265">
        <v>13.614482000000001</v>
      </c>
      <c r="B265">
        <v>0.34305000000000002</v>
      </c>
      <c r="C265">
        <f t="shared" si="46"/>
        <v>4.6704480501000001</v>
      </c>
      <c r="D265">
        <v>1.6299999999999999E-2</v>
      </c>
      <c r="E265">
        <v>3.3E-3</v>
      </c>
      <c r="F265">
        <f t="shared" si="47"/>
        <v>2722.8964000000001</v>
      </c>
      <c r="G265">
        <f t="shared" si="48"/>
        <v>-0.34305000000000002</v>
      </c>
      <c r="H265">
        <f t="shared" si="49"/>
        <v>-934.08961002000001</v>
      </c>
      <c r="I265">
        <v>1</v>
      </c>
      <c r="J265">
        <f t="shared" si="50"/>
        <v>1.0016961666953512</v>
      </c>
      <c r="K265">
        <f t="shared" si="51"/>
        <v>-0.87867515177521738</v>
      </c>
      <c r="L265">
        <v>1</v>
      </c>
      <c r="M265">
        <f t="shared" si="52"/>
        <v>0.55803773531964795</v>
      </c>
      <c r="N265">
        <f t="shared" si="53"/>
        <v>0.22191605659999999</v>
      </c>
      <c r="O265">
        <f t="shared" si="54"/>
        <v>4.4927790600000003E-2</v>
      </c>
      <c r="P265">
        <f t="shared" si="55"/>
        <v>5.3793569255569426E-2</v>
      </c>
    </row>
    <row r="266" spans="1:16" x14ac:dyDescent="0.3">
      <c r="A266">
        <v>13.667946000000001</v>
      </c>
      <c r="B266">
        <v>0.34072000000000002</v>
      </c>
      <c r="C266">
        <f t="shared" si="46"/>
        <v>4.6569425611200002</v>
      </c>
      <c r="D266">
        <v>1.6299999999999999E-2</v>
      </c>
      <c r="E266">
        <v>3.3E-3</v>
      </c>
      <c r="F266">
        <f t="shared" si="47"/>
        <v>2733.5892000000003</v>
      </c>
      <c r="G266">
        <f t="shared" si="48"/>
        <v>-0.34072000000000002</v>
      </c>
      <c r="H266">
        <f t="shared" si="49"/>
        <v>-931.38851222400001</v>
      </c>
      <c r="I266">
        <v>1</v>
      </c>
      <c r="J266">
        <f t="shared" si="50"/>
        <v>1.0056154709770757</v>
      </c>
      <c r="K266">
        <f t="shared" si="51"/>
        <v>-0.88100515177521743</v>
      </c>
      <c r="L266">
        <v>1</v>
      </c>
      <c r="M266">
        <f t="shared" si="52"/>
        <v>0.5582173570348794</v>
      </c>
      <c r="N266">
        <f t="shared" si="53"/>
        <v>0.2227875198</v>
      </c>
      <c r="O266">
        <f t="shared" si="54"/>
        <v>4.5104221800000004E-2</v>
      </c>
      <c r="P266">
        <f t="shared" si="55"/>
        <v>5.4896053140338026E-2</v>
      </c>
    </row>
    <row r="267" spans="1:16" x14ac:dyDescent="0.3">
      <c r="A267">
        <v>13.718355000000001</v>
      </c>
      <c r="B267">
        <v>0.33875</v>
      </c>
      <c r="C267">
        <f t="shared" si="46"/>
        <v>4.6470927562500002</v>
      </c>
      <c r="D267">
        <v>1.6299999999999999E-2</v>
      </c>
      <c r="E267">
        <v>3.3E-3</v>
      </c>
      <c r="F267">
        <f t="shared" si="47"/>
        <v>2743.6710000000003</v>
      </c>
      <c r="G267">
        <f t="shared" si="48"/>
        <v>-0.33875</v>
      </c>
      <c r="H267">
        <f t="shared" si="49"/>
        <v>-929.41855125000006</v>
      </c>
      <c r="I267">
        <v>1</v>
      </c>
      <c r="J267">
        <f t="shared" si="50"/>
        <v>1.0092968047161204</v>
      </c>
      <c r="K267">
        <f t="shared" si="51"/>
        <v>-0.88297515177521746</v>
      </c>
      <c r="L267">
        <v>1</v>
      </c>
      <c r="M267">
        <f t="shared" si="52"/>
        <v>0.55838607256013972</v>
      </c>
      <c r="N267">
        <f t="shared" si="53"/>
        <v>0.2236091865</v>
      </c>
      <c r="O267">
        <f t="shared" si="54"/>
        <v>4.5270571500000002E-2</v>
      </c>
      <c r="P267">
        <f t="shared" si="55"/>
        <v>5.5709321215077733E-2</v>
      </c>
    </row>
    <row r="268" spans="1:16" x14ac:dyDescent="0.3">
      <c r="A268">
        <v>13.770292</v>
      </c>
      <c r="B268">
        <v>0.33661000000000002</v>
      </c>
      <c r="C268">
        <f t="shared" si="46"/>
        <v>4.6352179901200001</v>
      </c>
      <c r="D268">
        <v>1.6299999999999999E-2</v>
      </c>
      <c r="E268">
        <v>3.3E-3</v>
      </c>
      <c r="F268">
        <f t="shared" si="47"/>
        <v>2754.0583999999999</v>
      </c>
      <c r="G268">
        <f t="shared" si="48"/>
        <v>-0.33661000000000002</v>
      </c>
      <c r="H268">
        <f t="shared" si="49"/>
        <v>-927.04359802400006</v>
      </c>
      <c r="I268">
        <v>1</v>
      </c>
      <c r="J268">
        <f t="shared" si="50"/>
        <v>1.0130756056008741</v>
      </c>
      <c r="K268">
        <f t="shared" si="51"/>
        <v>-0.88511515177521738</v>
      </c>
      <c r="L268">
        <v>1</v>
      </c>
      <c r="M268">
        <f t="shared" si="52"/>
        <v>0.55855925500468806</v>
      </c>
      <c r="N268">
        <f t="shared" si="53"/>
        <v>0.22445575959999997</v>
      </c>
      <c r="O268">
        <f t="shared" si="54"/>
        <v>4.5441963599999996E-2</v>
      </c>
      <c r="P268">
        <f t="shared" si="55"/>
        <v>5.6658173570529352E-2</v>
      </c>
    </row>
    <row r="269" spans="1:16" x14ac:dyDescent="0.3">
      <c r="A269">
        <v>13.822229</v>
      </c>
      <c r="B269">
        <v>0.3347</v>
      </c>
      <c r="C269">
        <f t="shared" si="46"/>
        <v>4.6263000462999999</v>
      </c>
      <c r="D269">
        <v>1.6299999999999999E-2</v>
      </c>
      <c r="E269">
        <v>3.3E-3</v>
      </c>
      <c r="F269">
        <f t="shared" si="47"/>
        <v>2764.4458</v>
      </c>
      <c r="G269">
        <f t="shared" si="48"/>
        <v>-0.3347</v>
      </c>
      <c r="H269">
        <f t="shared" si="49"/>
        <v>-925.26000925999995</v>
      </c>
      <c r="I269">
        <v>1</v>
      </c>
      <c r="J269">
        <f t="shared" si="50"/>
        <v>1.0168401808883367</v>
      </c>
      <c r="K269">
        <f t="shared" si="51"/>
        <v>-0.88702515177521746</v>
      </c>
      <c r="L269">
        <v>1</v>
      </c>
      <c r="M269">
        <f t="shared" si="52"/>
        <v>0.55873178549011249</v>
      </c>
      <c r="N269">
        <f t="shared" si="53"/>
        <v>0.22530233269999997</v>
      </c>
      <c r="O269">
        <f t="shared" si="54"/>
        <v>4.5613355699999997E-2</v>
      </c>
      <c r="P269">
        <f t="shared" si="55"/>
        <v>5.7377677885105005E-2</v>
      </c>
    </row>
    <row r="270" spans="1:16" x14ac:dyDescent="0.3">
      <c r="A270">
        <v>13.876201</v>
      </c>
      <c r="B270">
        <v>0.33256000000000002</v>
      </c>
      <c r="C270">
        <f t="shared" si="46"/>
        <v>4.6146694045600007</v>
      </c>
      <c r="D270">
        <v>1.6299999999999999E-2</v>
      </c>
      <c r="E270">
        <v>3.3E-3</v>
      </c>
      <c r="F270">
        <f t="shared" si="47"/>
        <v>2775.2402000000002</v>
      </c>
      <c r="G270">
        <f t="shared" si="48"/>
        <v>-0.33256000000000002</v>
      </c>
      <c r="H270">
        <f t="shared" si="49"/>
        <v>-922.93388091200018</v>
      </c>
      <c r="I270">
        <v>1</v>
      </c>
      <c r="J270">
        <f t="shared" si="50"/>
        <v>1.0207373020109807</v>
      </c>
      <c r="K270">
        <f t="shared" si="51"/>
        <v>-0.88916515177521749</v>
      </c>
      <c r="L270">
        <v>1</v>
      </c>
      <c r="M270">
        <f t="shared" si="52"/>
        <v>0.55891039055116321</v>
      </c>
      <c r="N270">
        <f t="shared" si="53"/>
        <v>0.22618207629999998</v>
      </c>
      <c r="O270">
        <f t="shared" si="54"/>
        <v>4.5791463300000002E-2</v>
      </c>
      <c r="P270">
        <f t="shared" si="55"/>
        <v>5.8281221624054302E-2</v>
      </c>
    </row>
    <row r="271" spans="1:16" x14ac:dyDescent="0.3">
      <c r="A271">
        <v>13.928139</v>
      </c>
      <c r="B271">
        <v>0.33024999999999999</v>
      </c>
      <c r="C271">
        <f t="shared" si="46"/>
        <v>4.5997679047500002</v>
      </c>
      <c r="D271">
        <v>1.6299999999999999E-2</v>
      </c>
      <c r="E271">
        <v>3.3E-3</v>
      </c>
      <c r="F271">
        <f t="shared" si="47"/>
        <v>2785.6277999999998</v>
      </c>
      <c r="G271">
        <f t="shared" si="48"/>
        <v>-0.33024999999999999</v>
      </c>
      <c r="H271">
        <f t="shared" si="49"/>
        <v>-919.95358095000006</v>
      </c>
      <c r="I271">
        <v>1</v>
      </c>
      <c r="J271">
        <f t="shared" si="50"/>
        <v>1.0244732698785999</v>
      </c>
      <c r="K271">
        <f t="shared" si="51"/>
        <v>-0.89147515177521752</v>
      </c>
      <c r="L271">
        <v>1</v>
      </c>
      <c r="M271">
        <f t="shared" si="52"/>
        <v>0.55908160995853617</v>
      </c>
      <c r="N271">
        <f t="shared" si="53"/>
        <v>0.22702866569999997</v>
      </c>
      <c r="O271">
        <f t="shared" si="54"/>
        <v>4.5962858699999998E-2</v>
      </c>
      <c r="P271">
        <f t="shared" si="55"/>
        <v>5.9402017416681385E-2</v>
      </c>
    </row>
    <row r="272" spans="1:16" x14ac:dyDescent="0.3">
      <c r="A272">
        <v>13.981094000000001</v>
      </c>
      <c r="B272">
        <v>0.32812999999999998</v>
      </c>
      <c r="C272">
        <f t="shared" si="46"/>
        <v>4.5876163742199996</v>
      </c>
      <c r="D272">
        <v>1.6299999999999999E-2</v>
      </c>
      <c r="E272">
        <v>3.3E-3</v>
      </c>
      <c r="F272">
        <f t="shared" si="47"/>
        <v>2796.2188000000001</v>
      </c>
      <c r="G272">
        <f t="shared" si="48"/>
        <v>-0.32812999999999998</v>
      </c>
      <c r="H272">
        <f t="shared" si="49"/>
        <v>-917.52327484399996</v>
      </c>
      <c r="I272">
        <v>1</v>
      </c>
      <c r="J272">
        <f t="shared" si="50"/>
        <v>1.0282680759593279</v>
      </c>
      <c r="K272">
        <f t="shared" si="51"/>
        <v>-0.89359515177521742</v>
      </c>
      <c r="L272">
        <v>1</v>
      </c>
      <c r="M272">
        <f t="shared" si="52"/>
        <v>0.55925552592121597</v>
      </c>
      <c r="N272">
        <f t="shared" si="53"/>
        <v>0.22789183219999998</v>
      </c>
      <c r="O272">
        <f t="shared" si="54"/>
        <v>4.6137610199999998E-2</v>
      </c>
      <c r="P272">
        <f t="shared" si="55"/>
        <v>6.0310183454001479E-2</v>
      </c>
    </row>
    <row r="273" spans="1:16" x14ac:dyDescent="0.3">
      <c r="A273">
        <v>14.031503000000001</v>
      </c>
      <c r="B273">
        <v>0.32582</v>
      </c>
      <c r="C273">
        <f t="shared" si="46"/>
        <v>4.5717443074600004</v>
      </c>
      <c r="D273">
        <v>1.6299999999999999E-2</v>
      </c>
      <c r="E273">
        <v>3.3E-3</v>
      </c>
      <c r="F273">
        <f t="shared" si="47"/>
        <v>2806.3006</v>
      </c>
      <c r="G273">
        <f t="shared" si="48"/>
        <v>-0.32582</v>
      </c>
      <c r="H273">
        <f t="shared" si="49"/>
        <v>-914.34886149200008</v>
      </c>
      <c r="I273">
        <v>1</v>
      </c>
      <c r="J273">
        <f t="shared" si="50"/>
        <v>1.0318671035262685</v>
      </c>
      <c r="K273">
        <f t="shared" si="51"/>
        <v>-0.89590515177521746</v>
      </c>
      <c r="L273">
        <v>1</v>
      </c>
      <c r="M273">
        <f t="shared" si="52"/>
        <v>0.55942046935460887</v>
      </c>
      <c r="N273">
        <f t="shared" si="53"/>
        <v>0.22871349889999998</v>
      </c>
      <c r="O273">
        <f t="shared" si="54"/>
        <v>4.6303959900000004E-2</v>
      </c>
      <c r="P273">
        <f t="shared" si="55"/>
        <v>6.1467223620608601E-2</v>
      </c>
    </row>
    <row r="274" spans="1:16" x14ac:dyDescent="0.3">
      <c r="A274">
        <v>14.081912000000001</v>
      </c>
      <c r="B274">
        <v>0.32368999999999998</v>
      </c>
      <c r="C274">
        <f t="shared" si="46"/>
        <v>4.5581740952800001</v>
      </c>
      <c r="D274">
        <v>1.6299999999999999E-2</v>
      </c>
      <c r="E274">
        <v>3.3E-3</v>
      </c>
      <c r="F274">
        <f t="shared" si="47"/>
        <v>2816.3824</v>
      </c>
      <c r="G274">
        <f t="shared" si="48"/>
        <v>-0.32368999999999998</v>
      </c>
      <c r="H274">
        <f t="shared" si="49"/>
        <v>-911.63481905599997</v>
      </c>
      <c r="I274">
        <v>1</v>
      </c>
      <c r="J274">
        <f t="shared" si="50"/>
        <v>1.0354532245309733</v>
      </c>
      <c r="K274">
        <f t="shared" si="51"/>
        <v>-0.89803515177521742</v>
      </c>
      <c r="L274">
        <v>1</v>
      </c>
      <c r="M274">
        <f t="shared" si="52"/>
        <v>0.55958482128025444</v>
      </c>
      <c r="N274">
        <f t="shared" si="53"/>
        <v>0.22953516559999998</v>
      </c>
      <c r="O274">
        <f t="shared" si="54"/>
        <v>4.6470309600000002E-2</v>
      </c>
      <c r="P274">
        <f t="shared" si="55"/>
        <v>6.2444855294962999E-2</v>
      </c>
    </row>
    <row r="275" spans="1:16" x14ac:dyDescent="0.3">
      <c r="A275">
        <v>14.133341</v>
      </c>
      <c r="B275">
        <v>0.3216</v>
      </c>
      <c r="C275">
        <f t="shared" si="46"/>
        <v>4.5452824655999997</v>
      </c>
      <c r="D275">
        <v>1.6299999999999999E-2</v>
      </c>
      <c r="E275">
        <v>3.3E-3</v>
      </c>
      <c r="F275">
        <f t="shared" si="47"/>
        <v>2826.6682000000001</v>
      </c>
      <c r="G275">
        <f t="shared" si="48"/>
        <v>-0.3216</v>
      </c>
      <c r="H275">
        <f t="shared" si="49"/>
        <v>-909.05649311999991</v>
      </c>
      <c r="I275">
        <v>1</v>
      </c>
      <c r="J275">
        <f t="shared" si="50"/>
        <v>1.039098703588385</v>
      </c>
      <c r="K275">
        <f t="shared" si="51"/>
        <v>-0.90012515177521746</v>
      </c>
      <c r="L275">
        <v>1</v>
      </c>
      <c r="M275">
        <f t="shared" si="52"/>
        <v>0.55975189358545563</v>
      </c>
      <c r="N275">
        <f t="shared" si="53"/>
        <v>0.23037345829999997</v>
      </c>
      <c r="O275">
        <f t="shared" si="54"/>
        <v>4.6640025299999999E-2</v>
      </c>
      <c r="P275">
        <f t="shared" si="55"/>
        <v>6.3359774589761858E-2</v>
      </c>
    </row>
    <row r="276" spans="1:16" x14ac:dyDescent="0.3">
      <c r="A276">
        <v>14.183749000000001</v>
      </c>
      <c r="B276">
        <v>0.31945000000000001</v>
      </c>
      <c r="C276">
        <f t="shared" si="46"/>
        <v>4.5309986180499999</v>
      </c>
      <c r="D276">
        <v>1.6299999999999999E-2</v>
      </c>
      <c r="E276">
        <v>3.3E-3</v>
      </c>
      <c r="F276">
        <f t="shared" si="47"/>
        <v>2836.7498000000001</v>
      </c>
      <c r="G276">
        <f t="shared" si="48"/>
        <v>-0.31945000000000001</v>
      </c>
      <c r="H276">
        <f t="shared" si="49"/>
        <v>-906.19972360999998</v>
      </c>
      <c r="I276">
        <v>1</v>
      </c>
      <c r="J276">
        <f t="shared" si="50"/>
        <v>1.0426589601857426</v>
      </c>
      <c r="K276">
        <f t="shared" si="51"/>
        <v>-0.90227515177521744</v>
      </c>
      <c r="L276">
        <v>1</v>
      </c>
      <c r="M276">
        <f t="shared" si="52"/>
        <v>0.55991506014531256</v>
      </c>
      <c r="N276">
        <f t="shared" si="53"/>
        <v>0.23119510869999998</v>
      </c>
      <c r="O276">
        <f t="shared" si="54"/>
        <v>4.6806371700000002E-2</v>
      </c>
      <c r="P276">
        <f t="shared" si="55"/>
        <v>6.4358611229904897E-2</v>
      </c>
    </row>
    <row r="277" spans="1:16" x14ac:dyDescent="0.3">
      <c r="A277">
        <v>14.234667</v>
      </c>
      <c r="B277">
        <v>0.31716</v>
      </c>
      <c r="C277">
        <f t="shared" si="46"/>
        <v>4.5146669857199999</v>
      </c>
      <c r="D277">
        <v>1.6299999999999999E-2</v>
      </c>
      <c r="E277">
        <v>3.3E-3</v>
      </c>
      <c r="F277">
        <f t="shared" si="47"/>
        <v>2846.9333999999999</v>
      </c>
      <c r="G277">
        <f t="shared" si="48"/>
        <v>-0.31716</v>
      </c>
      <c r="H277">
        <f t="shared" si="49"/>
        <v>-902.93339714399997</v>
      </c>
      <c r="I277">
        <v>1</v>
      </c>
      <c r="J277">
        <f t="shared" si="50"/>
        <v>1.046242414976968</v>
      </c>
      <c r="K277">
        <f t="shared" si="51"/>
        <v>-0.90456515177521746</v>
      </c>
      <c r="L277">
        <v>1</v>
      </c>
      <c r="M277">
        <f t="shared" si="52"/>
        <v>0.56007928987839439</v>
      </c>
      <c r="N277">
        <f t="shared" si="53"/>
        <v>0.23202507209999998</v>
      </c>
      <c r="O277">
        <f t="shared" si="54"/>
        <v>4.69744011E-2</v>
      </c>
      <c r="P277">
        <f t="shared" si="55"/>
        <v>6.5486388696823078E-2</v>
      </c>
    </row>
    <row r="278" spans="1:16" x14ac:dyDescent="0.3">
      <c r="A278">
        <v>14.286096000000001</v>
      </c>
      <c r="B278">
        <v>0.31523000000000001</v>
      </c>
      <c r="C278">
        <f t="shared" si="46"/>
        <v>4.5034060420799999</v>
      </c>
      <c r="D278">
        <v>1.6299999999999999E-2</v>
      </c>
      <c r="E278">
        <v>3.3E-3</v>
      </c>
      <c r="F278">
        <f t="shared" si="47"/>
        <v>2857.2192</v>
      </c>
      <c r="G278">
        <f t="shared" si="48"/>
        <v>-0.31523000000000001</v>
      </c>
      <c r="H278">
        <f t="shared" si="49"/>
        <v>-900.681208416</v>
      </c>
      <c r="I278">
        <v>1</v>
      </c>
      <c r="J278">
        <f t="shared" si="50"/>
        <v>1.0498488441417049</v>
      </c>
      <c r="K278">
        <f t="shared" si="51"/>
        <v>-0.90649515177521744</v>
      </c>
      <c r="L278">
        <v>1</v>
      </c>
      <c r="M278">
        <f t="shared" si="52"/>
        <v>0.56024457252701432</v>
      </c>
      <c r="N278">
        <f t="shared" si="53"/>
        <v>0.2328633648</v>
      </c>
      <c r="O278">
        <f t="shared" si="54"/>
        <v>4.7144116800000004E-2</v>
      </c>
      <c r="P278">
        <f t="shared" si="55"/>
        <v>6.6243097648203131E-2</v>
      </c>
    </row>
    <row r="279" spans="1:16" x14ac:dyDescent="0.3">
      <c r="A279">
        <v>14.337014</v>
      </c>
      <c r="B279">
        <v>0.31274000000000002</v>
      </c>
      <c r="C279">
        <f t="shared" si="46"/>
        <v>4.4837577583600003</v>
      </c>
      <c r="D279">
        <v>1.6299999999999999E-2</v>
      </c>
      <c r="E279">
        <v>3.3E-3</v>
      </c>
      <c r="F279">
        <f t="shared" si="47"/>
        <v>2867.4027999999998</v>
      </c>
      <c r="G279">
        <f t="shared" si="48"/>
        <v>-0.31274000000000002</v>
      </c>
      <c r="H279">
        <f t="shared" si="49"/>
        <v>-896.75155167200012</v>
      </c>
      <c r="I279">
        <v>1</v>
      </c>
      <c r="J279">
        <f t="shared" si="50"/>
        <v>1.0534066723239388</v>
      </c>
      <c r="K279">
        <f t="shared" si="51"/>
        <v>-0.90898515177521744</v>
      </c>
      <c r="L279">
        <v>1</v>
      </c>
      <c r="M279">
        <f t="shared" si="52"/>
        <v>0.56040762779260611</v>
      </c>
      <c r="N279">
        <f t="shared" si="53"/>
        <v>0.23369332819999997</v>
      </c>
      <c r="O279">
        <f t="shared" si="54"/>
        <v>4.7312146200000002E-2</v>
      </c>
      <c r="P279">
        <f t="shared" si="55"/>
        <v>6.7572049582611357E-2</v>
      </c>
    </row>
    <row r="280" spans="1:16" x14ac:dyDescent="0.3">
      <c r="A280">
        <v>14.389457999999999</v>
      </c>
      <c r="B280">
        <v>0.31061</v>
      </c>
      <c r="C280">
        <f t="shared" si="46"/>
        <v>4.4695095493799997</v>
      </c>
      <c r="D280">
        <v>1.6299999999999999E-2</v>
      </c>
      <c r="E280">
        <v>3.3E-3</v>
      </c>
      <c r="F280">
        <f t="shared" si="47"/>
        <v>2877.8915999999999</v>
      </c>
      <c r="G280">
        <f t="shared" si="48"/>
        <v>-0.31061</v>
      </c>
      <c r="H280">
        <f t="shared" si="49"/>
        <v>-893.90190987599999</v>
      </c>
      <c r="I280">
        <v>1</v>
      </c>
      <c r="J280">
        <f t="shared" si="50"/>
        <v>1.0570579427106601</v>
      </c>
      <c r="K280">
        <f t="shared" si="51"/>
        <v>-0.9111151517752174</v>
      </c>
      <c r="L280">
        <v>1</v>
      </c>
      <c r="M280">
        <f t="shared" si="52"/>
        <v>0.56057496551442954</v>
      </c>
      <c r="N280">
        <f t="shared" si="53"/>
        <v>0.23454816539999998</v>
      </c>
      <c r="O280">
        <f t="shared" si="54"/>
        <v>4.7485211399999998E-2</v>
      </c>
      <c r="P280">
        <f t="shared" si="55"/>
        <v>6.8506809460787882E-2</v>
      </c>
    </row>
    <row r="281" spans="1:16" x14ac:dyDescent="0.3">
      <c r="A281">
        <v>14.442413999999999</v>
      </c>
      <c r="B281">
        <v>0.30812</v>
      </c>
      <c r="C281">
        <f t="shared" si="46"/>
        <v>4.4499966016799997</v>
      </c>
      <c r="D281">
        <v>1.6299999999999999E-2</v>
      </c>
      <c r="E281">
        <v>3.3E-3</v>
      </c>
      <c r="F281">
        <f t="shared" si="47"/>
        <v>2888.4827999999998</v>
      </c>
      <c r="G281">
        <f t="shared" si="48"/>
        <v>-0.30812</v>
      </c>
      <c r="H281">
        <f t="shared" si="49"/>
        <v>-889.99932033599998</v>
      </c>
      <c r="I281">
        <v>1</v>
      </c>
      <c r="J281">
        <f t="shared" si="50"/>
        <v>1.0607313815737132</v>
      </c>
      <c r="K281">
        <f t="shared" si="51"/>
        <v>-0.91360515177521751</v>
      </c>
      <c r="L281">
        <v>1</v>
      </c>
      <c r="M281">
        <f t="shared" si="52"/>
        <v>0.56074331921752329</v>
      </c>
      <c r="N281">
        <f t="shared" si="53"/>
        <v>0.23541134819999998</v>
      </c>
      <c r="O281">
        <f t="shared" si="54"/>
        <v>4.7659966200000001E-2</v>
      </c>
      <c r="P281">
        <f t="shared" si="55"/>
        <v>6.9790518157694229E-2</v>
      </c>
    </row>
    <row r="282" spans="1:16" x14ac:dyDescent="0.3">
      <c r="A282">
        <v>14.492823</v>
      </c>
      <c r="B282">
        <v>0.30586999999999998</v>
      </c>
      <c r="C282">
        <f t="shared" si="46"/>
        <v>4.4329197710099999</v>
      </c>
      <c r="D282">
        <v>1.6299999999999999E-2</v>
      </c>
      <c r="E282">
        <v>3.3E-3</v>
      </c>
      <c r="F282">
        <f t="shared" si="47"/>
        <v>2898.5645999999997</v>
      </c>
      <c r="G282">
        <f t="shared" si="48"/>
        <v>-0.30586999999999998</v>
      </c>
      <c r="H282">
        <f t="shared" si="49"/>
        <v>-886.58395420199997</v>
      </c>
      <c r="I282">
        <v>1</v>
      </c>
      <c r="J282">
        <f t="shared" si="50"/>
        <v>1.0642156489393195</v>
      </c>
      <c r="K282">
        <f t="shared" si="51"/>
        <v>-0.91585515177521748</v>
      </c>
      <c r="L282">
        <v>1</v>
      </c>
      <c r="M282">
        <f t="shared" si="52"/>
        <v>0.56090300319088904</v>
      </c>
      <c r="N282">
        <f t="shared" si="53"/>
        <v>0.23623301489999998</v>
      </c>
      <c r="O282">
        <f t="shared" si="54"/>
        <v>4.7826315899999999E-2</v>
      </c>
      <c r="P282">
        <f t="shared" si="55"/>
        <v>7.089281778432846E-2</v>
      </c>
    </row>
    <row r="283" spans="1:16" x14ac:dyDescent="0.3">
      <c r="A283">
        <v>14.547814000000001</v>
      </c>
      <c r="B283">
        <v>0.30349999999999999</v>
      </c>
      <c r="C283">
        <f t="shared" si="46"/>
        <v>4.4152615490000002</v>
      </c>
      <c r="D283">
        <v>1.6299999999999999E-2</v>
      </c>
      <c r="E283">
        <v>3.3E-3</v>
      </c>
      <c r="F283">
        <f t="shared" si="47"/>
        <v>2909.5628000000002</v>
      </c>
      <c r="G283">
        <f t="shared" si="48"/>
        <v>-0.30349999999999999</v>
      </c>
      <c r="H283">
        <f t="shared" si="49"/>
        <v>-883.0523098000001</v>
      </c>
      <c r="I283">
        <v>1</v>
      </c>
      <c r="J283">
        <f t="shared" si="50"/>
        <v>1.0680028293463311</v>
      </c>
      <c r="K283">
        <f t="shared" si="51"/>
        <v>-0.91822515177521746</v>
      </c>
      <c r="L283">
        <v>1</v>
      </c>
      <c r="M283">
        <f t="shared" si="52"/>
        <v>0.56107656966894237</v>
      </c>
      <c r="N283">
        <f t="shared" si="53"/>
        <v>0.2371293682</v>
      </c>
      <c r="O283">
        <f t="shared" si="54"/>
        <v>4.8007786199999999E-2</v>
      </c>
      <c r="P283">
        <f t="shared" si="55"/>
        <v>7.2011427706275097E-2</v>
      </c>
    </row>
    <row r="284" spans="1:16" x14ac:dyDescent="0.3">
      <c r="A284">
        <v>14.599243</v>
      </c>
      <c r="B284">
        <v>0.30119000000000001</v>
      </c>
      <c r="C284">
        <f t="shared" si="46"/>
        <v>4.3971459991700002</v>
      </c>
      <c r="D284">
        <v>1.6299999999999999E-2</v>
      </c>
      <c r="E284">
        <v>3.3E-3</v>
      </c>
      <c r="F284">
        <f t="shared" si="47"/>
        <v>2919.8485999999998</v>
      </c>
      <c r="G284">
        <f t="shared" si="48"/>
        <v>-0.30119000000000001</v>
      </c>
      <c r="H284">
        <f t="shared" si="49"/>
        <v>-879.42919983399997</v>
      </c>
      <c r="I284">
        <v>1</v>
      </c>
      <c r="J284">
        <f t="shared" si="50"/>
        <v>1.0715317656208996</v>
      </c>
      <c r="K284">
        <f t="shared" si="51"/>
        <v>-0.92053515177521739</v>
      </c>
      <c r="L284">
        <v>1</v>
      </c>
      <c r="M284">
        <f t="shared" si="52"/>
        <v>0.56123830081840576</v>
      </c>
      <c r="N284">
        <f t="shared" si="53"/>
        <v>0.23796766089999996</v>
      </c>
      <c r="O284">
        <f t="shared" si="54"/>
        <v>4.8177501899999996E-2</v>
      </c>
      <c r="P284">
        <f t="shared" si="55"/>
        <v>7.3151688156811667E-2</v>
      </c>
    </row>
    <row r="285" spans="1:16" x14ac:dyDescent="0.3">
      <c r="A285">
        <v>14.652706999999999</v>
      </c>
      <c r="B285">
        <v>0.29870999999999998</v>
      </c>
      <c r="C285">
        <f t="shared" si="46"/>
        <v>4.3769101079699997</v>
      </c>
      <c r="D285">
        <v>1.6299999999999999E-2</v>
      </c>
      <c r="E285">
        <v>3.3E-3</v>
      </c>
      <c r="F285">
        <f t="shared" si="47"/>
        <v>2930.5414000000001</v>
      </c>
      <c r="G285">
        <f t="shared" si="48"/>
        <v>-0.29870999999999998</v>
      </c>
      <c r="H285">
        <f t="shared" si="49"/>
        <v>-875.38202159399998</v>
      </c>
      <c r="I285">
        <v>1</v>
      </c>
      <c r="J285">
        <f t="shared" si="50"/>
        <v>1.0751871841165916</v>
      </c>
      <c r="K285">
        <f t="shared" si="51"/>
        <v>-0.92301515177521742</v>
      </c>
      <c r="L285">
        <v>1</v>
      </c>
      <c r="M285">
        <f t="shared" si="52"/>
        <v>0.56140582864806332</v>
      </c>
      <c r="N285">
        <f t="shared" si="53"/>
        <v>0.23883912409999997</v>
      </c>
      <c r="O285">
        <f t="shared" si="54"/>
        <v>4.8353933099999996E-2</v>
      </c>
      <c r="P285">
        <f t="shared" si="55"/>
        <v>7.441626592715414E-2</v>
      </c>
    </row>
    <row r="286" spans="1:16" x14ac:dyDescent="0.3">
      <c r="A286">
        <v>14.704134</v>
      </c>
      <c r="B286">
        <v>0.29622999999999999</v>
      </c>
      <c r="C286">
        <f t="shared" si="46"/>
        <v>4.3558056148199995</v>
      </c>
      <c r="D286">
        <v>1.6299999999999999E-2</v>
      </c>
      <c r="E286">
        <v>3.3E-3</v>
      </c>
      <c r="F286">
        <f t="shared" si="47"/>
        <v>2940.8267999999998</v>
      </c>
      <c r="G286">
        <f t="shared" si="48"/>
        <v>-0.29622999999999999</v>
      </c>
      <c r="H286">
        <f t="shared" si="49"/>
        <v>-871.1611229639999</v>
      </c>
      <c r="I286">
        <v>1</v>
      </c>
      <c r="J286">
        <f t="shared" si="50"/>
        <v>1.0786907663041916</v>
      </c>
      <c r="K286">
        <f t="shared" si="51"/>
        <v>-0.92549515177521746</v>
      </c>
      <c r="L286">
        <v>1</v>
      </c>
      <c r="M286">
        <f t="shared" si="52"/>
        <v>0.56156639781972106</v>
      </c>
      <c r="N286">
        <f t="shared" si="53"/>
        <v>0.23967738419999998</v>
      </c>
      <c r="O286">
        <f t="shared" si="54"/>
        <v>4.8523642200000001E-2</v>
      </c>
      <c r="P286">
        <f t="shared" si="55"/>
        <v>7.5727727555496421E-2</v>
      </c>
    </row>
    <row r="287" spans="1:16" x14ac:dyDescent="0.3">
      <c r="A287">
        <v>14.754543</v>
      </c>
      <c r="B287">
        <v>0.29376999999999998</v>
      </c>
      <c r="C287">
        <f t="shared" si="46"/>
        <v>4.3344420971099993</v>
      </c>
      <c r="D287">
        <v>1.6299999999999999E-2</v>
      </c>
      <c r="E287">
        <v>3.3E-3</v>
      </c>
      <c r="F287">
        <f t="shared" si="47"/>
        <v>2950.9086000000002</v>
      </c>
      <c r="G287">
        <f t="shared" si="48"/>
        <v>-0.29376999999999998</v>
      </c>
      <c r="H287">
        <f t="shared" si="49"/>
        <v>-866.88841942199986</v>
      </c>
      <c r="I287">
        <v>1</v>
      </c>
      <c r="J287">
        <f t="shared" si="50"/>
        <v>1.0821131229294656</v>
      </c>
      <c r="K287">
        <f t="shared" si="51"/>
        <v>-0.92795515177521748</v>
      </c>
      <c r="L287">
        <v>1</v>
      </c>
      <c r="M287">
        <f t="shared" si="52"/>
        <v>0.56172324442385735</v>
      </c>
      <c r="N287">
        <f t="shared" si="53"/>
        <v>0.24049905089999998</v>
      </c>
      <c r="O287">
        <f t="shared" si="54"/>
        <v>4.86899919E-2</v>
      </c>
      <c r="P287">
        <f t="shared" si="55"/>
        <v>7.7042864551360141E-2</v>
      </c>
    </row>
    <row r="288" spans="1:16" x14ac:dyDescent="0.3">
      <c r="A288">
        <v>14.805462</v>
      </c>
      <c r="B288">
        <v>0.29146</v>
      </c>
      <c r="C288">
        <f t="shared" si="46"/>
        <v>4.3151999545199997</v>
      </c>
      <c r="D288">
        <v>1.6299999999999999E-2</v>
      </c>
      <c r="E288">
        <v>3.3E-3</v>
      </c>
      <c r="F288">
        <f t="shared" si="47"/>
        <v>2961.0924</v>
      </c>
      <c r="G288">
        <f t="shared" si="48"/>
        <v>-0.29146</v>
      </c>
      <c r="H288">
        <f t="shared" si="49"/>
        <v>-863.03999090399998</v>
      </c>
      <c r="I288">
        <v>1</v>
      </c>
      <c r="J288">
        <f t="shared" si="50"/>
        <v>1.0855582543063262</v>
      </c>
      <c r="K288">
        <f t="shared" si="51"/>
        <v>-0.9302651517752174</v>
      </c>
      <c r="L288">
        <v>1</v>
      </c>
      <c r="M288">
        <f t="shared" si="52"/>
        <v>0.56188113479485891</v>
      </c>
      <c r="N288">
        <f t="shared" si="53"/>
        <v>0.24132903059999999</v>
      </c>
      <c r="O288">
        <f t="shared" si="54"/>
        <v>4.8858024600000001E-2</v>
      </c>
      <c r="P288">
        <f t="shared" si="55"/>
        <v>7.8196961780358509E-2</v>
      </c>
    </row>
    <row r="289" spans="1:16" x14ac:dyDescent="0.3">
      <c r="A289">
        <v>14.860454000000001</v>
      </c>
      <c r="B289">
        <v>0.28909000000000001</v>
      </c>
      <c r="C289">
        <f t="shared" si="46"/>
        <v>4.2960086468600007</v>
      </c>
      <c r="D289">
        <v>1.6299999999999999E-2</v>
      </c>
      <c r="E289">
        <v>3.3E-3</v>
      </c>
      <c r="F289">
        <f t="shared" si="47"/>
        <v>2972.0907999999999</v>
      </c>
      <c r="G289">
        <f t="shared" si="48"/>
        <v>-0.28909000000000001</v>
      </c>
      <c r="H289">
        <f t="shared" si="49"/>
        <v>-859.20172937200016</v>
      </c>
      <c r="I289">
        <v>1</v>
      </c>
      <c r="J289">
        <f t="shared" si="50"/>
        <v>1.0892656782057739</v>
      </c>
      <c r="K289">
        <f t="shared" si="51"/>
        <v>-0.93263515177521739</v>
      </c>
      <c r="L289">
        <v>1</v>
      </c>
      <c r="M289">
        <f t="shared" si="52"/>
        <v>0.5620510460321706</v>
      </c>
      <c r="N289">
        <f t="shared" si="53"/>
        <v>0.2422254002</v>
      </c>
      <c r="O289">
        <f t="shared" si="54"/>
        <v>4.9039498200000003E-2</v>
      </c>
      <c r="P289">
        <f t="shared" si="55"/>
        <v>7.9319207343046788E-2</v>
      </c>
    </row>
    <row r="290" spans="1:16" x14ac:dyDescent="0.3">
      <c r="A290">
        <v>14.912392000000001</v>
      </c>
      <c r="B290">
        <v>0.28623999999999999</v>
      </c>
      <c r="C290">
        <f t="shared" si="46"/>
        <v>4.2685230860800001</v>
      </c>
      <c r="D290">
        <v>1.6299999999999999E-2</v>
      </c>
      <c r="E290">
        <v>3.3E-3</v>
      </c>
      <c r="F290">
        <f t="shared" si="47"/>
        <v>2982.4784</v>
      </c>
      <c r="G290">
        <f t="shared" si="48"/>
        <v>-0.28623999999999999</v>
      </c>
      <c r="H290">
        <f t="shared" si="49"/>
        <v>-853.70461721599997</v>
      </c>
      <c r="I290">
        <v>1</v>
      </c>
      <c r="J290">
        <f t="shared" si="50"/>
        <v>1.0927546327172712</v>
      </c>
      <c r="K290">
        <f t="shared" si="51"/>
        <v>-0.93548515177521741</v>
      </c>
      <c r="L290">
        <v>1</v>
      </c>
      <c r="M290">
        <f t="shared" si="52"/>
        <v>0.5622109448174325</v>
      </c>
      <c r="N290">
        <f t="shared" si="53"/>
        <v>0.24307198959999998</v>
      </c>
      <c r="O290">
        <f t="shared" si="54"/>
        <v>4.92108936E-2</v>
      </c>
      <c r="P290">
        <f t="shared" si="55"/>
        <v>8.0991323757784922E-2</v>
      </c>
    </row>
    <row r="291" spans="1:16" x14ac:dyDescent="0.3">
      <c r="A291">
        <v>14.963816</v>
      </c>
      <c r="B291">
        <v>0.28386</v>
      </c>
      <c r="C291">
        <f t="shared" si="46"/>
        <v>4.2476288097600001</v>
      </c>
      <c r="D291">
        <v>1.6299999999999999E-2</v>
      </c>
      <c r="E291">
        <v>3.3E-3</v>
      </c>
      <c r="F291">
        <f t="shared" si="47"/>
        <v>2992.7631999999999</v>
      </c>
      <c r="G291">
        <f t="shared" si="48"/>
        <v>-0.28386</v>
      </c>
      <c r="H291">
        <f t="shared" si="49"/>
        <v>-849.52576195200004</v>
      </c>
      <c r="I291">
        <v>1</v>
      </c>
      <c r="J291">
        <f t="shared" si="50"/>
        <v>1.096197107798708</v>
      </c>
      <c r="K291">
        <f t="shared" si="51"/>
        <v>-0.93786515177521745</v>
      </c>
      <c r="L291">
        <v>1</v>
      </c>
      <c r="M291">
        <f t="shared" si="52"/>
        <v>0.56236871345041473</v>
      </c>
      <c r="N291">
        <f t="shared" si="53"/>
        <v>0.24391020079999998</v>
      </c>
      <c r="O291">
        <f t="shared" si="54"/>
        <v>4.9380592799999998E-2</v>
      </c>
      <c r="P291">
        <f t="shared" si="55"/>
        <v>8.2205644724802754E-2</v>
      </c>
    </row>
    <row r="292" spans="1:16" x14ac:dyDescent="0.3">
      <c r="A292">
        <v>15.015245</v>
      </c>
      <c r="B292">
        <v>0.28140999999999999</v>
      </c>
      <c r="C292">
        <f t="shared" si="46"/>
        <v>4.2254400954499998</v>
      </c>
      <c r="D292">
        <v>1.6299999999999999E-2</v>
      </c>
      <c r="E292">
        <v>3.3E-3</v>
      </c>
      <c r="F292">
        <f t="shared" si="47"/>
        <v>3003.049</v>
      </c>
      <c r="G292">
        <f t="shared" si="48"/>
        <v>-0.28140999999999999</v>
      </c>
      <c r="H292">
        <f t="shared" si="49"/>
        <v>-845.08801908999999</v>
      </c>
      <c r="I292">
        <v>1</v>
      </c>
      <c r="J292">
        <f t="shared" si="50"/>
        <v>1.0996281058843891</v>
      </c>
      <c r="K292">
        <f t="shared" si="51"/>
        <v>-0.94031515177521752</v>
      </c>
      <c r="L292">
        <v>1</v>
      </c>
      <c r="M292">
        <f t="shared" si="52"/>
        <v>0.56252595609268152</v>
      </c>
      <c r="N292">
        <f t="shared" si="53"/>
        <v>0.24474849349999997</v>
      </c>
      <c r="O292">
        <f t="shared" si="54"/>
        <v>4.9550308500000001E-2</v>
      </c>
      <c r="P292">
        <f t="shared" si="55"/>
        <v>8.3490393682536024E-2</v>
      </c>
    </row>
    <row r="293" spans="1:16" x14ac:dyDescent="0.3">
      <c r="A293">
        <v>15.066163</v>
      </c>
      <c r="B293">
        <v>0.27873999999999999</v>
      </c>
      <c r="C293">
        <f t="shared" si="46"/>
        <v>4.1995422746199997</v>
      </c>
      <c r="D293">
        <v>1.6299999999999999E-2</v>
      </c>
      <c r="E293">
        <v>3.3E-3</v>
      </c>
      <c r="F293">
        <f t="shared" si="47"/>
        <v>3013.2325999999998</v>
      </c>
      <c r="G293">
        <f t="shared" si="48"/>
        <v>-0.27873999999999999</v>
      </c>
      <c r="H293">
        <f t="shared" si="49"/>
        <v>-839.9084549239999</v>
      </c>
      <c r="I293">
        <v>1</v>
      </c>
      <c r="J293">
        <f t="shared" si="50"/>
        <v>1.1030134559736673</v>
      </c>
      <c r="K293">
        <f t="shared" si="51"/>
        <v>-0.94298515177521747</v>
      </c>
      <c r="L293">
        <v>1</v>
      </c>
      <c r="M293">
        <f t="shared" si="52"/>
        <v>0.56268110668727311</v>
      </c>
      <c r="N293">
        <f t="shared" si="53"/>
        <v>0.24557845689999996</v>
      </c>
      <c r="O293">
        <f t="shared" si="54"/>
        <v>4.9718337899999999E-2</v>
      </c>
      <c r="P293">
        <f t="shared" si="55"/>
        <v>8.5007250287944397E-2</v>
      </c>
    </row>
    <row r="294" spans="1:16" x14ac:dyDescent="0.3">
      <c r="A294">
        <v>15.119626999999999</v>
      </c>
      <c r="B294">
        <v>0.27616000000000002</v>
      </c>
      <c r="C294">
        <f t="shared" si="46"/>
        <v>4.1754361923200003</v>
      </c>
      <c r="D294">
        <v>1.6299999999999999E-2</v>
      </c>
      <c r="E294">
        <v>3.3E-3</v>
      </c>
      <c r="F294">
        <f t="shared" si="47"/>
        <v>3023.9254000000001</v>
      </c>
      <c r="G294">
        <f t="shared" si="48"/>
        <v>-0.27616000000000002</v>
      </c>
      <c r="H294">
        <f t="shared" si="49"/>
        <v>-835.08723846400005</v>
      </c>
      <c r="I294">
        <v>1</v>
      </c>
      <c r="J294">
        <f t="shared" si="50"/>
        <v>1.1065557887008248</v>
      </c>
      <c r="K294">
        <f t="shared" si="51"/>
        <v>-0.94556515177521749</v>
      </c>
      <c r="L294">
        <v>1</v>
      </c>
      <c r="M294">
        <f t="shared" si="52"/>
        <v>0.5628434517961588</v>
      </c>
      <c r="N294">
        <f t="shared" si="53"/>
        <v>0.24644992009999997</v>
      </c>
      <c r="O294">
        <f t="shared" si="54"/>
        <v>4.98947691E-2</v>
      </c>
      <c r="P294">
        <f t="shared" si="55"/>
        <v>8.6377010779058724E-2</v>
      </c>
    </row>
    <row r="295" spans="1:16" x14ac:dyDescent="0.3">
      <c r="A295">
        <v>15.172582999999999</v>
      </c>
      <c r="B295">
        <v>0.27359</v>
      </c>
      <c r="C295">
        <f t="shared" si="46"/>
        <v>4.1510669829699998</v>
      </c>
      <c r="D295">
        <v>1.6299999999999999E-2</v>
      </c>
      <c r="E295">
        <v>3.3E-3</v>
      </c>
      <c r="F295">
        <f t="shared" si="47"/>
        <v>3034.5165999999999</v>
      </c>
      <c r="G295">
        <f t="shared" si="48"/>
        <v>-0.27359</v>
      </c>
      <c r="H295">
        <f t="shared" si="49"/>
        <v>-830.21339659399996</v>
      </c>
      <c r="I295">
        <v>1</v>
      </c>
      <c r="J295">
        <f t="shared" si="50"/>
        <v>1.1100521367022735</v>
      </c>
      <c r="K295">
        <f t="shared" si="51"/>
        <v>-0.94813515177521746</v>
      </c>
      <c r="L295">
        <v>1</v>
      </c>
      <c r="M295">
        <f t="shared" si="52"/>
        <v>0.56300368942506518</v>
      </c>
      <c r="N295">
        <f t="shared" si="53"/>
        <v>0.24731310289999997</v>
      </c>
      <c r="O295">
        <f t="shared" si="54"/>
        <v>5.0069523899999996E-2</v>
      </c>
      <c r="P295">
        <f t="shared" si="55"/>
        <v>8.774883555015231E-2</v>
      </c>
    </row>
    <row r="296" spans="1:16" x14ac:dyDescent="0.3">
      <c r="A296">
        <v>15.224012</v>
      </c>
      <c r="B296">
        <v>0.27078000000000002</v>
      </c>
      <c r="C296">
        <f t="shared" si="46"/>
        <v>4.1223579693600003</v>
      </c>
      <c r="D296">
        <v>1.6299999999999999E-2</v>
      </c>
      <c r="E296">
        <v>3.3E-3</v>
      </c>
      <c r="F296">
        <f t="shared" si="47"/>
        <v>3044.8024</v>
      </c>
      <c r="G296">
        <f t="shared" si="48"/>
        <v>-0.27078000000000002</v>
      </c>
      <c r="H296">
        <f t="shared" si="49"/>
        <v>-824.47159387200008</v>
      </c>
      <c r="I296">
        <v>1</v>
      </c>
      <c r="J296">
        <f t="shared" si="50"/>
        <v>1.1134360057885493</v>
      </c>
      <c r="K296">
        <f t="shared" si="51"/>
        <v>-0.95094515177521743</v>
      </c>
      <c r="L296">
        <v>1</v>
      </c>
      <c r="M296">
        <f t="shared" si="52"/>
        <v>0.5631587721452892</v>
      </c>
      <c r="N296">
        <f t="shared" si="53"/>
        <v>0.24815139559999999</v>
      </c>
      <c r="O296">
        <f t="shared" si="54"/>
        <v>5.0239239599999999E-2</v>
      </c>
      <c r="P296">
        <f t="shared" si="55"/>
        <v>8.9395744429928245E-2</v>
      </c>
    </row>
    <row r="297" spans="1:16" x14ac:dyDescent="0.3">
      <c r="A297">
        <v>15.274929999999999</v>
      </c>
      <c r="B297">
        <v>0.26812000000000002</v>
      </c>
      <c r="C297">
        <f t="shared" si="46"/>
        <v>4.0955142316000002</v>
      </c>
      <c r="D297">
        <v>1.6299999999999999E-2</v>
      </c>
      <c r="E297">
        <v>3.3E-3</v>
      </c>
      <c r="F297">
        <f t="shared" si="47"/>
        <v>3054.9859999999999</v>
      </c>
      <c r="G297">
        <f t="shared" si="48"/>
        <v>-0.26812000000000002</v>
      </c>
      <c r="H297">
        <f t="shared" si="49"/>
        <v>-819.10284632000003</v>
      </c>
      <c r="I297">
        <v>1</v>
      </c>
      <c r="J297">
        <f t="shared" si="50"/>
        <v>1.1167750099616671</v>
      </c>
      <c r="K297">
        <f t="shared" si="51"/>
        <v>-0.95360515177521743</v>
      </c>
      <c r="L297">
        <v>1</v>
      </c>
      <c r="M297">
        <f t="shared" si="52"/>
        <v>0.56331179870654313</v>
      </c>
      <c r="N297">
        <f t="shared" si="53"/>
        <v>0.24898135899999996</v>
      </c>
      <c r="O297">
        <f t="shared" si="54"/>
        <v>5.0407268999999998E-2</v>
      </c>
      <c r="P297">
        <f t="shared" si="55"/>
        <v>9.0904725068674336E-2</v>
      </c>
    </row>
    <row r="298" spans="1:16" x14ac:dyDescent="0.3">
      <c r="A298">
        <v>15.325846</v>
      </c>
      <c r="B298">
        <v>0.26528000000000002</v>
      </c>
      <c r="C298">
        <f t="shared" si="46"/>
        <v>4.0656404268799999</v>
      </c>
      <c r="D298">
        <v>1.6299999999999999E-2</v>
      </c>
      <c r="E298">
        <v>3.3E-3</v>
      </c>
      <c r="F298">
        <f t="shared" si="47"/>
        <v>3065.1692000000003</v>
      </c>
      <c r="G298">
        <f t="shared" si="48"/>
        <v>-0.26528000000000002</v>
      </c>
      <c r="H298">
        <f t="shared" si="49"/>
        <v>-813.12808537599994</v>
      </c>
      <c r="I298">
        <v>1</v>
      </c>
      <c r="J298">
        <f t="shared" si="50"/>
        <v>1.1201027717796661</v>
      </c>
      <c r="K298">
        <f t="shared" si="51"/>
        <v>-0.95644515177521749</v>
      </c>
      <c r="L298">
        <v>1</v>
      </c>
      <c r="M298">
        <f t="shared" si="52"/>
        <v>0.56346431003066211</v>
      </c>
      <c r="N298">
        <f t="shared" si="53"/>
        <v>0.24981128979999997</v>
      </c>
      <c r="O298">
        <f t="shared" si="54"/>
        <v>5.0575291799999998E-2</v>
      </c>
      <c r="P298">
        <f t="shared" si="55"/>
        <v>9.2594260144555407E-2</v>
      </c>
    </row>
    <row r="299" spans="1:16" x14ac:dyDescent="0.3">
      <c r="A299">
        <v>15.377274</v>
      </c>
      <c r="B299">
        <v>0.26272000000000001</v>
      </c>
      <c r="C299">
        <f t="shared" si="46"/>
        <v>4.0399174252800005</v>
      </c>
      <c r="D299">
        <v>1.6299999999999999E-2</v>
      </c>
      <c r="E299">
        <v>3.3E-3</v>
      </c>
      <c r="F299">
        <f t="shared" si="47"/>
        <v>3075.4548</v>
      </c>
      <c r="G299">
        <f t="shared" si="48"/>
        <v>-0.26272000000000001</v>
      </c>
      <c r="H299">
        <f t="shared" si="49"/>
        <v>-807.98348505600006</v>
      </c>
      <c r="I299">
        <v>1</v>
      </c>
      <c r="J299">
        <f t="shared" si="50"/>
        <v>1.1234527927610183</v>
      </c>
      <c r="K299">
        <f t="shared" si="51"/>
        <v>-0.95900515177521739</v>
      </c>
      <c r="L299">
        <v>1</v>
      </c>
      <c r="M299">
        <f t="shared" si="52"/>
        <v>0.56361784149223748</v>
      </c>
      <c r="N299">
        <f t="shared" si="53"/>
        <v>0.25064956619999995</v>
      </c>
      <c r="O299">
        <f t="shared" si="54"/>
        <v>5.0745004199999999E-2</v>
      </c>
      <c r="P299">
        <f t="shared" si="55"/>
        <v>9.3992739882979959E-2</v>
      </c>
    </row>
    <row r="300" spans="1:16" x14ac:dyDescent="0.3">
      <c r="A300">
        <v>15.428191999999999</v>
      </c>
      <c r="B300">
        <v>0.25978000000000001</v>
      </c>
      <c r="C300">
        <f t="shared" si="46"/>
        <v>4.0079357177599997</v>
      </c>
      <c r="D300">
        <v>1.6299999999999999E-2</v>
      </c>
      <c r="E300">
        <v>3.3E-3</v>
      </c>
      <c r="F300">
        <f t="shared" si="47"/>
        <v>3085.6383999999998</v>
      </c>
      <c r="G300">
        <f t="shared" si="48"/>
        <v>-0.25978000000000001</v>
      </c>
      <c r="H300">
        <f t="shared" si="49"/>
        <v>-801.58714355199993</v>
      </c>
      <c r="I300">
        <v>1</v>
      </c>
      <c r="J300">
        <f t="shared" si="50"/>
        <v>1.1267585727398106</v>
      </c>
      <c r="K300">
        <f t="shared" si="51"/>
        <v>-0.96194515177521744</v>
      </c>
      <c r="L300">
        <v>1</v>
      </c>
      <c r="M300">
        <f t="shared" si="52"/>
        <v>0.56376934538866552</v>
      </c>
      <c r="N300">
        <f t="shared" si="53"/>
        <v>0.25147952959999997</v>
      </c>
      <c r="O300">
        <f t="shared" si="54"/>
        <v>5.0913033599999998E-2</v>
      </c>
      <c r="P300">
        <f t="shared" si="55"/>
        <v>9.5783243186551958E-2</v>
      </c>
    </row>
    <row r="301" spans="1:16" x14ac:dyDescent="0.3">
      <c r="A301">
        <v>15.479112000000001</v>
      </c>
      <c r="B301">
        <v>0.25708999999999999</v>
      </c>
      <c r="C301">
        <f t="shared" si="46"/>
        <v>3.9795249040799998</v>
      </c>
      <c r="D301">
        <v>1.6299999999999999E-2</v>
      </c>
      <c r="E301">
        <v>3.3E-3</v>
      </c>
      <c r="F301">
        <f t="shared" si="47"/>
        <v>3095.8224</v>
      </c>
      <c r="G301">
        <f t="shared" si="48"/>
        <v>-0.25708999999999999</v>
      </c>
      <c r="H301">
        <f t="shared" si="49"/>
        <v>-795.90498081599992</v>
      </c>
      <c r="I301">
        <v>1</v>
      </c>
      <c r="J301">
        <f t="shared" si="50"/>
        <v>1.1300535897409987</v>
      </c>
      <c r="K301">
        <f t="shared" si="51"/>
        <v>-0.96463515177521741</v>
      </c>
      <c r="L301">
        <v>1</v>
      </c>
      <c r="M301">
        <f t="shared" si="52"/>
        <v>0.56392035601782997</v>
      </c>
      <c r="N301">
        <f t="shared" si="53"/>
        <v>0.25230952559999997</v>
      </c>
      <c r="O301">
        <f t="shared" si="54"/>
        <v>5.1081069600000001E-2</v>
      </c>
      <c r="P301">
        <f t="shared" si="55"/>
        <v>9.7324200557387469E-2</v>
      </c>
    </row>
    <row r="302" spans="1:16" x14ac:dyDescent="0.3">
      <c r="A302">
        <v>15.529521000000001</v>
      </c>
      <c r="B302">
        <v>0.25419000000000003</v>
      </c>
      <c r="C302">
        <f t="shared" si="46"/>
        <v>3.9474489429900008</v>
      </c>
      <c r="D302">
        <v>1.6299999999999999E-2</v>
      </c>
      <c r="E302">
        <v>3.3E-3</v>
      </c>
      <c r="F302">
        <f t="shared" si="47"/>
        <v>3105.9041999999999</v>
      </c>
      <c r="G302">
        <f t="shared" si="48"/>
        <v>-0.25419000000000003</v>
      </c>
      <c r="H302">
        <f t="shared" si="49"/>
        <v>-789.48978859800013</v>
      </c>
      <c r="I302">
        <v>1</v>
      </c>
      <c r="J302">
        <f t="shared" si="50"/>
        <v>1.1333048807221697</v>
      </c>
      <c r="K302">
        <f t="shared" si="51"/>
        <v>-0.96753515177521743</v>
      </c>
      <c r="L302">
        <v>1</v>
      </c>
      <c r="M302">
        <f t="shared" si="52"/>
        <v>0.56406936268349706</v>
      </c>
      <c r="N302">
        <f t="shared" si="53"/>
        <v>0.25313119229999997</v>
      </c>
      <c r="O302">
        <f t="shared" si="54"/>
        <v>5.1247419299999999E-2</v>
      </c>
      <c r="P302">
        <f t="shared" si="55"/>
        <v>9.9087177491720399E-2</v>
      </c>
    </row>
    <row r="303" spans="1:16" x14ac:dyDescent="0.3">
      <c r="A303">
        <v>15.565673</v>
      </c>
      <c r="B303">
        <v>0.25167</v>
      </c>
      <c r="C303">
        <f t="shared" si="46"/>
        <v>3.9174129239100002</v>
      </c>
      <c r="D303">
        <v>1.6299999999999999E-2</v>
      </c>
      <c r="E303">
        <v>3.3E-3</v>
      </c>
      <c r="F303">
        <f t="shared" si="47"/>
        <v>3113.1345999999999</v>
      </c>
      <c r="G303">
        <f t="shared" si="48"/>
        <v>-0.25167</v>
      </c>
      <c r="H303">
        <f t="shared" si="49"/>
        <v>-783.482584782</v>
      </c>
      <c r="I303">
        <v>1</v>
      </c>
      <c r="J303">
        <f t="shared" si="50"/>
        <v>1.1356301285587851</v>
      </c>
      <c r="K303">
        <f t="shared" si="51"/>
        <v>-0.97005515177521739</v>
      </c>
      <c r="L303">
        <v>1</v>
      </c>
      <c r="M303">
        <f t="shared" si="52"/>
        <v>0.56417592879184908</v>
      </c>
      <c r="N303">
        <f t="shared" si="53"/>
        <v>0.25372046989999997</v>
      </c>
      <c r="O303">
        <f t="shared" si="54"/>
        <v>5.1366720900000003E-2</v>
      </c>
      <c r="P303">
        <f t="shared" si="55"/>
        <v>0.10079203218336835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2026-06-15T02:11:27Z</dcterms:modified>
</cp:coreProperties>
</file>