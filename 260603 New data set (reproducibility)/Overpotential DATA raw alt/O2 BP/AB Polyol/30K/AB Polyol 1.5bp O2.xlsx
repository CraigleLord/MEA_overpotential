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O2 BP\AB Polyol\30K\"/>
    </mc:Choice>
  </mc:AlternateContent>
  <xr:revisionPtr revIDLastSave="0" documentId="13_ncr:1_{C0DE9B5F-D26D-4A6E-A1A8-524A344C30B6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3" sheetId="2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O232" i="3" l="1"/>
  <c r="O231" i="3"/>
  <c r="O230" i="3"/>
  <c r="O229" i="3"/>
  <c r="O228" i="3"/>
  <c r="O227" i="3"/>
  <c r="O226" i="3"/>
  <c r="O225" i="3"/>
  <c r="O224" i="3"/>
  <c r="O223" i="3"/>
  <c r="K223" i="3"/>
  <c r="I223" i="3"/>
  <c r="B223" i="3"/>
  <c r="E223" i="3" s="1"/>
  <c r="O222" i="3"/>
  <c r="I222" i="3"/>
  <c r="K222" i="3" s="1"/>
  <c r="E222" i="3"/>
  <c r="B222" i="3"/>
  <c r="O221" i="3"/>
  <c r="K221" i="3"/>
  <c r="I221" i="3"/>
  <c r="B221" i="3"/>
  <c r="E221" i="3" s="1"/>
  <c r="O220" i="3"/>
  <c r="I220" i="3"/>
  <c r="K220" i="3" s="1"/>
  <c r="E220" i="3"/>
  <c r="B220" i="3"/>
  <c r="O219" i="3"/>
  <c r="K219" i="3"/>
  <c r="I219" i="3"/>
  <c r="B219" i="3"/>
  <c r="E219" i="3" s="1"/>
  <c r="O218" i="3"/>
  <c r="I218" i="3"/>
  <c r="K218" i="3" s="1"/>
  <c r="E218" i="3"/>
  <c r="B218" i="3"/>
  <c r="O217" i="3"/>
  <c r="K217" i="3"/>
  <c r="I217" i="3"/>
  <c r="B217" i="3"/>
  <c r="E217" i="3" s="1"/>
  <c r="O216" i="3"/>
  <c r="I216" i="3"/>
  <c r="K216" i="3" s="1"/>
  <c r="E216" i="3"/>
  <c r="B216" i="3"/>
  <c r="O215" i="3"/>
  <c r="K215" i="3"/>
  <c r="I215" i="3"/>
  <c r="B215" i="3"/>
  <c r="E215" i="3" s="1"/>
  <c r="O214" i="3"/>
  <c r="I214" i="3"/>
  <c r="K214" i="3" s="1"/>
  <c r="E214" i="3"/>
  <c r="B214" i="3"/>
  <c r="O213" i="3"/>
  <c r="K213" i="3"/>
  <c r="I213" i="3"/>
  <c r="B213" i="3"/>
  <c r="E213" i="3" s="1"/>
  <c r="O212" i="3"/>
  <c r="I212" i="3"/>
  <c r="K212" i="3" s="1"/>
  <c r="E212" i="3"/>
  <c r="B212" i="3"/>
  <c r="O211" i="3"/>
  <c r="K211" i="3"/>
  <c r="I211" i="3"/>
  <c r="B211" i="3"/>
  <c r="E211" i="3" s="1"/>
  <c r="O210" i="3"/>
  <c r="I210" i="3"/>
  <c r="K210" i="3" s="1"/>
  <c r="E210" i="3"/>
  <c r="B210" i="3"/>
  <c r="O209" i="3"/>
  <c r="K209" i="3"/>
  <c r="I209" i="3"/>
  <c r="B209" i="3"/>
  <c r="E209" i="3" s="1"/>
  <c r="O208" i="3"/>
  <c r="I208" i="3"/>
  <c r="K208" i="3" s="1"/>
  <c r="E208" i="3"/>
  <c r="B208" i="3"/>
  <c r="O207" i="3"/>
  <c r="K207" i="3"/>
  <c r="I207" i="3"/>
  <c r="B207" i="3"/>
  <c r="E207" i="3" s="1"/>
  <c r="O206" i="3"/>
  <c r="I206" i="3"/>
  <c r="K206" i="3" s="1"/>
  <c r="E206" i="3"/>
  <c r="B206" i="3"/>
  <c r="O205" i="3"/>
  <c r="K205" i="3"/>
  <c r="I205" i="3"/>
  <c r="B205" i="3"/>
  <c r="E205" i="3" s="1"/>
  <c r="O204" i="3"/>
  <c r="I204" i="3"/>
  <c r="K204" i="3" s="1"/>
  <c r="E204" i="3"/>
  <c r="B204" i="3"/>
  <c r="O203" i="3"/>
  <c r="K203" i="3"/>
  <c r="I203" i="3"/>
  <c r="B203" i="3"/>
  <c r="E203" i="3" s="1"/>
  <c r="O202" i="3"/>
  <c r="I202" i="3"/>
  <c r="K202" i="3" s="1"/>
  <c r="E202" i="3"/>
  <c r="B202" i="3"/>
  <c r="O201" i="3"/>
  <c r="K201" i="3"/>
  <c r="I201" i="3"/>
  <c r="B201" i="3"/>
  <c r="E201" i="3" s="1"/>
  <c r="O200" i="3"/>
  <c r="I200" i="3"/>
  <c r="K200" i="3" s="1"/>
  <c r="E200" i="3"/>
  <c r="B200" i="3"/>
  <c r="O199" i="3"/>
  <c r="K199" i="3"/>
  <c r="I199" i="3"/>
  <c r="B199" i="3"/>
  <c r="E199" i="3" s="1"/>
  <c r="O198" i="3"/>
  <c r="I198" i="3"/>
  <c r="K198" i="3" s="1"/>
  <c r="E198" i="3"/>
  <c r="B198" i="3"/>
  <c r="O197" i="3"/>
  <c r="K197" i="3"/>
  <c r="I197" i="3"/>
  <c r="B197" i="3"/>
  <c r="E197" i="3" s="1"/>
  <c r="O196" i="3"/>
  <c r="I196" i="3"/>
  <c r="K196" i="3" s="1"/>
  <c r="E196" i="3"/>
  <c r="B196" i="3"/>
  <c r="O195" i="3"/>
  <c r="K195" i="3"/>
  <c r="I195" i="3"/>
  <c r="F195" i="3"/>
  <c r="B195" i="3"/>
  <c r="E195" i="3" s="1"/>
  <c r="O194" i="3"/>
  <c r="I194" i="3"/>
  <c r="K194" i="3" s="1"/>
  <c r="F194" i="3"/>
  <c r="B194" i="3"/>
  <c r="E194" i="3" s="1"/>
  <c r="O193" i="3"/>
  <c r="I193" i="3"/>
  <c r="K193" i="3" s="1"/>
  <c r="F193" i="3"/>
  <c r="E193" i="3"/>
  <c r="B193" i="3"/>
  <c r="O192" i="3"/>
  <c r="I192" i="3"/>
  <c r="F192" i="3"/>
  <c r="K192" i="3" s="1"/>
  <c r="E192" i="3"/>
  <c r="B192" i="3"/>
  <c r="O191" i="3"/>
  <c r="K191" i="3"/>
  <c r="I191" i="3"/>
  <c r="F191" i="3"/>
  <c r="B191" i="3"/>
  <c r="E191" i="3" s="1"/>
  <c r="O190" i="3"/>
  <c r="I190" i="3"/>
  <c r="K190" i="3" s="1"/>
  <c r="F190" i="3"/>
  <c r="B190" i="3"/>
  <c r="E190" i="3" s="1"/>
  <c r="O189" i="3"/>
  <c r="I189" i="3"/>
  <c r="K189" i="3" s="1"/>
  <c r="F189" i="3"/>
  <c r="E189" i="3"/>
  <c r="B189" i="3"/>
  <c r="O188" i="3"/>
  <c r="K188" i="3"/>
  <c r="I188" i="3"/>
  <c r="F188" i="3"/>
  <c r="E188" i="3"/>
  <c r="B188" i="3"/>
  <c r="O187" i="3"/>
  <c r="K187" i="3"/>
  <c r="I187" i="3"/>
  <c r="F187" i="3"/>
  <c r="B187" i="3"/>
  <c r="E187" i="3" s="1"/>
  <c r="O186" i="3"/>
  <c r="I186" i="3"/>
  <c r="K186" i="3" s="1"/>
  <c r="F186" i="3"/>
  <c r="B186" i="3"/>
  <c r="E186" i="3" s="1"/>
  <c r="O185" i="3"/>
  <c r="I185" i="3"/>
  <c r="K185" i="3" s="1"/>
  <c r="F185" i="3"/>
  <c r="E185" i="3"/>
  <c r="B185" i="3"/>
  <c r="O184" i="3"/>
  <c r="K184" i="3"/>
  <c r="I184" i="3"/>
  <c r="F184" i="3"/>
  <c r="E184" i="3"/>
  <c r="B184" i="3"/>
  <c r="O183" i="3"/>
  <c r="K183" i="3"/>
  <c r="I183" i="3"/>
  <c r="F183" i="3"/>
  <c r="B183" i="3"/>
  <c r="E183" i="3" s="1"/>
  <c r="O182" i="3"/>
  <c r="I182" i="3"/>
  <c r="K182" i="3" s="1"/>
  <c r="F182" i="3"/>
  <c r="B182" i="3"/>
  <c r="E182" i="3" s="1"/>
  <c r="O181" i="3"/>
  <c r="I181" i="3"/>
  <c r="F181" i="3"/>
  <c r="E181" i="3"/>
  <c r="B181" i="3"/>
  <c r="O180" i="3"/>
  <c r="K180" i="3"/>
  <c r="I180" i="3"/>
  <c r="F180" i="3"/>
  <c r="E180" i="3"/>
  <c r="B180" i="3"/>
  <c r="O179" i="3"/>
  <c r="K179" i="3"/>
  <c r="I179" i="3"/>
  <c r="F179" i="3"/>
  <c r="B179" i="3"/>
  <c r="E179" i="3" s="1"/>
  <c r="O178" i="3"/>
  <c r="I178" i="3"/>
  <c r="K178" i="3" s="1"/>
  <c r="F178" i="3"/>
  <c r="B178" i="3"/>
  <c r="E178" i="3" s="1"/>
  <c r="O177" i="3"/>
  <c r="I177" i="3"/>
  <c r="K177" i="3" s="1"/>
  <c r="F177" i="3"/>
  <c r="E177" i="3"/>
  <c r="B177" i="3"/>
  <c r="O176" i="3"/>
  <c r="K176" i="3"/>
  <c r="I176" i="3"/>
  <c r="F176" i="3"/>
  <c r="E176" i="3"/>
  <c r="B176" i="3"/>
  <c r="O175" i="3"/>
  <c r="K175" i="3"/>
  <c r="I175" i="3"/>
  <c r="F175" i="3"/>
  <c r="B175" i="3"/>
  <c r="E175" i="3" s="1"/>
  <c r="O174" i="3"/>
  <c r="I174" i="3"/>
  <c r="K174" i="3" s="1"/>
  <c r="F174" i="3"/>
  <c r="B174" i="3"/>
  <c r="E174" i="3" s="1"/>
  <c r="O173" i="3"/>
  <c r="I173" i="3"/>
  <c r="K173" i="3" s="1"/>
  <c r="F173" i="3"/>
  <c r="E173" i="3"/>
  <c r="B173" i="3"/>
  <c r="O172" i="3"/>
  <c r="K172" i="3"/>
  <c r="I172" i="3"/>
  <c r="F172" i="3"/>
  <c r="E172" i="3"/>
  <c r="B172" i="3"/>
  <c r="O171" i="3"/>
  <c r="K171" i="3"/>
  <c r="I171" i="3"/>
  <c r="F171" i="3"/>
  <c r="B171" i="3"/>
  <c r="E171" i="3" s="1"/>
  <c r="O170" i="3"/>
  <c r="I170" i="3"/>
  <c r="K170" i="3" s="1"/>
  <c r="F170" i="3"/>
  <c r="B170" i="3"/>
  <c r="E170" i="3" s="1"/>
  <c r="O169" i="3"/>
  <c r="I169" i="3"/>
  <c r="K169" i="3" s="1"/>
  <c r="F169" i="3"/>
  <c r="E169" i="3"/>
  <c r="B169" i="3"/>
  <c r="O168" i="3"/>
  <c r="K168" i="3"/>
  <c r="I168" i="3"/>
  <c r="F168" i="3"/>
  <c r="E168" i="3"/>
  <c r="B168" i="3"/>
  <c r="O167" i="3"/>
  <c r="K167" i="3"/>
  <c r="I167" i="3"/>
  <c r="F167" i="3"/>
  <c r="B167" i="3"/>
  <c r="E167" i="3" s="1"/>
  <c r="O166" i="3"/>
  <c r="I166" i="3"/>
  <c r="K166" i="3" s="1"/>
  <c r="F166" i="3"/>
  <c r="B166" i="3"/>
  <c r="E166" i="3" s="1"/>
  <c r="O165" i="3"/>
  <c r="I165" i="3"/>
  <c r="F165" i="3"/>
  <c r="E165" i="3"/>
  <c r="B165" i="3"/>
  <c r="O164" i="3"/>
  <c r="K164" i="3"/>
  <c r="I164" i="3"/>
  <c r="F164" i="3"/>
  <c r="E164" i="3"/>
  <c r="B164" i="3"/>
  <c r="O163" i="3"/>
  <c r="K163" i="3"/>
  <c r="I163" i="3"/>
  <c r="F163" i="3"/>
  <c r="B163" i="3"/>
  <c r="E163" i="3" s="1"/>
  <c r="O162" i="3"/>
  <c r="I162" i="3"/>
  <c r="K162" i="3" s="1"/>
  <c r="F162" i="3"/>
  <c r="B162" i="3"/>
  <c r="E162" i="3" s="1"/>
  <c r="O161" i="3"/>
  <c r="I161" i="3"/>
  <c r="F161" i="3"/>
  <c r="E161" i="3"/>
  <c r="B161" i="3"/>
  <c r="O160" i="3"/>
  <c r="K160" i="3"/>
  <c r="I160" i="3"/>
  <c r="F160" i="3"/>
  <c r="E160" i="3"/>
  <c r="B160" i="3"/>
  <c r="O159" i="3"/>
  <c r="K159" i="3"/>
  <c r="I159" i="3"/>
  <c r="F159" i="3"/>
  <c r="B159" i="3"/>
  <c r="E159" i="3" s="1"/>
  <c r="O158" i="3"/>
  <c r="I158" i="3"/>
  <c r="K158" i="3" s="1"/>
  <c r="F158" i="3"/>
  <c r="B158" i="3"/>
  <c r="E158" i="3" s="1"/>
  <c r="O157" i="3"/>
  <c r="I157" i="3"/>
  <c r="K157" i="3" s="1"/>
  <c r="F157" i="3"/>
  <c r="E157" i="3"/>
  <c r="B157" i="3"/>
  <c r="O156" i="3"/>
  <c r="K156" i="3"/>
  <c r="I156" i="3"/>
  <c r="F156" i="3"/>
  <c r="E156" i="3"/>
  <c r="B156" i="3"/>
  <c r="O155" i="3"/>
  <c r="K155" i="3"/>
  <c r="I155" i="3"/>
  <c r="F155" i="3"/>
  <c r="B155" i="3"/>
  <c r="E155" i="3" s="1"/>
  <c r="O154" i="3"/>
  <c r="I154" i="3"/>
  <c r="K154" i="3" s="1"/>
  <c r="F154" i="3"/>
  <c r="B154" i="3"/>
  <c r="E154" i="3" s="1"/>
  <c r="O153" i="3"/>
  <c r="I153" i="3"/>
  <c r="K153" i="3" s="1"/>
  <c r="F153" i="3"/>
  <c r="E153" i="3"/>
  <c r="B153" i="3"/>
  <c r="O152" i="3"/>
  <c r="K152" i="3"/>
  <c r="I152" i="3"/>
  <c r="F152" i="3"/>
  <c r="E152" i="3"/>
  <c r="B152" i="3"/>
  <c r="O151" i="3"/>
  <c r="K151" i="3"/>
  <c r="I151" i="3"/>
  <c r="F151" i="3"/>
  <c r="B151" i="3"/>
  <c r="E151" i="3" s="1"/>
  <c r="O150" i="3"/>
  <c r="I150" i="3"/>
  <c r="K150" i="3" s="1"/>
  <c r="F150" i="3"/>
  <c r="B150" i="3"/>
  <c r="E150" i="3" s="1"/>
  <c r="O149" i="3"/>
  <c r="I149" i="3"/>
  <c r="F149" i="3"/>
  <c r="E149" i="3"/>
  <c r="B149" i="3"/>
  <c r="O148" i="3"/>
  <c r="K148" i="3"/>
  <c r="I148" i="3"/>
  <c r="F148" i="3"/>
  <c r="E148" i="3"/>
  <c r="B148" i="3"/>
  <c r="O147" i="3"/>
  <c r="K147" i="3"/>
  <c r="I147" i="3"/>
  <c r="F147" i="3"/>
  <c r="B147" i="3"/>
  <c r="E147" i="3" s="1"/>
  <c r="O146" i="3"/>
  <c r="I146" i="3"/>
  <c r="K146" i="3" s="1"/>
  <c r="F146" i="3"/>
  <c r="B146" i="3"/>
  <c r="E146" i="3" s="1"/>
  <c r="O145" i="3"/>
  <c r="I145" i="3"/>
  <c r="K145" i="3" s="1"/>
  <c r="F145" i="3"/>
  <c r="E145" i="3"/>
  <c r="B145" i="3"/>
  <c r="O144" i="3"/>
  <c r="K144" i="3"/>
  <c r="I144" i="3"/>
  <c r="F144" i="3"/>
  <c r="E144" i="3"/>
  <c r="B144" i="3"/>
  <c r="O143" i="3"/>
  <c r="K143" i="3"/>
  <c r="I143" i="3"/>
  <c r="F143" i="3"/>
  <c r="B143" i="3"/>
  <c r="E143" i="3" s="1"/>
  <c r="O142" i="3"/>
  <c r="I142" i="3"/>
  <c r="K142" i="3" s="1"/>
  <c r="F142" i="3"/>
  <c r="B142" i="3"/>
  <c r="E142" i="3" s="1"/>
  <c r="O141" i="3"/>
  <c r="I141" i="3"/>
  <c r="K141" i="3" s="1"/>
  <c r="F141" i="3"/>
  <c r="E141" i="3"/>
  <c r="B141" i="3"/>
  <c r="O140" i="3"/>
  <c r="K140" i="3"/>
  <c r="I140" i="3"/>
  <c r="F140" i="3"/>
  <c r="E140" i="3"/>
  <c r="B140" i="3"/>
  <c r="O139" i="3"/>
  <c r="K139" i="3"/>
  <c r="I139" i="3"/>
  <c r="F139" i="3"/>
  <c r="B139" i="3"/>
  <c r="E139" i="3" s="1"/>
  <c r="O138" i="3"/>
  <c r="I138" i="3"/>
  <c r="K138" i="3" s="1"/>
  <c r="F138" i="3"/>
  <c r="B138" i="3"/>
  <c r="E138" i="3" s="1"/>
  <c r="O137" i="3"/>
  <c r="I137" i="3"/>
  <c r="F137" i="3"/>
  <c r="E137" i="3"/>
  <c r="B137" i="3"/>
  <c r="O136" i="3"/>
  <c r="K136" i="3"/>
  <c r="I136" i="3"/>
  <c r="F136" i="3"/>
  <c r="B136" i="3"/>
  <c r="E136" i="3" s="1"/>
  <c r="O135" i="3"/>
  <c r="I135" i="3"/>
  <c r="K135" i="3" s="1"/>
  <c r="F135" i="3"/>
  <c r="B135" i="3"/>
  <c r="E135" i="3" s="1"/>
  <c r="O134" i="3"/>
  <c r="I134" i="3"/>
  <c r="K134" i="3" s="1"/>
  <c r="F134" i="3"/>
  <c r="B134" i="3"/>
  <c r="E134" i="3" s="1"/>
  <c r="O133" i="3"/>
  <c r="I133" i="3"/>
  <c r="K133" i="3" s="1"/>
  <c r="F133" i="3"/>
  <c r="E133" i="3"/>
  <c r="B133" i="3"/>
  <c r="O132" i="3"/>
  <c r="K132" i="3"/>
  <c r="I132" i="3"/>
  <c r="F132" i="3"/>
  <c r="E132" i="3"/>
  <c r="B132" i="3"/>
  <c r="O131" i="3"/>
  <c r="K131" i="3"/>
  <c r="I131" i="3"/>
  <c r="F131" i="3"/>
  <c r="B131" i="3"/>
  <c r="E131" i="3" s="1"/>
  <c r="O130" i="3"/>
  <c r="I130" i="3"/>
  <c r="K130" i="3" s="1"/>
  <c r="F130" i="3"/>
  <c r="B130" i="3"/>
  <c r="E130" i="3" s="1"/>
  <c r="O129" i="3"/>
  <c r="I129" i="3"/>
  <c r="F129" i="3"/>
  <c r="E129" i="3"/>
  <c r="B129" i="3"/>
  <c r="O128" i="3"/>
  <c r="K128" i="3"/>
  <c r="I128" i="3"/>
  <c r="F128" i="3"/>
  <c r="B128" i="3"/>
  <c r="E128" i="3" s="1"/>
  <c r="O127" i="3"/>
  <c r="I127" i="3"/>
  <c r="K127" i="3" s="1"/>
  <c r="F127" i="3"/>
  <c r="E127" i="3"/>
  <c r="B127" i="3"/>
  <c r="O126" i="3"/>
  <c r="K126" i="3"/>
  <c r="I126" i="3"/>
  <c r="F126" i="3"/>
  <c r="B126" i="3"/>
  <c r="E126" i="3" s="1"/>
  <c r="O125" i="3"/>
  <c r="I125" i="3"/>
  <c r="F125" i="3"/>
  <c r="E125" i="3"/>
  <c r="B125" i="3"/>
  <c r="O124" i="3"/>
  <c r="K124" i="3"/>
  <c r="I124" i="3"/>
  <c r="F124" i="3"/>
  <c r="E124" i="3"/>
  <c r="B124" i="3"/>
  <c r="O123" i="3"/>
  <c r="K123" i="3"/>
  <c r="I123" i="3"/>
  <c r="F123" i="3"/>
  <c r="B123" i="3"/>
  <c r="E123" i="3" s="1"/>
  <c r="O122" i="3"/>
  <c r="I122" i="3"/>
  <c r="K122" i="3" s="1"/>
  <c r="F122" i="3"/>
  <c r="B122" i="3"/>
  <c r="E122" i="3" s="1"/>
  <c r="O121" i="3"/>
  <c r="I121" i="3"/>
  <c r="K121" i="3" s="1"/>
  <c r="F121" i="3"/>
  <c r="B121" i="3"/>
  <c r="E121" i="3" s="1"/>
  <c r="O120" i="3"/>
  <c r="I120" i="3"/>
  <c r="F120" i="3"/>
  <c r="E120" i="3"/>
  <c r="B120" i="3"/>
  <c r="O119" i="3"/>
  <c r="K119" i="3"/>
  <c r="I119" i="3"/>
  <c r="F119" i="3"/>
  <c r="B119" i="3"/>
  <c r="E119" i="3" s="1"/>
  <c r="O118" i="3"/>
  <c r="I118" i="3"/>
  <c r="K118" i="3" s="1"/>
  <c r="F118" i="3"/>
  <c r="B118" i="3"/>
  <c r="E118" i="3" s="1"/>
  <c r="O117" i="3"/>
  <c r="I117" i="3"/>
  <c r="F117" i="3"/>
  <c r="B117" i="3"/>
  <c r="E117" i="3" s="1"/>
  <c r="O116" i="3"/>
  <c r="I116" i="3"/>
  <c r="K116" i="3" s="1"/>
  <c r="F116" i="3"/>
  <c r="E116" i="3"/>
  <c r="B116" i="3"/>
  <c r="O115" i="3"/>
  <c r="K115" i="3"/>
  <c r="I115" i="3"/>
  <c r="F115" i="3"/>
  <c r="E115" i="3"/>
  <c r="B115" i="3"/>
  <c r="O114" i="3"/>
  <c r="K114" i="3"/>
  <c r="I114" i="3"/>
  <c r="F114" i="3"/>
  <c r="B114" i="3"/>
  <c r="E114" i="3" s="1"/>
  <c r="O113" i="3"/>
  <c r="I113" i="3"/>
  <c r="K113" i="3" s="1"/>
  <c r="F113" i="3"/>
  <c r="B113" i="3"/>
  <c r="E113" i="3" s="1"/>
  <c r="O112" i="3"/>
  <c r="I112" i="3"/>
  <c r="F112" i="3"/>
  <c r="E112" i="3"/>
  <c r="B112" i="3"/>
  <c r="O111" i="3"/>
  <c r="K111" i="3"/>
  <c r="I111" i="3"/>
  <c r="F111" i="3"/>
  <c r="E111" i="3"/>
  <c r="B111" i="3"/>
  <c r="O110" i="3"/>
  <c r="I110" i="3"/>
  <c r="K110" i="3" s="1"/>
  <c r="F110" i="3"/>
  <c r="B110" i="3"/>
  <c r="E110" i="3" s="1"/>
  <c r="O109" i="3"/>
  <c r="I109" i="3"/>
  <c r="F109" i="3"/>
  <c r="B109" i="3"/>
  <c r="E109" i="3" s="1"/>
  <c r="O108" i="3"/>
  <c r="I108" i="3"/>
  <c r="K108" i="3" s="1"/>
  <c r="F108" i="3"/>
  <c r="E108" i="3"/>
  <c r="B108" i="3"/>
  <c r="O107" i="3"/>
  <c r="K107" i="3"/>
  <c r="I107" i="3"/>
  <c r="F107" i="3"/>
  <c r="E107" i="3"/>
  <c r="B107" i="3"/>
  <c r="O106" i="3"/>
  <c r="K106" i="3"/>
  <c r="I106" i="3"/>
  <c r="F106" i="3"/>
  <c r="B106" i="3"/>
  <c r="E106" i="3" s="1"/>
  <c r="O105" i="3"/>
  <c r="I105" i="3"/>
  <c r="K105" i="3" s="1"/>
  <c r="F105" i="3"/>
  <c r="B105" i="3"/>
  <c r="E105" i="3" s="1"/>
  <c r="O104" i="3"/>
  <c r="I104" i="3"/>
  <c r="F104" i="3"/>
  <c r="E104" i="3"/>
  <c r="B104" i="3"/>
  <c r="O103" i="3"/>
  <c r="K103" i="3"/>
  <c r="I103" i="3"/>
  <c r="F103" i="3"/>
  <c r="B103" i="3"/>
  <c r="E103" i="3" s="1"/>
  <c r="O102" i="3"/>
  <c r="I102" i="3"/>
  <c r="K102" i="3" s="1"/>
  <c r="F102" i="3"/>
  <c r="B102" i="3"/>
  <c r="E102" i="3" s="1"/>
  <c r="O101" i="3"/>
  <c r="I101" i="3"/>
  <c r="K101" i="3" s="1"/>
  <c r="F101" i="3"/>
  <c r="B101" i="3"/>
  <c r="E101" i="3" s="1"/>
  <c r="O100" i="3"/>
  <c r="I100" i="3"/>
  <c r="K100" i="3" s="1"/>
  <c r="F100" i="3"/>
  <c r="E100" i="3"/>
  <c r="B100" i="3"/>
  <c r="O99" i="3"/>
  <c r="K99" i="3"/>
  <c r="I99" i="3"/>
  <c r="F99" i="3"/>
  <c r="E99" i="3"/>
  <c r="B99" i="3"/>
  <c r="O98" i="3"/>
  <c r="K98" i="3"/>
  <c r="I98" i="3"/>
  <c r="F98" i="3"/>
  <c r="B98" i="3"/>
  <c r="E98" i="3" s="1"/>
  <c r="O97" i="3"/>
  <c r="I97" i="3"/>
  <c r="K97" i="3" s="1"/>
  <c r="F97" i="3"/>
  <c r="E97" i="3"/>
  <c r="B97" i="3"/>
  <c r="O96" i="3"/>
  <c r="I96" i="3"/>
  <c r="F96" i="3"/>
  <c r="K96" i="3" s="1"/>
  <c r="E96" i="3"/>
  <c r="B96" i="3"/>
  <c r="O95" i="3"/>
  <c r="K95" i="3"/>
  <c r="I95" i="3"/>
  <c r="F95" i="3"/>
  <c r="E95" i="3"/>
  <c r="B95" i="3"/>
  <c r="O94" i="3"/>
  <c r="I94" i="3"/>
  <c r="K94" i="3" s="1"/>
  <c r="F94" i="3"/>
  <c r="B94" i="3"/>
  <c r="E94" i="3" s="1"/>
  <c r="O93" i="3"/>
  <c r="I93" i="3"/>
  <c r="K93" i="3" s="1"/>
  <c r="F93" i="3"/>
  <c r="E93" i="3"/>
  <c r="B93" i="3"/>
  <c r="O92" i="3"/>
  <c r="I92" i="3"/>
  <c r="F92" i="3"/>
  <c r="K92" i="3" s="1"/>
  <c r="E92" i="3"/>
  <c r="B92" i="3"/>
  <c r="O91" i="3"/>
  <c r="K91" i="3"/>
  <c r="I91" i="3"/>
  <c r="F91" i="3"/>
  <c r="B91" i="3"/>
  <c r="E91" i="3" s="1"/>
  <c r="O90" i="3"/>
  <c r="I90" i="3"/>
  <c r="K90" i="3" s="1"/>
  <c r="F90" i="3"/>
  <c r="B90" i="3"/>
  <c r="E90" i="3" s="1"/>
  <c r="O89" i="3"/>
  <c r="I89" i="3"/>
  <c r="K89" i="3" s="1"/>
  <c r="F89" i="3"/>
  <c r="E89" i="3"/>
  <c r="B89" i="3"/>
  <c r="O88" i="3"/>
  <c r="I88" i="3"/>
  <c r="F88" i="3"/>
  <c r="K88" i="3" s="1"/>
  <c r="E88" i="3"/>
  <c r="B88" i="3"/>
  <c r="O87" i="3"/>
  <c r="K87" i="3"/>
  <c r="I87" i="3"/>
  <c r="F87" i="3"/>
  <c r="B87" i="3"/>
  <c r="E87" i="3" s="1"/>
  <c r="O86" i="3"/>
  <c r="K86" i="3"/>
  <c r="I86" i="3"/>
  <c r="F86" i="3"/>
  <c r="B86" i="3"/>
  <c r="E86" i="3" s="1"/>
  <c r="O85" i="3"/>
  <c r="I85" i="3"/>
  <c r="F85" i="3"/>
  <c r="E85" i="3"/>
  <c r="B85" i="3"/>
  <c r="O84" i="3"/>
  <c r="I84" i="3"/>
  <c r="F84" i="3"/>
  <c r="K84" i="3" s="1"/>
  <c r="E84" i="3"/>
  <c r="B84" i="3"/>
  <c r="O83" i="3"/>
  <c r="K83" i="3"/>
  <c r="I83" i="3"/>
  <c r="F83" i="3"/>
  <c r="E83" i="3"/>
  <c r="B83" i="3"/>
  <c r="O82" i="3"/>
  <c r="K82" i="3"/>
  <c r="I82" i="3"/>
  <c r="F82" i="3"/>
  <c r="B82" i="3"/>
  <c r="E82" i="3" s="1"/>
  <c r="O81" i="3"/>
  <c r="I81" i="3"/>
  <c r="K81" i="3" s="1"/>
  <c r="F81" i="3"/>
  <c r="E81" i="3"/>
  <c r="B81" i="3"/>
  <c r="O80" i="3"/>
  <c r="I80" i="3"/>
  <c r="F80" i="3"/>
  <c r="K80" i="3" s="1"/>
  <c r="E80" i="3"/>
  <c r="B80" i="3"/>
  <c r="O79" i="3"/>
  <c r="K79" i="3"/>
  <c r="I79" i="3"/>
  <c r="F79" i="3"/>
  <c r="E79" i="3"/>
  <c r="B79" i="3"/>
  <c r="O78" i="3"/>
  <c r="K78" i="3"/>
  <c r="I78" i="3"/>
  <c r="F78" i="3"/>
  <c r="B78" i="3"/>
  <c r="E78" i="3" s="1"/>
  <c r="O77" i="3"/>
  <c r="I77" i="3"/>
  <c r="K77" i="3" s="1"/>
  <c r="F77" i="3"/>
  <c r="E77" i="3"/>
  <c r="B77" i="3"/>
  <c r="O76" i="3"/>
  <c r="I76" i="3"/>
  <c r="F76" i="3"/>
  <c r="K76" i="3" s="1"/>
  <c r="E76" i="3"/>
  <c r="B76" i="3"/>
  <c r="O75" i="3"/>
  <c r="K75" i="3"/>
  <c r="I75" i="3"/>
  <c r="F75" i="3"/>
  <c r="B75" i="3"/>
  <c r="E75" i="3" s="1"/>
  <c r="O74" i="3"/>
  <c r="I74" i="3"/>
  <c r="K74" i="3" s="1"/>
  <c r="F74" i="3"/>
  <c r="B74" i="3"/>
  <c r="E74" i="3" s="1"/>
  <c r="O73" i="3"/>
  <c r="I73" i="3"/>
  <c r="F73" i="3"/>
  <c r="E73" i="3"/>
  <c r="B73" i="3"/>
  <c r="O72" i="3"/>
  <c r="I72" i="3"/>
  <c r="F72" i="3"/>
  <c r="K72" i="3" s="1"/>
  <c r="E72" i="3"/>
  <c r="B72" i="3"/>
  <c r="O71" i="3"/>
  <c r="K71" i="3"/>
  <c r="I71" i="3"/>
  <c r="F71" i="3"/>
  <c r="B71" i="3"/>
  <c r="E71" i="3" s="1"/>
  <c r="O70" i="3"/>
  <c r="K70" i="3"/>
  <c r="I70" i="3"/>
  <c r="F70" i="3"/>
  <c r="B70" i="3"/>
  <c r="E70" i="3" s="1"/>
  <c r="O69" i="3"/>
  <c r="I69" i="3"/>
  <c r="F69" i="3"/>
  <c r="E69" i="3"/>
  <c r="B69" i="3"/>
  <c r="O68" i="3"/>
  <c r="I68" i="3"/>
  <c r="F68" i="3"/>
  <c r="K68" i="3" s="1"/>
  <c r="E68" i="3"/>
  <c r="B68" i="3"/>
  <c r="O67" i="3"/>
  <c r="K67" i="3"/>
  <c r="I67" i="3"/>
  <c r="F67" i="3"/>
  <c r="E67" i="3"/>
  <c r="B67" i="3"/>
  <c r="O66" i="3"/>
  <c r="K66" i="3"/>
  <c r="I66" i="3"/>
  <c r="F66" i="3"/>
  <c r="B66" i="3"/>
  <c r="E66" i="3" s="1"/>
  <c r="O65" i="3"/>
  <c r="I65" i="3"/>
  <c r="K65" i="3" s="1"/>
  <c r="F65" i="3"/>
  <c r="E65" i="3"/>
  <c r="B65" i="3"/>
  <c r="O64" i="3"/>
  <c r="I64" i="3"/>
  <c r="F64" i="3"/>
  <c r="K64" i="3" s="1"/>
  <c r="E64" i="3"/>
  <c r="B64" i="3"/>
  <c r="O63" i="3"/>
  <c r="K63" i="3"/>
  <c r="I63" i="3"/>
  <c r="F63" i="3"/>
  <c r="E63" i="3"/>
  <c r="B63" i="3"/>
  <c r="O62" i="3"/>
  <c r="I62" i="3"/>
  <c r="K62" i="3" s="1"/>
  <c r="F62" i="3"/>
  <c r="B62" i="3"/>
  <c r="E62" i="3" s="1"/>
  <c r="O61" i="3"/>
  <c r="I61" i="3"/>
  <c r="K61" i="3" s="1"/>
  <c r="F61" i="3"/>
  <c r="E61" i="3"/>
  <c r="B61" i="3"/>
  <c r="O60" i="3"/>
  <c r="I60" i="3"/>
  <c r="F60" i="3"/>
  <c r="K60" i="3" s="1"/>
  <c r="E60" i="3"/>
  <c r="B60" i="3"/>
  <c r="O59" i="3"/>
  <c r="K59" i="3"/>
  <c r="I59" i="3"/>
  <c r="F59" i="3"/>
  <c r="B59" i="3"/>
  <c r="E59" i="3" s="1"/>
  <c r="O58" i="3"/>
  <c r="I58" i="3"/>
  <c r="K58" i="3" s="1"/>
  <c r="F58" i="3"/>
  <c r="B58" i="3"/>
  <c r="E58" i="3" s="1"/>
  <c r="O57" i="3"/>
  <c r="I57" i="3"/>
  <c r="K57" i="3" s="1"/>
  <c r="F57" i="3"/>
  <c r="E57" i="3"/>
  <c r="B57" i="3"/>
  <c r="O56" i="3"/>
  <c r="I56" i="3"/>
  <c r="F56" i="3"/>
  <c r="K56" i="3" s="1"/>
  <c r="E56" i="3"/>
  <c r="B56" i="3"/>
  <c r="O55" i="3"/>
  <c r="K55" i="3"/>
  <c r="I55" i="3"/>
  <c r="F55" i="3"/>
  <c r="B55" i="3"/>
  <c r="E55" i="3" s="1"/>
  <c r="O54" i="3"/>
  <c r="K54" i="3"/>
  <c r="I54" i="3"/>
  <c r="F54" i="3"/>
  <c r="B54" i="3"/>
  <c r="E54" i="3" s="1"/>
  <c r="O53" i="3"/>
  <c r="I53" i="3"/>
  <c r="F53" i="3"/>
  <c r="E53" i="3"/>
  <c r="B53" i="3"/>
  <c r="O52" i="3"/>
  <c r="I52" i="3"/>
  <c r="F52" i="3"/>
  <c r="K52" i="3" s="1"/>
  <c r="E52" i="3"/>
  <c r="B52" i="3"/>
  <c r="O51" i="3"/>
  <c r="K51" i="3"/>
  <c r="I51" i="3"/>
  <c r="F51" i="3"/>
  <c r="E51" i="3"/>
  <c r="B51" i="3"/>
  <c r="O50" i="3"/>
  <c r="K50" i="3"/>
  <c r="I50" i="3"/>
  <c r="F50" i="3"/>
  <c r="B50" i="3"/>
  <c r="E50" i="3" s="1"/>
  <c r="O49" i="3"/>
  <c r="I49" i="3"/>
  <c r="K49" i="3" s="1"/>
  <c r="F49" i="3"/>
  <c r="E49" i="3"/>
  <c r="B49" i="3"/>
  <c r="O48" i="3"/>
  <c r="I48" i="3"/>
  <c r="F48" i="3"/>
  <c r="K48" i="3" s="1"/>
  <c r="E48" i="3"/>
  <c r="B48" i="3"/>
  <c r="O47" i="3"/>
  <c r="K47" i="3"/>
  <c r="I47" i="3"/>
  <c r="F47" i="3"/>
  <c r="E47" i="3"/>
  <c r="B47" i="3"/>
  <c r="O46" i="3"/>
  <c r="K46" i="3"/>
  <c r="I46" i="3"/>
  <c r="F46" i="3"/>
  <c r="B46" i="3"/>
  <c r="E46" i="3" s="1"/>
  <c r="O45" i="3"/>
  <c r="I45" i="3"/>
  <c r="K45" i="3" s="1"/>
  <c r="F45" i="3"/>
  <c r="E45" i="3"/>
  <c r="B45" i="3"/>
  <c r="O44" i="3"/>
  <c r="I44" i="3"/>
  <c r="F44" i="3"/>
  <c r="K44" i="3" s="1"/>
  <c r="E44" i="3"/>
  <c r="B44" i="3"/>
  <c r="O43" i="3"/>
  <c r="K43" i="3"/>
  <c r="I43" i="3"/>
  <c r="F43" i="3"/>
  <c r="E43" i="3"/>
  <c r="B43" i="3"/>
  <c r="O42" i="3"/>
  <c r="I42" i="3"/>
  <c r="K42" i="3" s="1"/>
  <c r="F42" i="3"/>
  <c r="B42" i="3"/>
  <c r="E42" i="3" s="1"/>
  <c r="O41" i="3"/>
  <c r="I41" i="3"/>
  <c r="F41" i="3"/>
  <c r="E41" i="3"/>
  <c r="B41" i="3"/>
  <c r="O40" i="3"/>
  <c r="I40" i="3"/>
  <c r="F40" i="3"/>
  <c r="K40" i="3" s="1"/>
  <c r="E40" i="3"/>
  <c r="B40" i="3"/>
  <c r="O39" i="3"/>
  <c r="K39" i="3"/>
  <c r="I39" i="3"/>
  <c r="F39" i="3"/>
  <c r="B39" i="3"/>
  <c r="E39" i="3" s="1"/>
  <c r="O38" i="3"/>
  <c r="K38" i="3"/>
  <c r="I38" i="3"/>
  <c r="F38" i="3"/>
  <c r="B38" i="3"/>
  <c r="E38" i="3" s="1"/>
  <c r="O37" i="3"/>
  <c r="I37" i="3"/>
  <c r="F37" i="3"/>
  <c r="E37" i="3"/>
  <c r="B37" i="3"/>
  <c r="O36" i="3"/>
  <c r="I36" i="3"/>
  <c r="F36" i="3"/>
  <c r="K36" i="3" s="1"/>
  <c r="E36" i="3"/>
  <c r="B36" i="3"/>
  <c r="O35" i="3"/>
  <c r="K35" i="3"/>
  <c r="I35" i="3"/>
  <c r="F35" i="3"/>
  <c r="E35" i="3"/>
  <c r="B35" i="3"/>
  <c r="O34" i="3"/>
  <c r="K34" i="3"/>
  <c r="I34" i="3"/>
  <c r="F34" i="3"/>
  <c r="B34" i="3"/>
  <c r="E34" i="3" s="1"/>
  <c r="O33" i="3"/>
  <c r="I33" i="3"/>
  <c r="K33" i="3" s="1"/>
  <c r="F33" i="3"/>
  <c r="E33" i="3"/>
  <c r="B33" i="3"/>
  <c r="O32" i="3"/>
  <c r="I32" i="3"/>
  <c r="F32" i="3"/>
  <c r="K32" i="3" s="1"/>
  <c r="E32" i="3"/>
  <c r="B32" i="3"/>
  <c r="O31" i="3"/>
  <c r="K31" i="3"/>
  <c r="I31" i="3"/>
  <c r="F31" i="3"/>
  <c r="E31" i="3"/>
  <c r="B31" i="3"/>
  <c r="O30" i="3"/>
  <c r="I30" i="3"/>
  <c r="K30" i="3" s="1"/>
  <c r="F30" i="3"/>
  <c r="B30" i="3"/>
  <c r="E30" i="3" s="1"/>
  <c r="O29" i="3"/>
  <c r="I29" i="3"/>
  <c r="K29" i="3" s="1"/>
  <c r="F29" i="3"/>
  <c r="E29" i="3"/>
  <c r="B29" i="3"/>
  <c r="O28" i="3"/>
  <c r="I28" i="3"/>
  <c r="F28" i="3"/>
  <c r="K28" i="3" s="1"/>
  <c r="E28" i="3"/>
  <c r="B28" i="3"/>
  <c r="O27" i="3"/>
  <c r="K27" i="3"/>
  <c r="I27" i="3"/>
  <c r="F27" i="3"/>
  <c r="B27" i="3"/>
  <c r="E27" i="3" s="1"/>
  <c r="O26" i="3"/>
  <c r="I26" i="3"/>
  <c r="K26" i="3" s="1"/>
  <c r="F26" i="3"/>
  <c r="B26" i="3"/>
  <c r="E26" i="3" s="1"/>
  <c r="O25" i="3"/>
  <c r="I25" i="3"/>
  <c r="K25" i="3" s="1"/>
  <c r="F25" i="3"/>
  <c r="E25" i="3"/>
  <c r="B25" i="3"/>
  <c r="O24" i="3"/>
  <c r="I24" i="3"/>
  <c r="F24" i="3"/>
  <c r="K24" i="3" s="1"/>
  <c r="E24" i="3"/>
  <c r="B24" i="3"/>
  <c r="O23" i="3"/>
  <c r="K23" i="3"/>
  <c r="I23" i="3"/>
  <c r="F23" i="3"/>
  <c r="B23" i="3"/>
  <c r="E23" i="3" s="1"/>
  <c r="O22" i="3"/>
  <c r="K22" i="3"/>
  <c r="I22" i="3"/>
  <c r="F22" i="3"/>
  <c r="B22" i="3"/>
  <c r="E22" i="3" s="1"/>
  <c r="O21" i="3"/>
  <c r="I21" i="3"/>
  <c r="F21" i="3"/>
  <c r="E21" i="3"/>
  <c r="B21" i="3"/>
  <c r="O20" i="3"/>
  <c r="I20" i="3"/>
  <c r="F20" i="3"/>
  <c r="K20" i="3" s="1"/>
  <c r="E20" i="3"/>
  <c r="B20" i="3"/>
  <c r="O19" i="3"/>
  <c r="K19" i="3"/>
  <c r="I19" i="3"/>
  <c r="F19" i="3"/>
  <c r="E19" i="3"/>
  <c r="B19" i="3"/>
  <c r="O18" i="3"/>
  <c r="K18" i="3"/>
  <c r="I18" i="3"/>
  <c r="F18" i="3"/>
  <c r="B18" i="3"/>
  <c r="E18" i="3" s="1"/>
  <c r="O17" i="3"/>
  <c r="I17" i="3"/>
  <c r="K17" i="3" s="1"/>
  <c r="F17" i="3"/>
  <c r="E17" i="3"/>
  <c r="B17" i="3"/>
  <c r="O16" i="3"/>
  <c r="I16" i="3"/>
  <c r="F16" i="3"/>
  <c r="K16" i="3" s="1"/>
  <c r="E16" i="3"/>
  <c r="B16" i="3"/>
  <c r="O15" i="3"/>
  <c r="K15" i="3"/>
  <c r="I15" i="3"/>
  <c r="F15" i="3"/>
  <c r="E15" i="3"/>
  <c r="B15" i="3"/>
  <c r="O14" i="3"/>
  <c r="K14" i="3"/>
  <c r="I14" i="3"/>
  <c r="F14" i="3"/>
  <c r="B14" i="3"/>
  <c r="E14" i="3" s="1"/>
  <c r="O13" i="3"/>
  <c r="I13" i="3"/>
  <c r="K13" i="3" s="1"/>
  <c r="F13" i="3"/>
  <c r="E13" i="3"/>
  <c r="B13" i="3"/>
  <c r="O12" i="3"/>
  <c r="I12" i="3"/>
  <c r="F12" i="3"/>
  <c r="K12" i="3" s="1"/>
  <c r="E12" i="3"/>
  <c r="B12" i="3"/>
  <c r="O11" i="3"/>
  <c r="K11" i="3"/>
  <c r="I11" i="3"/>
  <c r="F11" i="3"/>
  <c r="B11" i="3"/>
  <c r="E11" i="3" s="1"/>
  <c r="O10" i="3"/>
  <c r="I10" i="3"/>
  <c r="K10" i="3" s="1"/>
  <c r="F10" i="3"/>
  <c r="B10" i="3"/>
  <c r="E10" i="3" s="1"/>
  <c r="O9" i="3"/>
  <c r="I9" i="3"/>
  <c r="F9" i="3"/>
  <c r="E9" i="3"/>
  <c r="B9" i="3"/>
  <c r="O8" i="3"/>
  <c r="I8" i="3"/>
  <c r="F8" i="3"/>
  <c r="K8" i="3" s="1"/>
  <c r="E8" i="3"/>
  <c r="B8" i="3"/>
  <c r="O7" i="3"/>
  <c r="K7" i="3"/>
  <c r="I7" i="3"/>
  <c r="F7" i="3"/>
  <c r="B7" i="3"/>
  <c r="E7" i="3" s="1"/>
  <c r="O6" i="3"/>
  <c r="K6" i="3"/>
  <c r="I6" i="3"/>
  <c r="F6" i="3"/>
  <c r="B6" i="3"/>
  <c r="E6" i="3" s="1"/>
  <c r="O5" i="3"/>
  <c r="I5" i="3"/>
  <c r="F5" i="3"/>
  <c r="E5" i="3"/>
  <c r="B5" i="3"/>
  <c r="O4" i="3"/>
  <c r="K4" i="3"/>
  <c r="I4" i="3"/>
  <c r="F4" i="3"/>
  <c r="E4" i="3"/>
  <c r="B4" i="3"/>
  <c r="O3" i="3"/>
  <c r="I3" i="3"/>
  <c r="K3" i="3" s="1"/>
  <c r="F3" i="3"/>
  <c r="B3" i="3"/>
  <c r="E3" i="3" s="1"/>
  <c r="O2" i="3"/>
  <c r="I2" i="3"/>
  <c r="F2" i="3"/>
  <c r="K2" i="3" s="1"/>
  <c r="B2" i="3"/>
  <c r="E2" i="3" s="1"/>
  <c r="O303" i="1"/>
  <c r="N303" i="1"/>
  <c r="J303" i="1"/>
  <c r="M303" i="1" s="1"/>
  <c r="G303" i="1"/>
  <c r="F303" i="1"/>
  <c r="C303" i="1"/>
  <c r="H303" i="1" s="1"/>
  <c r="O302" i="1"/>
  <c r="N302" i="1"/>
  <c r="G302" i="1"/>
  <c r="F302" i="1"/>
  <c r="J302" i="1" s="1"/>
  <c r="M302" i="1" s="1"/>
  <c r="C302" i="1"/>
  <c r="H302" i="1" s="1"/>
  <c r="O301" i="1"/>
  <c r="N301" i="1"/>
  <c r="J301" i="1"/>
  <c r="M301" i="1" s="1"/>
  <c r="G301" i="1"/>
  <c r="F301" i="1"/>
  <c r="C301" i="1"/>
  <c r="H301" i="1" s="1"/>
  <c r="O300" i="1"/>
  <c r="N300" i="1"/>
  <c r="G300" i="1"/>
  <c r="F300" i="1"/>
  <c r="J300" i="1" s="1"/>
  <c r="M300" i="1" s="1"/>
  <c r="C300" i="1"/>
  <c r="H300" i="1" s="1"/>
  <c r="O299" i="1"/>
  <c r="N299" i="1"/>
  <c r="J299" i="1"/>
  <c r="M299" i="1" s="1"/>
  <c r="H299" i="1"/>
  <c r="G299" i="1"/>
  <c r="F299" i="1"/>
  <c r="C299" i="1"/>
  <c r="O298" i="1"/>
  <c r="N298" i="1"/>
  <c r="M298" i="1"/>
  <c r="G298" i="1"/>
  <c r="F298" i="1"/>
  <c r="J298" i="1" s="1"/>
  <c r="C298" i="1"/>
  <c r="H298" i="1" s="1"/>
  <c r="O297" i="1"/>
  <c r="N297" i="1"/>
  <c r="J297" i="1"/>
  <c r="M297" i="1" s="1"/>
  <c r="H297" i="1"/>
  <c r="G297" i="1"/>
  <c r="F297" i="1"/>
  <c r="C297" i="1"/>
  <c r="O296" i="1"/>
  <c r="N296" i="1"/>
  <c r="G296" i="1"/>
  <c r="F296" i="1"/>
  <c r="J296" i="1" s="1"/>
  <c r="M296" i="1" s="1"/>
  <c r="C296" i="1"/>
  <c r="H296" i="1" s="1"/>
  <c r="O295" i="1"/>
  <c r="N295" i="1"/>
  <c r="J295" i="1"/>
  <c r="M295" i="1" s="1"/>
  <c r="G295" i="1"/>
  <c r="F295" i="1"/>
  <c r="C295" i="1"/>
  <c r="H295" i="1" s="1"/>
  <c r="O294" i="1"/>
  <c r="N294" i="1"/>
  <c r="G294" i="1"/>
  <c r="F294" i="1"/>
  <c r="J294" i="1" s="1"/>
  <c r="M294" i="1" s="1"/>
  <c r="C294" i="1"/>
  <c r="H294" i="1" s="1"/>
  <c r="O293" i="1"/>
  <c r="N293" i="1"/>
  <c r="J293" i="1"/>
  <c r="M293" i="1" s="1"/>
  <c r="G293" i="1"/>
  <c r="F293" i="1"/>
  <c r="C293" i="1"/>
  <c r="H293" i="1" s="1"/>
  <c r="O292" i="1"/>
  <c r="N292" i="1"/>
  <c r="G292" i="1"/>
  <c r="F292" i="1"/>
  <c r="J292" i="1" s="1"/>
  <c r="M292" i="1" s="1"/>
  <c r="C292" i="1"/>
  <c r="H292" i="1" s="1"/>
  <c r="O291" i="1"/>
  <c r="N291" i="1"/>
  <c r="J291" i="1"/>
  <c r="M291" i="1" s="1"/>
  <c r="H291" i="1"/>
  <c r="G291" i="1"/>
  <c r="F291" i="1"/>
  <c r="C291" i="1"/>
  <c r="O290" i="1"/>
  <c r="N290" i="1"/>
  <c r="M290" i="1"/>
  <c r="G290" i="1"/>
  <c r="F290" i="1"/>
  <c r="J290" i="1" s="1"/>
  <c r="C290" i="1"/>
  <c r="H290" i="1" s="1"/>
  <c r="O289" i="1"/>
  <c r="N289" i="1"/>
  <c r="J289" i="1"/>
  <c r="M289" i="1" s="1"/>
  <c r="H289" i="1"/>
  <c r="G289" i="1"/>
  <c r="F289" i="1"/>
  <c r="C289" i="1"/>
  <c r="O288" i="1"/>
  <c r="N288" i="1"/>
  <c r="G288" i="1"/>
  <c r="F288" i="1"/>
  <c r="J288" i="1" s="1"/>
  <c r="M288" i="1" s="1"/>
  <c r="C288" i="1"/>
  <c r="H288" i="1" s="1"/>
  <c r="O287" i="1"/>
  <c r="N287" i="1"/>
  <c r="J287" i="1"/>
  <c r="M287" i="1" s="1"/>
  <c r="G287" i="1"/>
  <c r="F287" i="1"/>
  <c r="C287" i="1"/>
  <c r="H287" i="1" s="1"/>
  <c r="O286" i="1"/>
  <c r="N286" i="1"/>
  <c r="G286" i="1"/>
  <c r="F286" i="1"/>
  <c r="J286" i="1" s="1"/>
  <c r="M286" i="1" s="1"/>
  <c r="C286" i="1"/>
  <c r="H286" i="1" s="1"/>
  <c r="O285" i="1"/>
  <c r="N285" i="1"/>
  <c r="J285" i="1"/>
  <c r="M285" i="1" s="1"/>
  <c r="G285" i="1"/>
  <c r="F285" i="1"/>
  <c r="C285" i="1"/>
  <c r="H285" i="1" s="1"/>
  <c r="O284" i="1"/>
  <c r="N284" i="1"/>
  <c r="G284" i="1"/>
  <c r="F284" i="1"/>
  <c r="J284" i="1" s="1"/>
  <c r="M284" i="1" s="1"/>
  <c r="C284" i="1"/>
  <c r="H284" i="1" s="1"/>
  <c r="O283" i="1"/>
  <c r="N283" i="1"/>
  <c r="J283" i="1"/>
  <c r="M283" i="1" s="1"/>
  <c r="H283" i="1"/>
  <c r="G283" i="1"/>
  <c r="F283" i="1"/>
  <c r="C283" i="1"/>
  <c r="O282" i="1"/>
  <c r="N282" i="1"/>
  <c r="M282" i="1"/>
  <c r="G282" i="1"/>
  <c r="F282" i="1"/>
  <c r="J282" i="1" s="1"/>
  <c r="C282" i="1"/>
  <c r="H282" i="1" s="1"/>
  <c r="O281" i="1"/>
  <c r="N281" i="1"/>
  <c r="J281" i="1"/>
  <c r="M281" i="1" s="1"/>
  <c r="H281" i="1"/>
  <c r="G281" i="1"/>
  <c r="F281" i="1"/>
  <c r="C281" i="1"/>
  <c r="O280" i="1"/>
  <c r="N280" i="1"/>
  <c r="G280" i="1"/>
  <c r="F280" i="1"/>
  <c r="J280" i="1" s="1"/>
  <c r="M280" i="1" s="1"/>
  <c r="C280" i="1"/>
  <c r="H280" i="1" s="1"/>
  <c r="O279" i="1"/>
  <c r="N279" i="1"/>
  <c r="J279" i="1"/>
  <c r="M279" i="1" s="1"/>
  <c r="G279" i="1"/>
  <c r="F279" i="1"/>
  <c r="C279" i="1"/>
  <c r="H279" i="1" s="1"/>
  <c r="O278" i="1"/>
  <c r="N278" i="1"/>
  <c r="G278" i="1"/>
  <c r="F278" i="1"/>
  <c r="J278" i="1" s="1"/>
  <c r="M278" i="1" s="1"/>
  <c r="C278" i="1"/>
  <c r="H278" i="1" s="1"/>
  <c r="O277" i="1"/>
  <c r="N277" i="1"/>
  <c r="J277" i="1"/>
  <c r="M277" i="1" s="1"/>
  <c r="G277" i="1"/>
  <c r="F277" i="1"/>
  <c r="C277" i="1"/>
  <c r="H277" i="1" s="1"/>
  <c r="O276" i="1"/>
  <c r="N276" i="1"/>
  <c r="G276" i="1"/>
  <c r="F276" i="1"/>
  <c r="J276" i="1" s="1"/>
  <c r="M276" i="1" s="1"/>
  <c r="C276" i="1"/>
  <c r="H276" i="1" s="1"/>
  <c r="O275" i="1"/>
  <c r="N275" i="1"/>
  <c r="J275" i="1"/>
  <c r="M275" i="1" s="1"/>
  <c r="H275" i="1"/>
  <c r="G275" i="1"/>
  <c r="F275" i="1"/>
  <c r="C275" i="1"/>
  <c r="O274" i="1"/>
  <c r="N274" i="1"/>
  <c r="M274" i="1"/>
  <c r="G274" i="1"/>
  <c r="F274" i="1"/>
  <c r="J274" i="1" s="1"/>
  <c r="C274" i="1"/>
  <c r="H274" i="1" s="1"/>
  <c r="O273" i="1"/>
  <c r="N273" i="1"/>
  <c r="J273" i="1"/>
  <c r="M273" i="1" s="1"/>
  <c r="H273" i="1"/>
  <c r="G273" i="1"/>
  <c r="F273" i="1"/>
  <c r="C273" i="1"/>
  <c r="O272" i="1"/>
  <c r="N272" i="1"/>
  <c r="G272" i="1"/>
  <c r="F272" i="1"/>
  <c r="J272" i="1" s="1"/>
  <c r="M272" i="1" s="1"/>
  <c r="C272" i="1"/>
  <c r="H272" i="1" s="1"/>
  <c r="O271" i="1"/>
  <c r="N271" i="1"/>
  <c r="J271" i="1"/>
  <c r="M271" i="1" s="1"/>
  <c r="G271" i="1"/>
  <c r="F271" i="1"/>
  <c r="C271" i="1"/>
  <c r="H271" i="1" s="1"/>
  <c r="O270" i="1"/>
  <c r="N270" i="1"/>
  <c r="G270" i="1"/>
  <c r="F270" i="1"/>
  <c r="J270" i="1" s="1"/>
  <c r="M270" i="1" s="1"/>
  <c r="C270" i="1"/>
  <c r="H270" i="1" s="1"/>
  <c r="O269" i="1"/>
  <c r="N269" i="1"/>
  <c r="J269" i="1"/>
  <c r="M269" i="1" s="1"/>
  <c r="G269" i="1"/>
  <c r="F269" i="1"/>
  <c r="C269" i="1"/>
  <c r="H269" i="1" s="1"/>
  <c r="O268" i="1"/>
  <c r="N268" i="1"/>
  <c r="G268" i="1"/>
  <c r="F268" i="1"/>
  <c r="J268" i="1" s="1"/>
  <c r="M268" i="1" s="1"/>
  <c r="C268" i="1"/>
  <c r="H268" i="1" s="1"/>
  <c r="O267" i="1"/>
  <c r="N267" i="1"/>
  <c r="J267" i="1"/>
  <c r="M267" i="1" s="1"/>
  <c r="H267" i="1"/>
  <c r="G267" i="1"/>
  <c r="F267" i="1"/>
  <c r="C267" i="1"/>
  <c r="O266" i="1"/>
  <c r="N266" i="1"/>
  <c r="M266" i="1"/>
  <c r="G266" i="1"/>
  <c r="F266" i="1"/>
  <c r="J266" i="1" s="1"/>
  <c r="C266" i="1"/>
  <c r="H266" i="1" s="1"/>
  <c r="O265" i="1"/>
  <c r="N265" i="1"/>
  <c r="J265" i="1"/>
  <c r="M265" i="1" s="1"/>
  <c r="H265" i="1"/>
  <c r="G265" i="1"/>
  <c r="F265" i="1"/>
  <c r="C265" i="1"/>
  <c r="O264" i="1"/>
  <c r="N264" i="1"/>
  <c r="G264" i="1"/>
  <c r="F264" i="1"/>
  <c r="J264" i="1" s="1"/>
  <c r="M264" i="1" s="1"/>
  <c r="C264" i="1"/>
  <c r="H264" i="1" s="1"/>
  <c r="O263" i="1"/>
  <c r="N263" i="1"/>
  <c r="J263" i="1"/>
  <c r="M263" i="1" s="1"/>
  <c r="G263" i="1"/>
  <c r="F263" i="1"/>
  <c r="C263" i="1"/>
  <c r="H263" i="1" s="1"/>
  <c r="O262" i="1"/>
  <c r="N262" i="1"/>
  <c r="G262" i="1"/>
  <c r="F262" i="1"/>
  <c r="J262" i="1" s="1"/>
  <c r="M262" i="1" s="1"/>
  <c r="C262" i="1"/>
  <c r="H262" i="1" s="1"/>
  <c r="O261" i="1"/>
  <c r="N261" i="1"/>
  <c r="J261" i="1"/>
  <c r="M261" i="1" s="1"/>
  <c r="G261" i="1"/>
  <c r="F261" i="1"/>
  <c r="C261" i="1"/>
  <c r="H261" i="1" s="1"/>
  <c r="O260" i="1"/>
  <c r="N260" i="1"/>
  <c r="G260" i="1"/>
  <c r="F260" i="1"/>
  <c r="J260" i="1" s="1"/>
  <c r="M260" i="1" s="1"/>
  <c r="C260" i="1"/>
  <c r="H260" i="1" s="1"/>
  <c r="O259" i="1"/>
  <c r="N259" i="1"/>
  <c r="J259" i="1"/>
  <c r="M259" i="1" s="1"/>
  <c r="H259" i="1"/>
  <c r="G259" i="1"/>
  <c r="F259" i="1"/>
  <c r="C259" i="1"/>
  <c r="O258" i="1"/>
  <c r="N258" i="1"/>
  <c r="M258" i="1"/>
  <c r="G258" i="1"/>
  <c r="F258" i="1"/>
  <c r="J258" i="1" s="1"/>
  <c r="C258" i="1"/>
  <c r="H258" i="1" s="1"/>
  <c r="O257" i="1"/>
  <c r="N257" i="1"/>
  <c r="J257" i="1"/>
  <c r="M257" i="1" s="1"/>
  <c r="H257" i="1"/>
  <c r="G257" i="1"/>
  <c r="F257" i="1"/>
  <c r="C257" i="1"/>
  <c r="O256" i="1"/>
  <c r="N256" i="1"/>
  <c r="G256" i="1"/>
  <c r="F256" i="1"/>
  <c r="J256" i="1" s="1"/>
  <c r="M256" i="1" s="1"/>
  <c r="C256" i="1"/>
  <c r="H256" i="1" s="1"/>
  <c r="O255" i="1"/>
  <c r="N255" i="1"/>
  <c r="J255" i="1"/>
  <c r="M255" i="1" s="1"/>
  <c r="G255" i="1"/>
  <c r="F255" i="1"/>
  <c r="C255" i="1"/>
  <c r="H255" i="1" s="1"/>
  <c r="O254" i="1"/>
  <c r="N254" i="1"/>
  <c r="G254" i="1"/>
  <c r="F254" i="1"/>
  <c r="J254" i="1" s="1"/>
  <c r="M254" i="1" s="1"/>
  <c r="C254" i="1"/>
  <c r="H254" i="1" s="1"/>
  <c r="O253" i="1"/>
  <c r="N253" i="1"/>
  <c r="J253" i="1"/>
  <c r="M253" i="1" s="1"/>
  <c r="G253" i="1"/>
  <c r="F253" i="1"/>
  <c r="C253" i="1"/>
  <c r="H253" i="1" s="1"/>
  <c r="O252" i="1"/>
  <c r="N252" i="1"/>
  <c r="G252" i="1"/>
  <c r="F252" i="1"/>
  <c r="J252" i="1" s="1"/>
  <c r="M252" i="1" s="1"/>
  <c r="C252" i="1"/>
  <c r="H252" i="1" s="1"/>
  <c r="O251" i="1"/>
  <c r="N251" i="1"/>
  <c r="J251" i="1"/>
  <c r="M251" i="1" s="1"/>
  <c r="H251" i="1"/>
  <c r="G251" i="1"/>
  <c r="F251" i="1"/>
  <c r="C251" i="1"/>
  <c r="O250" i="1"/>
  <c r="N250" i="1"/>
  <c r="M250" i="1"/>
  <c r="G250" i="1"/>
  <c r="F250" i="1"/>
  <c r="J250" i="1" s="1"/>
  <c r="C250" i="1"/>
  <c r="H250" i="1" s="1"/>
  <c r="O249" i="1"/>
  <c r="N249" i="1"/>
  <c r="J249" i="1"/>
  <c r="M249" i="1" s="1"/>
  <c r="H249" i="1"/>
  <c r="G249" i="1"/>
  <c r="F249" i="1"/>
  <c r="C249" i="1"/>
  <c r="O248" i="1"/>
  <c r="N248" i="1"/>
  <c r="J248" i="1"/>
  <c r="M248" i="1" s="1"/>
  <c r="G248" i="1"/>
  <c r="F248" i="1"/>
  <c r="C248" i="1"/>
  <c r="H248" i="1" s="1"/>
  <c r="O247" i="1"/>
  <c r="N247" i="1"/>
  <c r="J247" i="1"/>
  <c r="M247" i="1" s="1"/>
  <c r="H247" i="1"/>
  <c r="G247" i="1"/>
  <c r="F247" i="1"/>
  <c r="C247" i="1"/>
  <c r="O246" i="1"/>
  <c r="N246" i="1"/>
  <c r="G246" i="1"/>
  <c r="F246" i="1"/>
  <c r="J246" i="1" s="1"/>
  <c r="M246" i="1" s="1"/>
  <c r="C246" i="1"/>
  <c r="H246" i="1" s="1"/>
  <c r="O245" i="1"/>
  <c r="N245" i="1"/>
  <c r="M245" i="1"/>
  <c r="J245" i="1"/>
  <c r="G245" i="1"/>
  <c r="F245" i="1"/>
  <c r="C245" i="1"/>
  <c r="H245" i="1" s="1"/>
  <c r="O244" i="1"/>
  <c r="N244" i="1"/>
  <c r="M244" i="1"/>
  <c r="G244" i="1"/>
  <c r="F244" i="1"/>
  <c r="J244" i="1" s="1"/>
  <c r="C244" i="1"/>
  <c r="H244" i="1" s="1"/>
  <c r="O243" i="1"/>
  <c r="N243" i="1"/>
  <c r="M243" i="1"/>
  <c r="J243" i="1"/>
  <c r="G243" i="1"/>
  <c r="F243" i="1"/>
  <c r="C243" i="1"/>
  <c r="H243" i="1" s="1"/>
  <c r="O242" i="1"/>
  <c r="N242" i="1"/>
  <c r="J242" i="1"/>
  <c r="M242" i="1" s="1"/>
  <c r="G242" i="1"/>
  <c r="F242" i="1"/>
  <c r="C242" i="1"/>
  <c r="H242" i="1" s="1"/>
  <c r="O241" i="1"/>
  <c r="N241" i="1"/>
  <c r="M241" i="1"/>
  <c r="J241" i="1"/>
  <c r="H241" i="1"/>
  <c r="G241" i="1"/>
  <c r="F241" i="1"/>
  <c r="C241" i="1"/>
  <c r="O240" i="1"/>
  <c r="N240" i="1"/>
  <c r="J240" i="1"/>
  <c r="M240" i="1" s="1"/>
  <c r="G240" i="1"/>
  <c r="F240" i="1"/>
  <c r="C240" i="1"/>
  <c r="H240" i="1" s="1"/>
  <c r="O239" i="1"/>
  <c r="N239" i="1"/>
  <c r="J239" i="1"/>
  <c r="M239" i="1" s="1"/>
  <c r="H239" i="1"/>
  <c r="G239" i="1"/>
  <c r="F239" i="1"/>
  <c r="C239" i="1"/>
  <c r="O238" i="1"/>
  <c r="N238" i="1"/>
  <c r="M238" i="1"/>
  <c r="G238" i="1"/>
  <c r="F238" i="1"/>
  <c r="J238" i="1" s="1"/>
  <c r="C238" i="1"/>
  <c r="H238" i="1" s="1"/>
  <c r="O237" i="1"/>
  <c r="N237" i="1"/>
  <c r="J237" i="1"/>
  <c r="M237" i="1" s="1"/>
  <c r="G237" i="1"/>
  <c r="F237" i="1"/>
  <c r="C237" i="1"/>
  <c r="H237" i="1" s="1"/>
  <c r="O236" i="1"/>
  <c r="N236" i="1"/>
  <c r="M236" i="1"/>
  <c r="G236" i="1"/>
  <c r="F236" i="1"/>
  <c r="J236" i="1" s="1"/>
  <c r="C236" i="1"/>
  <c r="H236" i="1" s="1"/>
  <c r="O235" i="1"/>
  <c r="N235" i="1"/>
  <c r="M235" i="1"/>
  <c r="J235" i="1"/>
  <c r="G235" i="1"/>
  <c r="F235" i="1"/>
  <c r="C235" i="1"/>
  <c r="H235" i="1" s="1"/>
  <c r="O234" i="1"/>
  <c r="N234" i="1"/>
  <c r="J234" i="1"/>
  <c r="M234" i="1" s="1"/>
  <c r="G234" i="1"/>
  <c r="F234" i="1"/>
  <c r="C234" i="1"/>
  <c r="H234" i="1" s="1"/>
  <c r="O233" i="1"/>
  <c r="N233" i="1"/>
  <c r="M233" i="1"/>
  <c r="J233" i="1"/>
  <c r="H233" i="1"/>
  <c r="G233" i="1"/>
  <c r="F233" i="1"/>
  <c r="C233" i="1"/>
  <c r="O232" i="1"/>
  <c r="N232" i="1"/>
  <c r="J232" i="1"/>
  <c r="M232" i="1" s="1"/>
  <c r="G232" i="1"/>
  <c r="F232" i="1"/>
  <c r="C232" i="1"/>
  <c r="H232" i="1" s="1"/>
  <c r="O231" i="1"/>
  <c r="N231" i="1"/>
  <c r="J231" i="1"/>
  <c r="M231" i="1" s="1"/>
  <c r="H231" i="1"/>
  <c r="G231" i="1"/>
  <c r="F231" i="1"/>
  <c r="C231" i="1"/>
  <c r="O230" i="1"/>
  <c r="N230" i="1"/>
  <c r="M230" i="1"/>
  <c r="G230" i="1"/>
  <c r="F230" i="1"/>
  <c r="J230" i="1" s="1"/>
  <c r="C230" i="1"/>
  <c r="H230" i="1" s="1"/>
  <c r="O229" i="1"/>
  <c r="N229" i="1"/>
  <c r="J229" i="1"/>
  <c r="M229" i="1" s="1"/>
  <c r="G229" i="1"/>
  <c r="F229" i="1"/>
  <c r="C229" i="1"/>
  <c r="H229" i="1" s="1"/>
  <c r="O228" i="1"/>
  <c r="N228" i="1"/>
  <c r="G228" i="1"/>
  <c r="F228" i="1"/>
  <c r="J228" i="1" s="1"/>
  <c r="M228" i="1" s="1"/>
  <c r="C228" i="1"/>
  <c r="H228" i="1" s="1"/>
  <c r="O227" i="1"/>
  <c r="N227" i="1"/>
  <c r="M227" i="1"/>
  <c r="J227" i="1"/>
  <c r="G227" i="1"/>
  <c r="F227" i="1"/>
  <c r="C227" i="1"/>
  <c r="H227" i="1" s="1"/>
  <c r="O226" i="1"/>
  <c r="N226" i="1"/>
  <c r="J226" i="1"/>
  <c r="M226" i="1" s="1"/>
  <c r="G226" i="1"/>
  <c r="F226" i="1"/>
  <c r="C226" i="1"/>
  <c r="H226" i="1" s="1"/>
  <c r="O225" i="1"/>
  <c r="R225" i="1" s="1"/>
  <c r="N225" i="1"/>
  <c r="J225" i="1"/>
  <c r="M225" i="1" s="1"/>
  <c r="H225" i="1"/>
  <c r="G225" i="1"/>
  <c r="F225" i="1"/>
  <c r="C225" i="1"/>
  <c r="O224" i="1"/>
  <c r="N224" i="1"/>
  <c r="H224" i="1"/>
  <c r="G224" i="1"/>
  <c r="F224" i="1"/>
  <c r="J224" i="1" s="1"/>
  <c r="M224" i="1" s="1"/>
  <c r="C224" i="1"/>
  <c r="O223" i="1"/>
  <c r="N223" i="1"/>
  <c r="G223" i="1"/>
  <c r="F223" i="1"/>
  <c r="J223" i="1" s="1"/>
  <c r="M223" i="1" s="1"/>
  <c r="C223" i="1"/>
  <c r="H223" i="1" s="1"/>
  <c r="O222" i="1"/>
  <c r="N222" i="1"/>
  <c r="J222" i="1"/>
  <c r="M222" i="1" s="1"/>
  <c r="H222" i="1"/>
  <c r="G222" i="1"/>
  <c r="F222" i="1"/>
  <c r="C222" i="1"/>
  <c r="O221" i="1"/>
  <c r="N221" i="1"/>
  <c r="M221" i="1"/>
  <c r="G221" i="1"/>
  <c r="F221" i="1"/>
  <c r="J221" i="1" s="1"/>
  <c r="C221" i="1"/>
  <c r="H221" i="1" s="1"/>
  <c r="O220" i="1"/>
  <c r="N220" i="1"/>
  <c r="J220" i="1"/>
  <c r="M220" i="1" s="1"/>
  <c r="H220" i="1"/>
  <c r="G220" i="1"/>
  <c r="F220" i="1"/>
  <c r="C220" i="1"/>
  <c r="O219" i="1"/>
  <c r="N219" i="1"/>
  <c r="M219" i="1"/>
  <c r="G219" i="1"/>
  <c r="F219" i="1"/>
  <c r="J219" i="1" s="1"/>
  <c r="C219" i="1"/>
  <c r="H219" i="1" s="1"/>
  <c r="O218" i="1"/>
  <c r="N218" i="1"/>
  <c r="J218" i="1"/>
  <c r="M218" i="1" s="1"/>
  <c r="H218" i="1"/>
  <c r="G218" i="1"/>
  <c r="F218" i="1"/>
  <c r="C218" i="1"/>
  <c r="O217" i="1"/>
  <c r="N217" i="1"/>
  <c r="G217" i="1"/>
  <c r="F217" i="1"/>
  <c r="J217" i="1" s="1"/>
  <c r="M217" i="1" s="1"/>
  <c r="C217" i="1"/>
  <c r="H217" i="1" s="1"/>
  <c r="O216" i="1"/>
  <c r="N216" i="1"/>
  <c r="J216" i="1"/>
  <c r="M216" i="1" s="1"/>
  <c r="G216" i="1"/>
  <c r="F216" i="1"/>
  <c r="C216" i="1"/>
  <c r="H216" i="1" s="1"/>
  <c r="O215" i="1"/>
  <c r="N215" i="1"/>
  <c r="M215" i="1"/>
  <c r="G215" i="1"/>
  <c r="F215" i="1"/>
  <c r="J215" i="1" s="1"/>
  <c r="C215" i="1"/>
  <c r="H215" i="1" s="1"/>
  <c r="O214" i="1"/>
  <c r="N214" i="1"/>
  <c r="J214" i="1"/>
  <c r="M214" i="1" s="1"/>
  <c r="H214" i="1"/>
  <c r="G214" i="1"/>
  <c r="F214" i="1"/>
  <c r="C214" i="1"/>
  <c r="O213" i="1"/>
  <c r="N213" i="1"/>
  <c r="M213" i="1"/>
  <c r="G213" i="1"/>
  <c r="F213" i="1"/>
  <c r="J213" i="1" s="1"/>
  <c r="C213" i="1"/>
  <c r="H213" i="1" s="1"/>
  <c r="O212" i="1"/>
  <c r="N212" i="1"/>
  <c r="J212" i="1"/>
  <c r="M212" i="1" s="1"/>
  <c r="H212" i="1"/>
  <c r="G212" i="1"/>
  <c r="F212" i="1"/>
  <c r="C212" i="1"/>
  <c r="O211" i="1"/>
  <c r="N211" i="1"/>
  <c r="M211" i="1"/>
  <c r="G211" i="1"/>
  <c r="F211" i="1"/>
  <c r="J211" i="1" s="1"/>
  <c r="C211" i="1"/>
  <c r="H211" i="1" s="1"/>
  <c r="O210" i="1"/>
  <c r="N210" i="1"/>
  <c r="J210" i="1"/>
  <c r="M210" i="1" s="1"/>
  <c r="H210" i="1"/>
  <c r="G210" i="1"/>
  <c r="F210" i="1"/>
  <c r="C210" i="1"/>
  <c r="O209" i="1"/>
  <c r="N209" i="1"/>
  <c r="G209" i="1"/>
  <c r="F209" i="1"/>
  <c r="J209" i="1" s="1"/>
  <c r="M209" i="1" s="1"/>
  <c r="C209" i="1"/>
  <c r="H209" i="1" s="1"/>
  <c r="O208" i="1"/>
  <c r="N208" i="1"/>
  <c r="J208" i="1"/>
  <c r="M208" i="1" s="1"/>
  <c r="G208" i="1"/>
  <c r="F208" i="1"/>
  <c r="C208" i="1"/>
  <c r="H208" i="1" s="1"/>
  <c r="O207" i="1"/>
  <c r="N207" i="1"/>
  <c r="M207" i="1"/>
  <c r="G207" i="1"/>
  <c r="F207" i="1"/>
  <c r="J207" i="1" s="1"/>
  <c r="C207" i="1"/>
  <c r="H207" i="1" s="1"/>
  <c r="O206" i="1"/>
  <c r="N206" i="1"/>
  <c r="J206" i="1"/>
  <c r="M206" i="1" s="1"/>
  <c r="H206" i="1"/>
  <c r="G206" i="1"/>
  <c r="F206" i="1"/>
  <c r="C206" i="1"/>
  <c r="O205" i="1"/>
  <c r="N205" i="1"/>
  <c r="M205" i="1"/>
  <c r="G205" i="1"/>
  <c r="F205" i="1"/>
  <c r="J205" i="1" s="1"/>
  <c r="C205" i="1"/>
  <c r="H205" i="1" s="1"/>
  <c r="O204" i="1"/>
  <c r="N204" i="1"/>
  <c r="J204" i="1"/>
  <c r="M204" i="1" s="1"/>
  <c r="H204" i="1"/>
  <c r="G204" i="1"/>
  <c r="F204" i="1"/>
  <c r="C204" i="1"/>
  <c r="O203" i="1"/>
  <c r="N203" i="1"/>
  <c r="M203" i="1"/>
  <c r="G203" i="1"/>
  <c r="F203" i="1"/>
  <c r="J203" i="1" s="1"/>
  <c r="C203" i="1"/>
  <c r="H203" i="1" s="1"/>
  <c r="O202" i="1"/>
  <c r="N202" i="1"/>
  <c r="J202" i="1"/>
  <c r="M202" i="1" s="1"/>
  <c r="H202" i="1"/>
  <c r="G202" i="1"/>
  <c r="F202" i="1"/>
  <c r="C202" i="1"/>
  <c r="O201" i="1"/>
  <c r="N201" i="1"/>
  <c r="G201" i="1"/>
  <c r="F201" i="1"/>
  <c r="J201" i="1" s="1"/>
  <c r="M201" i="1" s="1"/>
  <c r="C201" i="1"/>
  <c r="H201" i="1" s="1"/>
  <c r="O200" i="1"/>
  <c r="N200" i="1"/>
  <c r="J200" i="1"/>
  <c r="M200" i="1" s="1"/>
  <c r="G200" i="1"/>
  <c r="F200" i="1"/>
  <c r="C200" i="1"/>
  <c r="H200" i="1" s="1"/>
  <c r="O199" i="1"/>
  <c r="N199" i="1"/>
  <c r="M199" i="1"/>
  <c r="G199" i="1"/>
  <c r="F199" i="1"/>
  <c r="J199" i="1" s="1"/>
  <c r="C199" i="1"/>
  <c r="H199" i="1" s="1"/>
  <c r="O198" i="1"/>
  <c r="N198" i="1"/>
  <c r="J198" i="1"/>
  <c r="M198" i="1" s="1"/>
  <c r="H198" i="1"/>
  <c r="G198" i="1"/>
  <c r="F198" i="1"/>
  <c r="C198" i="1"/>
  <c r="O197" i="1"/>
  <c r="N197" i="1"/>
  <c r="M197" i="1"/>
  <c r="G197" i="1"/>
  <c r="F197" i="1"/>
  <c r="J197" i="1" s="1"/>
  <c r="C197" i="1"/>
  <c r="H197" i="1" s="1"/>
  <c r="O196" i="1"/>
  <c r="N196" i="1"/>
  <c r="J196" i="1"/>
  <c r="M196" i="1" s="1"/>
  <c r="H196" i="1"/>
  <c r="G196" i="1"/>
  <c r="F196" i="1"/>
  <c r="C196" i="1"/>
  <c r="O195" i="1"/>
  <c r="N195" i="1"/>
  <c r="M195" i="1"/>
  <c r="G195" i="1"/>
  <c r="F195" i="1"/>
  <c r="J195" i="1" s="1"/>
  <c r="C195" i="1"/>
  <c r="H195" i="1" s="1"/>
  <c r="O194" i="1"/>
  <c r="N194" i="1"/>
  <c r="J194" i="1"/>
  <c r="M194" i="1" s="1"/>
  <c r="H194" i="1"/>
  <c r="G194" i="1"/>
  <c r="F194" i="1"/>
  <c r="C194" i="1"/>
  <c r="O193" i="1"/>
  <c r="N193" i="1"/>
  <c r="G193" i="1"/>
  <c r="F193" i="1"/>
  <c r="J193" i="1" s="1"/>
  <c r="M193" i="1" s="1"/>
  <c r="C193" i="1"/>
  <c r="H193" i="1" s="1"/>
  <c r="O192" i="1"/>
  <c r="N192" i="1"/>
  <c r="J192" i="1"/>
  <c r="M192" i="1" s="1"/>
  <c r="G192" i="1"/>
  <c r="F192" i="1"/>
  <c r="C192" i="1"/>
  <c r="H192" i="1" s="1"/>
  <c r="O191" i="1"/>
  <c r="N191" i="1"/>
  <c r="M191" i="1"/>
  <c r="G191" i="1"/>
  <c r="F191" i="1"/>
  <c r="J191" i="1" s="1"/>
  <c r="C191" i="1"/>
  <c r="H191" i="1" s="1"/>
  <c r="O190" i="1"/>
  <c r="N190" i="1"/>
  <c r="J190" i="1"/>
  <c r="M190" i="1" s="1"/>
  <c r="H190" i="1"/>
  <c r="G190" i="1"/>
  <c r="F190" i="1"/>
  <c r="C190" i="1"/>
  <c r="O189" i="1"/>
  <c r="N189" i="1"/>
  <c r="M189" i="1"/>
  <c r="G189" i="1"/>
  <c r="F189" i="1"/>
  <c r="J189" i="1" s="1"/>
  <c r="C189" i="1"/>
  <c r="H189" i="1" s="1"/>
  <c r="O188" i="1"/>
  <c r="N188" i="1"/>
  <c r="J188" i="1"/>
  <c r="M188" i="1" s="1"/>
  <c r="H188" i="1"/>
  <c r="G188" i="1"/>
  <c r="F188" i="1"/>
  <c r="C188" i="1"/>
  <c r="O187" i="1"/>
  <c r="N187" i="1"/>
  <c r="M187" i="1"/>
  <c r="G187" i="1"/>
  <c r="F187" i="1"/>
  <c r="J187" i="1" s="1"/>
  <c r="C187" i="1"/>
  <c r="H187" i="1" s="1"/>
  <c r="O186" i="1"/>
  <c r="N186" i="1"/>
  <c r="J186" i="1"/>
  <c r="M186" i="1" s="1"/>
  <c r="H186" i="1"/>
  <c r="G186" i="1"/>
  <c r="F186" i="1"/>
  <c r="C186" i="1"/>
  <c r="O185" i="1"/>
  <c r="N185" i="1"/>
  <c r="G185" i="1"/>
  <c r="F185" i="1"/>
  <c r="J185" i="1" s="1"/>
  <c r="M185" i="1" s="1"/>
  <c r="C185" i="1"/>
  <c r="H185" i="1" s="1"/>
  <c r="O184" i="1"/>
  <c r="N184" i="1"/>
  <c r="J184" i="1"/>
  <c r="M184" i="1" s="1"/>
  <c r="G184" i="1"/>
  <c r="F184" i="1"/>
  <c r="C184" i="1"/>
  <c r="H184" i="1" s="1"/>
  <c r="O183" i="1"/>
  <c r="N183" i="1"/>
  <c r="M183" i="1"/>
  <c r="G183" i="1"/>
  <c r="F183" i="1"/>
  <c r="J183" i="1" s="1"/>
  <c r="C183" i="1"/>
  <c r="H183" i="1" s="1"/>
  <c r="O182" i="1"/>
  <c r="N182" i="1"/>
  <c r="J182" i="1"/>
  <c r="M182" i="1" s="1"/>
  <c r="H182" i="1"/>
  <c r="G182" i="1"/>
  <c r="F182" i="1"/>
  <c r="C182" i="1"/>
  <c r="O181" i="1"/>
  <c r="N181" i="1"/>
  <c r="M181" i="1"/>
  <c r="G181" i="1"/>
  <c r="F181" i="1"/>
  <c r="J181" i="1" s="1"/>
  <c r="C181" i="1"/>
  <c r="H181" i="1" s="1"/>
  <c r="O180" i="1"/>
  <c r="N180" i="1"/>
  <c r="J180" i="1"/>
  <c r="M180" i="1" s="1"/>
  <c r="H180" i="1"/>
  <c r="G180" i="1"/>
  <c r="F180" i="1"/>
  <c r="C180" i="1"/>
  <c r="O179" i="1"/>
  <c r="N179" i="1"/>
  <c r="M179" i="1"/>
  <c r="G179" i="1"/>
  <c r="F179" i="1"/>
  <c r="J179" i="1" s="1"/>
  <c r="C179" i="1"/>
  <c r="H179" i="1" s="1"/>
  <c r="O178" i="1"/>
  <c r="N178" i="1"/>
  <c r="J178" i="1"/>
  <c r="M178" i="1" s="1"/>
  <c r="H178" i="1"/>
  <c r="G178" i="1"/>
  <c r="F178" i="1"/>
  <c r="C178" i="1"/>
  <c r="O177" i="1"/>
  <c r="N177" i="1"/>
  <c r="G177" i="1"/>
  <c r="F177" i="1"/>
  <c r="J177" i="1" s="1"/>
  <c r="M177" i="1" s="1"/>
  <c r="C177" i="1"/>
  <c r="H177" i="1" s="1"/>
  <c r="O176" i="1"/>
  <c r="N176" i="1"/>
  <c r="J176" i="1"/>
  <c r="M176" i="1" s="1"/>
  <c r="G176" i="1"/>
  <c r="F176" i="1"/>
  <c r="C176" i="1"/>
  <c r="H176" i="1" s="1"/>
  <c r="O175" i="1"/>
  <c r="N175" i="1"/>
  <c r="M175" i="1"/>
  <c r="G175" i="1"/>
  <c r="F175" i="1"/>
  <c r="J175" i="1" s="1"/>
  <c r="C175" i="1"/>
  <c r="H175" i="1" s="1"/>
  <c r="O174" i="1"/>
  <c r="N174" i="1"/>
  <c r="J174" i="1"/>
  <c r="M174" i="1" s="1"/>
  <c r="H174" i="1"/>
  <c r="G174" i="1"/>
  <c r="F174" i="1"/>
  <c r="C174" i="1"/>
  <c r="O173" i="1"/>
  <c r="N173" i="1"/>
  <c r="M173" i="1"/>
  <c r="G173" i="1"/>
  <c r="F173" i="1"/>
  <c r="J173" i="1" s="1"/>
  <c r="C173" i="1"/>
  <c r="H173" i="1" s="1"/>
  <c r="O172" i="1"/>
  <c r="N172" i="1"/>
  <c r="J172" i="1"/>
  <c r="M172" i="1" s="1"/>
  <c r="H172" i="1"/>
  <c r="G172" i="1"/>
  <c r="F172" i="1"/>
  <c r="C172" i="1"/>
  <c r="O171" i="1"/>
  <c r="N171" i="1"/>
  <c r="M171" i="1"/>
  <c r="G171" i="1"/>
  <c r="F171" i="1"/>
  <c r="J171" i="1" s="1"/>
  <c r="C171" i="1"/>
  <c r="H171" i="1" s="1"/>
  <c r="O170" i="1"/>
  <c r="N170" i="1"/>
  <c r="J170" i="1"/>
  <c r="M170" i="1" s="1"/>
  <c r="H170" i="1"/>
  <c r="G170" i="1"/>
  <c r="F170" i="1"/>
  <c r="C170" i="1"/>
  <c r="O169" i="1"/>
  <c r="N169" i="1"/>
  <c r="G169" i="1"/>
  <c r="F169" i="1"/>
  <c r="J169" i="1" s="1"/>
  <c r="M169" i="1" s="1"/>
  <c r="C169" i="1"/>
  <c r="H169" i="1" s="1"/>
  <c r="O168" i="1"/>
  <c r="N168" i="1"/>
  <c r="J168" i="1"/>
  <c r="M168" i="1" s="1"/>
  <c r="G168" i="1"/>
  <c r="F168" i="1"/>
  <c r="C168" i="1"/>
  <c r="H168" i="1" s="1"/>
  <c r="O167" i="1"/>
  <c r="N167" i="1"/>
  <c r="M167" i="1"/>
  <c r="G167" i="1"/>
  <c r="F167" i="1"/>
  <c r="J167" i="1" s="1"/>
  <c r="C167" i="1"/>
  <c r="H167" i="1" s="1"/>
  <c r="O166" i="1"/>
  <c r="N166" i="1"/>
  <c r="J166" i="1"/>
  <c r="M166" i="1" s="1"/>
  <c r="H166" i="1"/>
  <c r="G166" i="1"/>
  <c r="F166" i="1"/>
  <c r="C166" i="1"/>
  <c r="O165" i="1"/>
  <c r="N165" i="1"/>
  <c r="M165" i="1"/>
  <c r="G165" i="1"/>
  <c r="F165" i="1"/>
  <c r="J165" i="1" s="1"/>
  <c r="C165" i="1"/>
  <c r="H165" i="1" s="1"/>
  <c r="O164" i="1"/>
  <c r="N164" i="1"/>
  <c r="J164" i="1"/>
  <c r="M164" i="1" s="1"/>
  <c r="H164" i="1"/>
  <c r="G164" i="1"/>
  <c r="F164" i="1"/>
  <c r="C164" i="1"/>
  <c r="O163" i="1"/>
  <c r="N163" i="1"/>
  <c r="M163" i="1"/>
  <c r="G163" i="1"/>
  <c r="F163" i="1"/>
  <c r="J163" i="1" s="1"/>
  <c r="C163" i="1"/>
  <c r="H163" i="1" s="1"/>
  <c r="O162" i="1"/>
  <c r="N162" i="1"/>
  <c r="J162" i="1"/>
  <c r="M162" i="1" s="1"/>
  <c r="H162" i="1"/>
  <c r="G162" i="1"/>
  <c r="F162" i="1"/>
  <c r="C162" i="1"/>
  <c r="O161" i="1"/>
  <c r="N161" i="1"/>
  <c r="G161" i="1"/>
  <c r="F161" i="1"/>
  <c r="J161" i="1" s="1"/>
  <c r="M161" i="1" s="1"/>
  <c r="C161" i="1"/>
  <c r="H161" i="1" s="1"/>
  <c r="O160" i="1"/>
  <c r="N160" i="1"/>
  <c r="J160" i="1"/>
  <c r="M160" i="1" s="1"/>
  <c r="G160" i="1"/>
  <c r="F160" i="1"/>
  <c r="C160" i="1"/>
  <c r="H160" i="1" s="1"/>
  <c r="O159" i="1"/>
  <c r="N159" i="1"/>
  <c r="M159" i="1"/>
  <c r="G159" i="1"/>
  <c r="F159" i="1"/>
  <c r="J159" i="1" s="1"/>
  <c r="C159" i="1"/>
  <c r="H159" i="1" s="1"/>
  <c r="O158" i="1"/>
  <c r="N158" i="1"/>
  <c r="J158" i="1"/>
  <c r="M158" i="1" s="1"/>
  <c r="H158" i="1"/>
  <c r="G158" i="1"/>
  <c r="F158" i="1"/>
  <c r="C158" i="1"/>
  <c r="O157" i="1"/>
  <c r="N157" i="1"/>
  <c r="M157" i="1"/>
  <c r="G157" i="1"/>
  <c r="F157" i="1"/>
  <c r="J157" i="1" s="1"/>
  <c r="C157" i="1"/>
  <c r="H157" i="1" s="1"/>
  <c r="O156" i="1"/>
  <c r="N156" i="1"/>
  <c r="J156" i="1"/>
  <c r="M156" i="1" s="1"/>
  <c r="H156" i="1"/>
  <c r="G156" i="1"/>
  <c r="F156" i="1"/>
  <c r="C156" i="1"/>
  <c r="O155" i="1"/>
  <c r="N155" i="1"/>
  <c r="M155" i="1"/>
  <c r="G155" i="1"/>
  <c r="F155" i="1"/>
  <c r="J155" i="1" s="1"/>
  <c r="C155" i="1"/>
  <c r="H155" i="1" s="1"/>
  <c r="O154" i="1"/>
  <c r="N154" i="1"/>
  <c r="J154" i="1"/>
  <c r="M154" i="1" s="1"/>
  <c r="H154" i="1"/>
  <c r="G154" i="1"/>
  <c r="F154" i="1"/>
  <c r="C154" i="1"/>
  <c r="O153" i="1"/>
  <c r="N153" i="1"/>
  <c r="G153" i="1"/>
  <c r="F153" i="1"/>
  <c r="J153" i="1" s="1"/>
  <c r="M153" i="1" s="1"/>
  <c r="C153" i="1"/>
  <c r="H153" i="1" s="1"/>
  <c r="O152" i="1"/>
  <c r="N152" i="1"/>
  <c r="J152" i="1"/>
  <c r="M152" i="1" s="1"/>
  <c r="G152" i="1"/>
  <c r="F152" i="1"/>
  <c r="C152" i="1"/>
  <c r="H152" i="1" s="1"/>
  <c r="O151" i="1"/>
  <c r="N151" i="1"/>
  <c r="M151" i="1"/>
  <c r="G151" i="1"/>
  <c r="F151" i="1"/>
  <c r="J151" i="1" s="1"/>
  <c r="C151" i="1"/>
  <c r="H151" i="1" s="1"/>
  <c r="O150" i="1"/>
  <c r="N150" i="1"/>
  <c r="J150" i="1"/>
  <c r="M150" i="1" s="1"/>
  <c r="H150" i="1"/>
  <c r="G150" i="1"/>
  <c r="F150" i="1"/>
  <c r="C150" i="1"/>
  <c r="O149" i="1"/>
  <c r="N149" i="1"/>
  <c r="M149" i="1"/>
  <c r="G149" i="1"/>
  <c r="F149" i="1"/>
  <c r="J149" i="1" s="1"/>
  <c r="C149" i="1"/>
  <c r="H149" i="1" s="1"/>
  <c r="O148" i="1"/>
  <c r="N148" i="1"/>
  <c r="J148" i="1"/>
  <c r="M148" i="1" s="1"/>
  <c r="H148" i="1"/>
  <c r="G148" i="1"/>
  <c r="F148" i="1"/>
  <c r="C148" i="1"/>
  <c r="O147" i="1"/>
  <c r="N147" i="1"/>
  <c r="M147" i="1"/>
  <c r="G147" i="1"/>
  <c r="F147" i="1"/>
  <c r="J147" i="1" s="1"/>
  <c r="C147" i="1"/>
  <c r="H147" i="1" s="1"/>
  <c r="O146" i="1"/>
  <c r="N146" i="1"/>
  <c r="J146" i="1"/>
  <c r="M146" i="1" s="1"/>
  <c r="H146" i="1"/>
  <c r="G146" i="1"/>
  <c r="F146" i="1"/>
  <c r="C146" i="1"/>
  <c r="O145" i="1"/>
  <c r="N145" i="1"/>
  <c r="G145" i="1"/>
  <c r="F145" i="1"/>
  <c r="J145" i="1" s="1"/>
  <c r="M145" i="1" s="1"/>
  <c r="C145" i="1"/>
  <c r="H145" i="1" s="1"/>
  <c r="O144" i="1"/>
  <c r="N144" i="1"/>
  <c r="J144" i="1"/>
  <c r="M144" i="1" s="1"/>
  <c r="G144" i="1"/>
  <c r="F144" i="1"/>
  <c r="C144" i="1"/>
  <c r="H144" i="1" s="1"/>
  <c r="O143" i="1"/>
  <c r="N143" i="1"/>
  <c r="G143" i="1"/>
  <c r="F143" i="1"/>
  <c r="J143" i="1" s="1"/>
  <c r="M143" i="1" s="1"/>
  <c r="C143" i="1"/>
  <c r="H143" i="1" s="1"/>
  <c r="O142" i="1"/>
  <c r="N142" i="1"/>
  <c r="M142" i="1"/>
  <c r="J142" i="1"/>
  <c r="H142" i="1"/>
  <c r="G142" i="1"/>
  <c r="F142" i="1"/>
  <c r="C142" i="1"/>
  <c r="O141" i="1"/>
  <c r="N141" i="1"/>
  <c r="J141" i="1"/>
  <c r="M141" i="1" s="1"/>
  <c r="G141" i="1"/>
  <c r="F141" i="1"/>
  <c r="C141" i="1"/>
  <c r="H141" i="1" s="1"/>
  <c r="O140" i="1"/>
  <c r="N140" i="1"/>
  <c r="J140" i="1"/>
  <c r="M140" i="1" s="1"/>
  <c r="H140" i="1"/>
  <c r="G140" i="1"/>
  <c r="F140" i="1"/>
  <c r="C140" i="1"/>
  <c r="W139" i="1"/>
  <c r="O139" i="1"/>
  <c r="N139" i="1"/>
  <c r="H139" i="1"/>
  <c r="G139" i="1"/>
  <c r="F139" i="1"/>
  <c r="J139" i="1" s="1"/>
  <c r="M139" i="1" s="1"/>
  <c r="C139" i="1"/>
  <c r="W138" i="1"/>
  <c r="O138" i="1"/>
  <c r="N138" i="1"/>
  <c r="J138" i="1"/>
  <c r="M138" i="1" s="1"/>
  <c r="G138" i="1"/>
  <c r="F138" i="1"/>
  <c r="C138" i="1"/>
  <c r="H138" i="1" s="1"/>
  <c r="W137" i="1"/>
  <c r="O137" i="1"/>
  <c r="N137" i="1"/>
  <c r="J137" i="1"/>
  <c r="M137" i="1" s="1"/>
  <c r="G137" i="1"/>
  <c r="F137" i="1"/>
  <c r="C137" i="1"/>
  <c r="H137" i="1" s="1"/>
  <c r="W136" i="1"/>
  <c r="O136" i="1"/>
  <c r="N136" i="1"/>
  <c r="M136" i="1"/>
  <c r="J136" i="1"/>
  <c r="H136" i="1"/>
  <c r="G136" i="1"/>
  <c r="F136" i="1"/>
  <c r="C136" i="1"/>
  <c r="W135" i="1"/>
  <c r="O135" i="1"/>
  <c r="N135" i="1"/>
  <c r="H135" i="1"/>
  <c r="G135" i="1"/>
  <c r="F135" i="1"/>
  <c r="J135" i="1" s="1"/>
  <c r="M135" i="1" s="1"/>
  <c r="C135" i="1"/>
  <c r="W134" i="1"/>
  <c r="O134" i="1"/>
  <c r="N134" i="1"/>
  <c r="G134" i="1"/>
  <c r="F134" i="1"/>
  <c r="J134" i="1" s="1"/>
  <c r="M134" i="1" s="1"/>
  <c r="C134" i="1"/>
  <c r="H134" i="1" s="1"/>
  <c r="W133" i="1"/>
  <c r="O133" i="1"/>
  <c r="N133" i="1"/>
  <c r="J133" i="1"/>
  <c r="M133" i="1" s="1"/>
  <c r="H133" i="1"/>
  <c r="G133" i="1"/>
  <c r="F133" i="1"/>
  <c r="C133" i="1"/>
  <c r="W132" i="1"/>
  <c r="O132" i="1"/>
  <c r="N132" i="1"/>
  <c r="J132" i="1"/>
  <c r="M132" i="1" s="1"/>
  <c r="G132" i="1"/>
  <c r="F132" i="1"/>
  <c r="C132" i="1"/>
  <c r="H132" i="1" s="1"/>
  <c r="W131" i="1"/>
  <c r="O131" i="1"/>
  <c r="N131" i="1"/>
  <c r="H131" i="1"/>
  <c r="G131" i="1"/>
  <c r="F131" i="1"/>
  <c r="J131" i="1" s="1"/>
  <c r="M131" i="1" s="1"/>
  <c r="C131" i="1"/>
  <c r="W130" i="1"/>
  <c r="O130" i="1"/>
  <c r="N130" i="1"/>
  <c r="G130" i="1"/>
  <c r="F130" i="1"/>
  <c r="J130" i="1" s="1"/>
  <c r="M130" i="1" s="1"/>
  <c r="C130" i="1"/>
  <c r="H130" i="1" s="1"/>
  <c r="W129" i="1"/>
  <c r="O129" i="1"/>
  <c r="N129" i="1"/>
  <c r="J129" i="1"/>
  <c r="M129" i="1" s="1"/>
  <c r="H129" i="1"/>
  <c r="G129" i="1"/>
  <c r="F129" i="1"/>
  <c r="C129" i="1"/>
  <c r="W128" i="1"/>
  <c r="O128" i="1"/>
  <c r="N128" i="1"/>
  <c r="J128" i="1"/>
  <c r="M128" i="1" s="1"/>
  <c r="H128" i="1"/>
  <c r="G128" i="1"/>
  <c r="F128" i="1"/>
  <c r="C128" i="1"/>
  <c r="W127" i="1"/>
  <c r="O127" i="1"/>
  <c r="N127" i="1"/>
  <c r="M127" i="1"/>
  <c r="H127" i="1"/>
  <c r="G127" i="1"/>
  <c r="F127" i="1"/>
  <c r="J127" i="1" s="1"/>
  <c r="C127" i="1"/>
  <c r="W126" i="1"/>
  <c r="O126" i="1"/>
  <c r="N126" i="1"/>
  <c r="J126" i="1"/>
  <c r="M126" i="1" s="1"/>
  <c r="G126" i="1"/>
  <c r="F126" i="1"/>
  <c r="C126" i="1"/>
  <c r="H126" i="1" s="1"/>
  <c r="W125" i="1"/>
  <c r="O125" i="1"/>
  <c r="N125" i="1"/>
  <c r="H125" i="1"/>
  <c r="G125" i="1"/>
  <c r="F125" i="1"/>
  <c r="J125" i="1" s="1"/>
  <c r="M125" i="1" s="1"/>
  <c r="C125" i="1"/>
  <c r="W124" i="1"/>
  <c r="O124" i="1"/>
  <c r="N124" i="1"/>
  <c r="J124" i="1"/>
  <c r="M124" i="1" s="1"/>
  <c r="H124" i="1"/>
  <c r="G124" i="1"/>
  <c r="F124" i="1"/>
  <c r="C124" i="1"/>
  <c r="W123" i="1"/>
  <c r="O123" i="1"/>
  <c r="N123" i="1"/>
  <c r="H123" i="1"/>
  <c r="G123" i="1"/>
  <c r="F123" i="1"/>
  <c r="J123" i="1" s="1"/>
  <c r="M123" i="1" s="1"/>
  <c r="C123" i="1"/>
  <c r="W122" i="1"/>
  <c r="O122" i="1"/>
  <c r="N122" i="1"/>
  <c r="J122" i="1"/>
  <c r="M122" i="1" s="1"/>
  <c r="G122" i="1"/>
  <c r="F122" i="1"/>
  <c r="C122" i="1"/>
  <c r="H122" i="1" s="1"/>
  <c r="W121" i="1"/>
  <c r="O121" i="1"/>
  <c r="N121" i="1"/>
  <c r="J121" i="1"/>
  <c r="M121" i="1" s="1"/>
  <c r="G121" i="1"/>
  <c r="F121" i="1"/>
  <c r="C121" i="1"/>
  <c r="H121" i="1" s="1"/>
  <c r="W120" i="1"/>
  <c r="O120" i="1"/>
  <c r="N120" i="1"/>
  <c r="M120" i="1"/>
  <c r="J120" i="1"/>
  <c r="H120" i="1"/>
  <c r="G120" i="1"/>
  <c r="F120" i="1"/>
  <c r="C120" i="1"/>
  <c r="W119" i="1"/>
  <c r="O119" i="1"/>
  <c r="N119" i="1"/>
  <c r="H119" i="1"/>
  <c r="G119" i="1"/>
  <c r="F119" i="1"/>
  <c r="J119" i="1" s="1"/>
  <c r="M119" i="1" s="1"/>
  <c r="C119" i="1"/>
  <c r="W118" i="1"/>
  <c r="O118" i="1"/>
  <c r="N118" i="1"/>
  <c r="G118" i="1"/>
  <c r="F118" i="1"/>
  <c r="J118" i="1" s="1"/>
  <c r="M118" i="1" s="1"/>
  <c r="C118" i="1"/>
  <c r="H118" i="1" s="1"/>
  <c r="W117" i="1"/>
  <c r="O117" i="1"/>
  <c r="N117" i="1"/>
  <c r="J117" i="1"/>
  <c r="M117" i="1" s="1"/>
  <c r="G117" i="1"/>
  <c r="F117" i="1"/>
  <c r="C117" i="1"/>
  <c r="H117" i="1" s="1"/>
  <c r="W116" i="1"/>
  <c r="O116" i="1"/>
  <c r="N116" i="1"/>
  <c r="J116" i="1"/>
  <c r="M116" i="1" s="1"/>
  <c r="H116" i="1"/>
  <c r="G116" i="1"/>
  <c r="F116" i="1"/>
  <c r="C116" i="1"/>
  <c r="W115" i="1"/>
  <c r="O115" i="1"/>
  <c r="N115" i="1"/>
  <c r="M115" i="1"/>
  <c r="J115" i="1"/>
  <c r="H115" i="1"/>
  <c r="G115" i="1"/>
  <c r="F115" i="1"/>
  <c r="C115" i="1"/>
  <c r="W114" i="1"/>
  <c r="O114" i="1"/>
  <c r="N114" i="1"/>
  <c r="H114" i="1"/>
  <c r="G114" i="1"/>
  <c r="F114" i="1"/>
  <c r="J114" i="1" s="1"/>
  <c r="M114" i="1" s="1"/>
  <c r="C114" i="1"/>
  <c r="W113" i="1"/>
  <c r="O113" i="1"/>
  <c r="N113" i="1"/>
  <c r="J113" i="1"/>
  <c r="M113" i="1" s="1"/>
  <c r="G113" i="1"/>
  <c r="F113" i="1"/>
  <c r="C113" i="1"/>
  <c r="H113" i="1" s="1"/>
  <c r="W112" i="1"/>
  <c r="O112" i="1"/>
  <c r="N112" i="1"/>
  <c r="J112" i="1"/>
  <c r="M112" i="1" s="1"/>
  <c r="H112" i="1"/>
  <c r="G112" i="1"/>
  <c r="F112" i="1"/>
  <c r="C112" i="1"/>
  <c r="W111" i="1"/>
  <c r="O111" i="1"/>
  <c r="N111" i="1"/>
  <c r="M111" i="1"/>
  <c r="J111" i="1"/>
  <c r="H111" i="1"/>
  <c r="G111" i="1"/>
  <c r="F111" i="1"/>
  <c r="C111" i="1"/>
  <c r="W110" i="1"/>
  <c r="O110" i="1"/>
  <c r="N110" i="1"/>
  <c r="H110" i="1"/>
  <c r="G110" i="1"/>
  <c r="F110" i="1"/>
  <c r="J110" i="1" s="1"/>
  <c r="M110" i="1" s="1"/>
  <c r="C110" i="1"/>
  <c r="W109" i="1"/>
  <c r="O109" i="1"/>
  <c r="N109" i="1"/>
  <c r="J109" i="1"/>
  <c r="M109" i="1" s="1"/>
  <c r="G109" i="1"/>
  <c r="F109" i="1"/>
  <c r="C109" i="1"/>
  <c r="H109" i="1" s="1"/>
  <c r="W108" i="1"/>
  <c r="O108" i="1"/>
  <c r="N108" i="1"/>
  <c r="J108" i="1"/>
  <c r="M108" i="1" s="1"/>
  <c r="H108" i="1"/>
  <c r="G108" i="1"/>
  <c r="F108" i="1"/>
  <c r="C108" i="1"/>
  <c r="W107" i="1"/>
  <c r="O107" i="1"/>
  <c r="N107" i="1"/>
  <c r="M107" i="1"/>
  <c r="J107" i="1"/>
  <c r="H107" i="1"/>
  <c r="G107" i="1"/>
  <c r="F107" i="1"/>
  <c r="C107" i="1"/>
  <c r="W106" i="1"/>
  <c r="O106" i="1"/>
  <c r="N106" i="1"/>
  <c r="H106" i="1"/>
  <c r="G106" i="1"/>
  <c r="F106" i="1"/>
  <c r="J106" i="1" s="1"/>
  <c r="M106" i="1" s="1"/>
  <c r="C106" i="1"/>
  <c r="W105" i="1"/>
  <c r="O105" i="1"/>
  <c r="N105" i="1"/>
  <c r="G105" i="1"/>
  <c r="F105" i="1"/>
  <c r="J105" i="1" s="1"/>
  <c r="M105" i="1" s="1"/>
  <c r="C105" i="1"/>
  <c r="H105" i="1" s="1"/>
  <c r="W104" i="1"/>
  <c r="O104" i="1"/>
  <c r="N104" i="1"/>
  <c r="J104" i="1"/>
  <c r="M104" i="1" s="1"/>
  <c r="G104" i="1"/>
  <c r="F104" i="1"/>
  <c r="C104" i="1"/>
  <c r="H104" i="1" s="1"/>
  <c r="W103" i="1"/>
  <c r="O103" i="1"/>
  <c r="N103" i="1"/>
  <c r="M103" i="1"/>
  <c r="J103" i="1"/>
  <c r="H103" i="1"/>
  <c r="G103" i="1"/>
  <c r="F103" i="1"/>
  <c r="C103" i="1"/>
  <c r="W102" i="1"/>
  <c r="O102" i="1"/>
  <c r="N102" i="1"/>
  <c r="H102" i="1"/>
  <c r="G102" i="1"/>
  <c r="F102" i="1"/>
  <c r="J102" i="1" s="1"/>
  <c r="M102" i="1" s="1"/>
  <c r="C102" i="1"/>
  <c r="W101" i="1"/>
  <c r="O101" i="1"/>
  <c r="N101" i="1"/>
  <c r="G101" i="1"/>
  <c r="F101" i="1"/>
  <c r="J101" i="1" s="1"/>
  <c r="M101" i="1" s="1"/>
  <c r="C101" i="1"/>
  <c r="H101" i="1" s="1"/>
  <c r="W100" i="1"/>
  <c r="O100" i="1"/>
  <c r="N100" i="1"/>
  <c r="J100" i="1"/>
  <c r="M100" i="1" s="1"/>
  <c r="G100" i="1"/>
  <c r="F100" i="1"/>
  <c r="C100" i="1"/>
  <c r="H100" i="1" s="1"/>
  <c r="W99" i="1"/>
  <c r="O99" i="1"/>
  <c r="N99" i="1"/>
  <c r="M99" i="1"/>
  <c r="J99" i="1"/>
  <c r="H99" i="1"/>
  <c r="G99" i="1"/>
  <c r="F99" i="1"/>
  <c r="C99" i="1"/>
  <c r="W98" i="1"/>
  <c r="O98" i="1"/>
  <c r="N98" i="1"/>
  <c r="H98" i="1"/>
  <c r="G98" i="1"/>
  <c r="F98" i="1"/>
  <c r="J98" i="1" s="1"/>
  <c r="M98" i="1" s="1"/>
  <c r="C98" i="1"/>
  <c r="W97" i="1"/>
  <c r="O97" i="1"/>
  <c r="N97" i="1"/>
  <c r="G97" i="1"/>
  <c r="F97" i="1"/>
  <c r="J97" i="1" s="1"/>
  <c r="M97" i="1" s="1"/>
  <c r="C97" i="1"/>
  <c r="H97" i="1" s="1"/>
  <c r="W96" i="1"/>
  <c r="O96" i="1"/>
  <c r="N96" i="1"/>
  <c r="J96" i="1"/>
  <c r="M96" i="1" s="1"/>
  <c r="G96" i="1"/>
  <c r="F96" i="1"/>
  <c r="C96" i="1"/>
  <c r="H96" i="1" s="1"/>
  <c r="W95" i="1"/>
  <c r="O95" i="1"/>
  <c r="N95" i="1"/>
  <c r="M95" i="1"/>
  <c r="J95" i="1"/>
  <c r="H95" i="1"/>
  <c r="G95" i="1"/>
  <c r="F95" i="1"/>
  <c r="C95" i="1"/>
  <c r="W94" i="1"/>
  <c r="O94" i="1"/>
  <c r="N94" i="1"/>
  <c r="H94" i="1"/>
  <c r="G94" i="1"/>
  <c r="F94" i="1"/>
  <c r="J94" i="1" s="1"/>
  <c r="M94" i="1" s="1"/>
  <c r="C94" i="1"/>
  <c r="W93" i="1"/>
  <c r="O93" i="1"/>
  <c r="N93" i="1"/>
  <c r="G93" i="1"/>
  <c r="F93" i="1"/>
  <c r="J93" i="1" s="1"/>
  <c r="M93" i="1" s="1"/>
  <c r="C93" i="1"/>
  <c r="H93" i="1" s="1"/>
  <c r="W92" i="1"/>
  <c r="O92" i="1"/>
  <c r="N92" i="1"/>
  <c r="J92" i="1"/>
  <c r="M92" i="1" s="1"/>
  <c r="G92" i="1"/>
  <c r="F92" i="1"/>
  <c r="C92" i="1"/>
  <c r="H92" i="1" s="1"/>
  <c r="W91" i="1"/>
  <c r="O91" i="1"/>
  <c r="N91" i="1"/>
  <c r="M91" i="1"/>
  <c r="J91" i="1"/>
  <c r="H91" i="1"/>
  <c r="G91" i="1"/>
  <c r="F91" i="1"/>
  <c r="C91" i="1"/>
  <c r="W90" i="1"/>
  <c r="O90" i="1"/>
  <c r="N90" i="1"/>
  <c r="H90" i="1"/>
  <c r="G90" i="1"/>
  <c r="F90" i="1"/>
  <c r="J90" i="1" s="1"/>
  <c r="M90" i="1" s="1"/>
  <c r="C90" i="1"/>
  <c r="W89" i="1"/>
  <c r="O89" i="1"/>
  <c r="N89" i="1"/>
  <c r="G89" i="1"/>
  <c r="F89" i="1"/>
  <c r="J89" i="1" s="1"/>
  <c r="M89" i="1" s="1"/>
  <c r="C89" i="1"/>
  <c r="H89" i="1" s="1"/>
  <c r="W88" i="1"/>
  <c r="O88" i="1"/>
  <c r="N88" i="1"/>
  <c r="J88" i="1"/>
  <c r="M88" i="1" s="1"/>
  <c r="G88" i="1"/>
  <c r="F88" i="1"/>
  <c r="C88" i="1"/>
  <c r="H88" i="1" s="1"/>
  <c r="W87" i="1"/>
  <c r="O87" i="1"/>
  <c r="N87" i="1"/>
  <c r="M87" i="1"/>
  <c r="J87" i="1"/>
  <c r="H87" i="1"/>
  <c r="G87" i="1"/>
  <c r="F87" i="1"/>
  <c r="C87" i="1"/>
  <c r="W86" i="1"/>
  <c r="O86" i="1"/>
  <c r="N86" i="1"/>
  <c r="H86" i="1"/>
  <c r="G86" i="1"/>
  <c r="F86" i="1"/>
  <c r="J86" i="1" s="1"/>
  <c r="M86" i="1" s="1"/>
  <c r="C86" i="1"/>
  <c r="W85" i="1"/>
  <c r="O85" i="1"/>
  <c r="N85" i="1"/>
  <c r="G85" i="1"/>
  <c r="F85" i="1"/>
  <c r="J85" i="1" s="1"/>
  <c r="M85" i="1" s="1"/>
  <c r="C85" i="1"/>
  <c r="H85" i="1" s="1"/>
  <c r="W84" i="1"/>
  <c r="O84" i="1"/>
  <c r="N84" i="1"/>
  <c r="J84" i="1"/>
  <c r="M84" i="1" s="1"/>
  <c r="G84" i="1"/>
  <c r="F84" i="1"/>
  <c r="C84" i="1"/>
  <c r="H84" i="1" s="1"/>
  <c r="W83" i="1"/>
  <c r="O83" i="1"/>
  <c r="N83" i="1"/>
  <c r="M83" i="1"/>
  <c r="J83" i="1"/>
  <c r="H83" i="1"/>
  <c r="G83" i="1"/>
  <c r="F83" i="1"/>
  <c r="C83" i="1"/>
  <c r="W82" i="1"/>
  <c r="O82" i="1"/>
  <c r="N82" i="1"/>
  <c r="H82" i="1"/>
  <c r="G82" i="1"/>
  <c r="F82" i="1"/>
  <c r="J82" i="1" s="1"/>
  <c r="M82" i="1" s="1"/>
  <c r="C82" i="1"/>
  <c r="W81" i="1"/>
  <c r="O81" i="1"/>
  <c r="N81" i="1"/>
  <c r="G81" i="1"/>
  <c r="F81" i="1"/>
  <c r="J81" i="1" s="1"/>
  <c r="M81" i="1" s="1"/>
  <c r="C81" i="1"/>
  <c r="H81" i="1" s="1"/>
  <c r="W80" i="1"/>
  <c r="O80" i="1"/>
  <c r="N80" i="1"/>
  <c r="J80" i="1"/>
  <c r="M80" i="1" s="1"/>
  <c r="G80" i="1"/>
  <c r="F80" i="1"/>
  <c r="C80" i="1"/>
  <c r="H80" i="1" s="1"/>
  <c r="W79" i="1"/>
  <c r="O79" i="1"/>
  <c r="N79" i="1"/>
  <c r="M79" i="1"/>
  <c r="J79" i="1"/>
  <c r="H79" i="1"/>
  <c r="G79" i="1"/>
  <c r="F79" i="1"/>
  <c r="C79" i="1"/>
  <c r="W78" i="1"/>
  <c r="O78" i="1"/>
  <c r="N78" i="1"/>
  <c r="H78" i="1"/>
  <c r="G78" i="1"/>
  <c r="F78" i="1"/>
  <c r="J78" i="1" s="1"/>
  <c r="M78" i="1" s="1"/>
  <c r="C78" i="1"/>
  <c r="W77" i="1"/>
  <c r="O77" i="1"/>
  <c r="N77" i="1"/>
  <c r="G77" i="1"/>
  <c r="F77" i="1"/>
  <c r="J77" i="1" s="1"/>
  <c r="M77" i="1" s="1"/>
  <c r="C77" i="1"/>
  <c r="H77" i="1" s="1"/>
  <c r="W76" i="1"/>
  <c r="O76" i="1"/>
  <c r="N76" i="1"/>
  <c r="J76" i="1"/>
  <c r="M76" i="1" s="1"/>
  <c r="G76" i="1"/>
  <c r="F76" i="1"/>
  <c r="C76" i="1"/>
  <c r="H76" i="1" s="1"/>
  <c r="W75" i="1"/>
  <c r="O75" i="1"/>
  <c r="N75" i="1"/>
  <c r="M75" i="1"/>
  <c r="J75" i="1"/>
  <c r="H75" i="1"/>
  <c r="G75" i="1"/>
  <c r="F75" i="1"/>
  <c r="C75" i="1"/>
  <c r="W74" i="1"/>
  <c r="O74" i="1"/>
  <c r="N74" i="1"/>
  <c r="H74" i="1"/>
  <c r="G74" i="1"/>
  <c r="F74" i="1"/>
  <c r="J74" i="1" s="1"/>
  <c r="M74" i="1" s="1"/>
  <c r="C74" i="1"/>
  <c r="W73" i="1"/>
  <c r="O73" i="1"/>
  <c r="N73" i="1"/>
  <c r="G73" i="1"/>
  <c r="F73" i="1"/>
  <c r="J73" i="1" s="1"/>
  <c r="M73" i="1" s="1"/>
  <c r="C73" i="1"/>
  <c r="H73" i="1" s="1"/>
  <c r="W72" i="1"/>
  <c r="O72" i="1"/>
  <c r="N72" i="1"/>
  <c r="J72" i="1"/>
  <c r="M72" i="1" s="1"/>
  <c r="G72" i="1"/>
  <c r="F72" i="1"/>
  <c r="C72" i="1"/>
  <c r="H72" i="1" s="1"/>
  <c r="W71" i="1"/>
  <c r="O71" i="1"/>
  <c r="N71" i="1"/>
  <c r="M71" i="1"/>
  <c r="J71" i="1"/>
  <c r="H71" i="1"/>
  <c r="G71" i="1"/>
  <c r="F71" i="1"/>
  <c r="C71" i="1"/>
  <c r="W70" i="1"/>
  <c r="O70" i="1"/>
  <c r="N70" i="1"/>
  <c r="M70" i="1"/>
  <c r="H70" i="1"/>
  <c r="G70" i="1"/>
  <c r="F70" i="1"/>
  <c r="J70" i="1" s="1"/>
  <c r="C70" i="1"/>
  <c r="W69" i="1"/>
  <c r="O69" i="1"/>
  <c r="N69" i="1"/>
  <c r="G69" i="1"/>
  <c r="F69" i="1"/>
  <c r="J69" i="1" s="1"/>
  <c r="M69" i="1" s="1"/>
  <c r="C69" i="1"/>
  <c r="H69" i="1" s="1"/>
  <c r="W68" i="1"/>
  <c r="O68" i="1"/>
  <c r="N68" i="1"/>
  <c r="J68" i="1"/>
  <c r="M68" i="1" s="1"/>
  <c r="G68" i="1"/>
  <c r="F68" i="1"/>
  <c r="C68" i="1"/>
  <c r="H68" i="1" s="1"/>
  <c r="W67" i="1"/>
  <c r="O67" i="1"/>
  <c r="N67" i="1"/>
  <c r="M67" i="1"/>
  <c r="J67" i="1"/>
  <c r="H67" i="1"/>
  <c r="G67" i="1"/>
  <c r="F67" i="1"/>
  <c r="C67" i="1"/>
  <c r="W66" i="1"/>
  <c r="O66" i="1"/>
  <c r="N66" i="1"/>
  <c r="H66" i="1"/>
  <c r="G66" i="1"/>
  <c r="F66" i="1"/>
  <c r="J66" i="1" s="1"/>
  <c r="M66" i="1" s="1"/>
  <c r="C66" i="1"/>
  <c r="W65" i="1"/>
  <c r="O65" i="1"/>
  <c r="N65" i="1"/>
  <c r="G65" i="1"/>
  <c r="F65" i="1"/>
  <c r="J65" i="1" s="1"/>
  <c r="M65" i="1" s="1"/>
  <c r="C65" i="1"/>
  <c r="H65" i="1" s="1"/>
  <c r="W64" i="1"/>
  <c r="O64" i="1"/>
  <c r="N64" i="1"/>
  <c r="J64" i="1"/>
  <c r="M64" i="1" s="1"/>
  <c r="G64" i="1"/>
  <c r="F64" i="1"/>
  <c r="C64" i="1"/>
  <c r="H64" i="1" s="1"/>
  <c r="W63" i="1"/>
  <c r="O63" i="1"/>
  <c r="N63" i="1"/>
  <c r="M63" i="1"/>
  <c r="J63" i="1"/>
  <c r="H63" i="1"/>
  <c r="G63" i="1"/>
  <c r="F63" i="1"/>
  <c r="C63" i="1"/>
  <c r="W62" i="1"/>
  <c r="O62" i="1"/>
  <c r="N62" i="1"/>
  <c r="H62" i="1"/>
  <c r="G62" i="1"/>
  <c r="F62" i="1"/>
  <c r="J62" i="1" s="1"/>
  <c r="M62" i="1" s="1"/>
  <c r="C62" i="1"/>
  <c r="W61" i="1"/>
  <c r="O61" i="1"/>
  <c r="N61" i="1"/>
  <c r="G61" i="1"/>
  <c r="F61" i="1"/>
  <c r="J61" i="1" s="1"/>
  <c r="M61" i="1" s="1"/>
  <c r="C61" i="1"/>
  <c r="H61" i="1" s="1"/>
  <c r="W60" i="1"/>
  <c r="O60" i="1"/>
  <c r="N60" i="1"/>
  <c r="J60" i="1"/>
  <c r="M60" i="1" s="1"/>
  <c r="G60" i="1"/>
  <c r="F60" i="1"/>
  <c r="C60" i="1"/>
  <c r="H60" i="1" s="1"/>
  <c r="W59" i="1"/>
  <c r="O59" i="1"/>
  <c r="N59" i="1"/>
  <c r="M59" i="1"/>
  <c r="J59" i="1"/>
  <c r="H59" i="1"/>
  <c r="G59" i="1"/>
  <c r="F59" i="1"/>
  <c r="C59" i="1"/>
  <c r="W58" i="1"/>
  <c r="O58" i="1"/>
  <c r="N58" i="1"/>
  <c r="H58" i="1"/>
  <c r="G58" i="1"/>
  <c r="F58" i="1"/>
  <c r="J58" i="1" s="1"/>
  <c r="M58" i="1" s="1"/>
  <c r="C58" i="1"/>
  <c r="W57" i="1"/>
  <c r="O57" i="1"/>
  <c r="N57" i="1"/>
  <c r="G57" i="1"/>
  <c r="F57" i="1"/>
  <c r="J57" i="1" s="1"/>
  <c r="M57" i="1" s="1"/>
  <c r="C57" i="1"/>
  <c r="H57" i="1" s="1"/>
  <c r="W56" i="1"/>
  <c r="O56" i="1"/>
  <c r="N56" i="1"/>
  <c r="J56" i="1"/>
  <c r="M56" i="1" s="1"/>
  <c r="G56" i="1"/>
  <c r="F56" i="1"/>
  <c r="C56" i="1"/>
  <c r="H56" i="1" s="1"/>
  <c r="W55" i="1"/>
  <c r="O55" i="1"/>
  <c r="N55" i="1"/>
  <c r="M55" i="1"/>
  <c r="J55" i="1"/>
  <c r="H55" i="1"/>
  <c r="G55" i="1"/>
  <c r="F55" i="1"/>
  <c r="C55" i="1"/>
  <c r="W54" i="1"/>
  <c r="O54" i="1"/>
  <c r="N54" i="1"/>
  <c r="H54" i="1"/>
  <c r="G54" i="1"/>
  <c r="F54" i="1"/>
  <c r="J54" i="1" s="1"/>
  <c r="M54" i="1" s="1"/>
  <c r="C54" i="1"/>
  <c r="W53" i="1"/>
  <c r="O53" i="1"/>
  <c r="N53" i="1"/>
  <c r="G53" i="1"/>
  <c r="F53" i="1"/>
  <c r="J53" i="1" s="1"/>
  <c r="M53" i="1" s="1"/>
  <c r="C53" i="1"/>
  <c r="H53" i="1" s="1"/>
  <c r="W52" i="1"/>
  <c r="O52" i="1"/>
  <c r="N52" i="1"/>
  <c r="J52" i="1"/>
  <c r="M52" i="1" s="1"/>
  <c r="G52" i="1"/>
  <c r="F52" i="1"/>
  <c r="C52" i="1"/>
  <c r="H52" i="1" s="1"/>
  <c r="W51" i="1"/>
  <c r="O51" i="1"/>
  <c r="N51" i="1"/>
  <c r="M51" i="1"/>
  <c r="J51" i="1"/>
  <c r="H51" i="1"/>
  <c r="G51" i="1"/>
  <c r="F51" i="1"/>
  <c r="C51" i="1"/>
  <c r="W50" i="1"/>
  <c r="O50" i="1"/>
  <c r="N50" i="1"/>
  <c r="H50" i="1"/>
  <c r="G50" i="1"/>
  <c r="F50" i="1"/>
  <c r="J50" i="1" s="1"/>
  <c r="M50" i="1" s="1"/>
  <c r="C50" i="1"/>
  <c r="W49" i="1"/>
  <c r="O49" i="1"/>
  <c r="N49" i="1"/>
  <c r="G49" i="1"/>
  <c r="F49" i="1"/>
  <c r="J49" i="1" s="1"/>
  <c r="M49" i="1" s="1"/>
  <c r="C49" i="1"/>
  <c r="H49" i="1" s="1"/>
  <c r="W48" i="1"/>
  <c r="O48" i="1"/>
  <c r="N48" i="1"/>
  <c r="J48" i="1"/>
  <c r="M48" i="1" s="1"/>
  <c r="G48" i="1"/>
  <c r="F48" i="1"/>
  <c r="C48" i="1"/>
  <c r="H48" i="1" s="1"/>
  <c r="W47" i="1"/>
  <c r="O47" i="1"/>
  <c r="N47" i="1"/>
  <c r="M47" i="1"/>
  <c r="J47" i="1"/>
  <c r="H47" i="1"/>
  <c r="G47" i="1"/>
  <c r="F47" i="1"/>
  <c r="C47" i="1"/>
  <c r="W46" i="1"/>
  <c r="O46" i="1"/>
  <c r="N46" i="1"/>
  <c r="H46" i="1"/>
  <c r="G46" i="1"/>
  <c r="F46" i="1"/>
  <c r="J46" i="1" s="1"/>
  <c r="M46" i="1" s="1"/>
  <c r="C46" i="1"/>
  <c r="W45" i="1"/>
  <c r="O45" i="1"/>
  <c r="N45" i="1"/>
  <c r="G45" i="1"/>
  <c r="F45" i="1"/>
  <c r="J45" i="1" s="1"/>
  <c r="M45" i="1" s="1"/>
  <c r="C45" i="1"/>
  <c r="H45" i="1" s="1"/>
  <c r="W44" i="1"/>
  <c r="O44" i="1"/>
  <c r="N44" i="1"/>
  <c r="J44" i="1"/>
  <c r="M44" i="1" s="1"/>
  <c r="G44" i="1"/>
  <c r="F44" i="1"/>
  <c r="C44" i="1"/>
  <c r="H44" i="1" s="1"/>
  <c r="W43" i="1"/>
  <c r="O43" i="1"/>
  <c r="N43" i="1"/>
  <c r="M43" i="1"/>
  <c r="J43" i="1"/>
  <c r="H43" i="1"/>
  <c r="G43" i="1"/>
  <c r="F43" i="1"/>
  <c r="C43" i="1"/>
  <c r="W42" i="1"/>
  <c r="O42" i="1"/>
  <c r="N42" i="1"/>
  <c r="H42" i="1"/>
  <c r="G42" i="1"/>
  <c r="F42" i="1"/>
  <c r="J42" i="1" s="1"/>
  <c r="M42" i="1" s="1"/>
  <c r="C42" i="1"/>
  <c r="W41" i="1"/>
  <c r="O41" i="1"/>
  <c r="N41" i="1"/>
  <c r="G41" i="1"/>
  <c r="K41" i="1" s="1"/>
  <c r="F41" i="1"/>
  <c r="J41" i="1" s="1"/>
  <c r="M41" i="1" s="1"/>
  <c r="C41" i="1"/>
  <c r="H41" i="1" s="1"/>
  <c r="W40" i="1"/>
  <c r="O40" i="1"/>
  <c r="N40" i="1"/>
  <c r="J40" i="1"/>
  <c r="M40" i="1" s="1"/>
  <c r="H40" i="1"/>
  <c r="G40" i="1"/>
  <c r="F40" i="1"/>
  <c r="C40" i="1"/>
  <c r="W39" i="1"/>
  <c r="O39" i="1"/>
  <c r="N39" i="1"/>
  <c r="J39" i="1"/>
  <c r="M39" i="1" s="1"/>
  <c r="G39" i="1"/>
  <c r="F39" i="1"/>
  <c r="C39" i="1"/>
  <c r="H39" i="1" s="1"/>
  <c r="W38" i="1"/>
  <c r="O38" i="1"/>
  <c r="N38" i="1"/>
  <c r="H38" i="1"/>
  <c r="G38" i="1"/>
  <c r="K38" i="1" s="1"/>
  <c r="F38" i="1"/>
  <c r="J38" i="1" s="1"/>
  <c r="M38" i="1" s="1"/>
  <c r="C38" i="1"/>
  <c r="W37" i="1"/>
  <c r="O37" i="1"/>
  <c r="N37" i="1"/>
  <c r="G37" i="1"/>
  <c r="F37" i="1"/>
  <c r="J37" i="1" s="1"/>
  <c r="M37" i="1" s="1"/>
  <c r="C37" i="1"/>
  <c r="H37" i="1" s="1"/>
  <c r="W36" i="1"/>
  <c r="O36" i="1"/>
  <c r="N36" i="1"/>
  <c r="J36" i="1"/>
  <c r="M36" i="1" s="1"/>
  <c r="H36" i="1"/>
  <c r="G36" i="1"/>
  <c r="F36" i="1"/>
  <c r="C36" i="1"/>
  <c r="W35" i="1"/>
  <c r="O35" i="1"/>
  <c r="N35" i="1"/>
  <c r="J35" i="1"/>
  <c r="M35" i="1" s="1"/>
  <c r="H35" i="1"/>
  <c r="G35" i="1"/>
  <c r="F35" i="1"/>
  <c r="C35" i="1"/>
  <c r="W34" i="1"/>
  <c r="O34" i="1"/>
  <c r="N34" i="1"/>
  <c r="H34" i="1"/>
  <c r="G34" i="1"/>
  <c r="K34" i="1" s="1"/>
  <c r="F34" i="1"/>
  <c r="J34" i="1" s="1"/>
  <c r="M34" i="1" s="1"/>
  <c r="C34" i="1"/>
  <c r="W33" i="1"/>
  <c r="O33" i="1"/>
  <c r="N33" i="1"/>
  <c r="J33" i="1"/>
  <c r="M33" i="1" s="1"/>
  <c r="G33" i="1"/>
  <c r="F33" i="1"/>
  <c r="C33" i="1"/>
  <c r="H33" i="1" s="1"/>
  <c r="W32" i="1"/>
  <c r="O32" i="1"/>
  <c r="N32" i="1"/>
  <c r="H32" i="1"/>
  <c r="G32" i="1"/>
  <c r="F32" i="1"/>
  <c r="J32" i="1" s="1"/>
  <c r="M32" i="1" s="1"/>
  <c r="C32" i="1"/>
  <c r="Z31" i="1"/>
  <c r="W31" i="1"/>
  <c r="O31" i="1"/>
  <c r="N31" i="1"/>
  <c r="J31" i="1"/>
  <c r="M31" i="1" s="1"/>
  <c r="G31" i="1"/>
  <c r="F31" i="1"/>
  <c r="C31" i="1"/>
  <c r="H31" i="1" s="1"/>
  <c r="Z30" i="1"/>
  <c r="W30" i="1"/>
  <c r="O30" i="1"/>
  <c r="N30" i="1"/>
  <c r="J30" i="1"/>
  <c r="M30" i="1" s="1"/>
  <c r="H30" i="1"/>
  <c r="G30" i="1"/>
  <c r="F30" i="1"/>
  <c r="C30" i="1"/>
  <c r="Z29" i="1"/>
  <c r="W29" i="1"/>
  <c r="O29" i="1"/>
  <c r="N29" i="1"/>
  <c r="J29" i="1"/>
  <c r="M29" i="1" s="1"/>
  <c r="H29" i="1"/>
  <c r="G29" i="1"/>
  <c r="F29" i="1"/>
  <c r="C29" i="1"/>
  <c r="Z28" i="1"/>
  <c r="W28" i="1"/>
  <c r="O28" i="1"/>
  <c r="N28" i="1"/>
  <c r="J28" i="1"/>
  <c r="M28" i="1" s="1"/>
  <c r="H28" i="1"/>
  <c r="G28" i="1"/>
  <c r="F28" i="1"/>
  <c r="C28" i="1"/>
  <c r="Z27" i="1"/>
  <c r="W27" i="1"/>
  <c r="O27" i="1"/>
  <c r="N27" i="1"/>
  <c r="J27" i="1"/>
  <c r="M27" i="1" s="1"/>
  <c r="H27" i="1"/>
  <c r="G27" i="1"/>
  <c r="F27" i="1"/>
  <c r="C27" i="1"/>
  <c r="Z26" i="1"/>
  <c r="W26" i="1"/>
  <c r="O26" i="1"/>
  <c r="N26" i="1"/>
  <c r="J26" i="1"/>
  <c r="M26" i="1" s="1"/>
  <c r="H26" i="1"/>
  <c r="G26" i="1"/>
  <c r="F26" i="1"/>
  <c r="C26" i="1"/>
  <c r="Z25" i="1"/>
  <c r="W25" i="1"/>
  <c r="O25" i="1"/>
  <c r="N25" i="1"/>
  <c r="J25" i="1"/>
  <c r="M25" i="1" s="1"/>
  <c r="H25" i="1"/>
  <c r="G25" i="1"/>
  <c r="F25" i="1"/>
  <c r="C25" i="1"/>
  <c r="Z24" i="1"/>
  <c r="W24" i="1"/>
  <c r="O24" i="1"/>
  <c r="N24" i="1"/>
  <c r="J24" i="1"/>
  <c r="M24" i="1" s="1"/>
  <c r="H24" i="1"/>
  <c r="G24" i="1"/>
  <c r="F24" i="1"/>
  <c r="C24" i="1"/>
  <c r="Z23" i="1"/>
  <c r="W23" i="1"/>
  <c r="O23" i="1"/>
  <c r="N23" i="1"/>
  <c r="J23" i="1"/>
  <c r="M23" i="1" s="1"/>
  <c r="H23" i="1"/>
  <c r="G23" i="1"/>
  <c r="F23" i="1"/>
  <c r="C23" i="1"/>
  <c r="Z22" i="1"/>
  <c r="W22" i="1"/>
  <c r="O22" i="1"/>
  <c r="N22" i="1"/>
  <c r="J22" i="1"/>
  <c r="M22" i="1" s="1"/>
  <c r="H22" i="1"/>
  <c r="G22" i="1"/>
  <c r="F22" i="1"/>
  <c r="C22" i="1"/>
  <c r="Z21" i="1"/>
  <c r="W21" i="1"/>
  <c r="O21" i="1"/>
  <c r="N21" i="1"/>
  <c r="J21" i="1"/>
  <c r="M21" i="1" s="1"/>
  <c r="H21" i="1"/>
  <c r="G21" i="1"/>
  <c r="F21" i="1"/>
  <c r="C21" i="1"/>
  <c r="Z20" i="1"/>
  <c r="W20" i="1"/>
  <c r="O20" i="1"/>
  <c r="N20" i="1"/>
  <c r="J20" i="1"/>
  <c r="M20" i="1" s="1"/>
  <c r="H20" i="1"/>
  <c r="G20" i="1"/>
  <c r="F20" i="1"/>
  <c r="C20" i="1"/>
  <c r="Z19" i="1"/>
  <c r="W19" i="1"/>
  <c r="O19" i="1"/>
  <c r="N19" i="1"/>
  <c r="J19" i="1"/>
  <c r="M19" i="1" s="1"/>
  <c r="H19" i="1"/>
  <c r="G19" i="1"/>
  <c r="F19" i="1"/>
  <c r="C19" i="1"/>
  <c r="Z18" i="1"/>
  <c r="W18" i="1"/>
  <c r="O18" i="1"/>
  <c r="N18" i="1"/>
  <c r="J18" i="1"/>
  <c r="M18" i="1" s="1"/>
  <c r="H18" i="1"/>
  <c r="G18" i="1"/>
  <c r="F18" i="1"/>
  <c r="C18" i="1"/>
  <c r="Z17" i="1"/>
  <c r="W17" i="1"/>
  <c r="O17" i="1"/>
  <c r="N17" i="1"/>
  <c r="J17" i="1"/>
  <c r="M17" i="1" s="1"/>
  <c r="H17" i="1"/>
  <c r="G17" i="1"/>
  <c r="F17" i="1"/>
  <c r="C17" i="1"/>
  <c r="Z16" i="1"/>
  <c r="W16" i="1"/>
  <c r="O16" i="1"/>
  <c r="N16" i="1"/>
  <c r="J16" i="1"/>
  <c r="M16" i="1" s="1"/>
  <c r="H16" i="1"/>
  <c r="G16" i="1"/>
  <c r="F16" i="1"/>
  <c r="C16" i="1"/>
  <c r="Z15" i="1"/>
  <c r="W15" i="1"/>
  <c r="O15" i="1"/>
  <c r="N15" i="1"/>
  <c r="J15" i="1"/>
  <c r="M15" i="1" s="1"/>
  <c r="H15" i="1"/>
  <c r="G15" i="1"/>
  <c r="F15" i="1"/>
  <c r="C15" i="1"/>
  <c r="Z14" i="1"/>
  <c r="W14" i="1"/>
  <c r="O14" i="1"/>
  <c r="N14" i="1"/>
  <c r="J14" i="1"/>
  <c r="M14" i="1" s="1"/>
  <c r="H14" i="1"/>
  <c r="G14" i="1"/>
  <c r="F14" i="1"/>
  <c r="C14" i="1"/>
  <c r="Z13" i="1"/>
  <c r="W13" i="1"/>
  <c r="O13" i="1"/>
  <c r="N13" i="1"/>
  <c r="J13" i="1"/>
  <c r="M13" i="1" s="1"/>
  <c r="H13" i="1"/>
  <c r="G13" i="1"/>
  <c r="F13" i="1"/>
  <c r="C13" i="1"/>
  <c r="Z12" i="1"/>
  <c r="W12" i="1"/>
  <c r="O12" i="1"/>
  <c r="N12" i="1"/>
  <c r="J12" i="1"/>
  <c r="M12" i="1" s="1"/>
  <c r="G12" i="1"/>
  <c r="F12" i="1"/>
  <c r="C12" i="1"/>
  <c r="H12" i="1" s="1"/>
  <c r="Z11" i="1"/>
  <c r="W11" i="1"/>
  <c r="O11" i="1"/>
  <c r="N11" i="1"/>
  <c r="H11" i="1"/>
  <c r="G11" i="1"/>
  <c r="F11" i="1"/>
  <c r="J11" i="1" s="1"/>
  <c r="M11" i="1" s="1"/>
  <c r="C11" i="1"/>
  <c r="Z10" i="1"/>
  <c r="W10" i="1"/>
  <c r="O10" i="1"/>
  <c r="N10" i="1"/>
  <c r="H10" i="1"/>
  <c r="G10" i="1"/>
  <c r="F10" i="1"/>
  <c r="J10" i="1" s="1"/>
  <c r="M10" i="1" s="1"/>
  <c r="C10" i="1"/>
  <c r="Z9" i="1"/>
  <c r="W9" i="1"/>
  <c r="O9" i="1"/>
  <c r="N9" i="1"/>
  <c r="H9" i="1"/>
  <c r="G9" i="1"/>
  <c r="F9" i="1"/>
  <c r="J9" i="1" s="1"/>
  <c r="M9" i="1" s="1"/>
  <c r="C9" i="1"/>
  <c r="Z8" i="1"/>
  <c r="W8" i="1"/>
  <c r="O8" i="1"/>
  <c r="N8" i="1"/>
  <c r="H8" i="1"/>
  <c r="G8" i="1"/>
  <c r="F8" i="1"/>
  <c r="J8" i="1" s="1"/>
  <c r="M8" i="1" s="1"/>
  <c r="C8" i="1"/>
  <c r="AC7" i="1"/>
  <c r="AC11" i="1" s="1"/>
  <c r="AC12" i="1" s="1"/>
  <c r="Z7" i="1"/>
  <c r="W7" i="1"/>
  <c r="O7" i="1"/>
  <c r="N7" i="1"/>
  <c r="M7" i="1"/>
  <c r="J7" i="1"/>
  <c r="H7" i="1"/>
  <c r="G7" i="1"/>
  <c r="K7" i="1" s="1"/>
  <c r="F7" i="1"/>
  <c r="C7" i="1"/>
  <c r="Z6" i="1"/>
  <c r="W6" i="1"/>
  <c r="O6" i="1"/>
  <c r="N6" i="1"/>
  <c r="M6" i="1"/>
  <c r="J6" i="1"/>
  <c r="H6" i="1"/>
  <c r="G6" i="1"/>
  <c r="K6" i="1" s="1"/>
  <c r="P6" i="1" s="1"/>
  <c r="F6" i="1"/>
  <c r="C6" i="1"/>
  <c r="Z5" i="1"/>
  <c r="W5" i="1"/>
  <c r="O5" i="1"/>
  <c r="N5" i="1"/>
  <c r="M5" i="1"/>
  <c r="J5" i="1"/>
  <c r="H5" i="1"/>
  <c r="G5" i="1"/>
  <c r="K5" i="1" s="1"/>
  <c r="P5" i="1" s="1"/>
  <c r="F5" i="1"/>
  <c r="C5" i="1"/>
  <c r="Z4" i="1"/>
  <c r="W4" i="1"/>
  <c r="O4" i="1"/>
  <c r="N4" i="1"/>
  <c r="M4" i="1"/>
  <c r="J4" i="1"/>
  <c r="H4" i="1"/>
  <c r="G4" i="1"/>
  <c r="K4" i="1" s="1"/>
  <c r="P4" i="1" s="1"/>
  <c r="F4" i="1"/>
  <c r="C4" i="1"/>
  <c r="S2" i="1"/>
  <c r="N2" i="1"/>
  <c r="K274" i="1" s="1"/>
  <c r="P274" i="1" s="1"/>
  <c r="P7" i="1" l="1"/>
  <c r="P41" i="1"/>
  <c r="P34" i="1"/>
  <c r="P38" i="1"/>
  <c r="K49" i="1"/>
  <c r="P49" i="1" s="1"/>
  <c r="K53" i="1"/>
  <c r="P53" i="1" s="1"/>
  <c r="K81" i="1"/>
  <c r="P81" i="1" s="1"/>
  <c r="K89" i="1"/>
  <c r="P89" i="1" s="1"/>
  <c r="K97" i="1"/>
  <c r="P97" i="1" s="1"/>
  <c r="K101" i="1"/>
  <c r="P101" i="1" s="1"/>
  <c r="K149" i="1"/>
  <c r="P149" i="1" s="1"/>
  <c r="K157" i="1"/>
  <c r="P157" i="1" s="1"/>
  <c r="K165" i="1"/>
  <c r="P165" i="1" s="1"/>
  <c r="K173" i="1"/>
  <c r="P173" i="1" s="1"/>
  <c r="K181" i="1"/>
  <c r="P181" i="1" s="1"/>
  <c r="K196" i="1"/>
  <c r="P196" i="1" s="1"/>
  <c r="K213" i="1"/>
  <c r="P213" i="1" s="1"/>
  <c r="K244" i="1"/>
  <c r="P244" i="1" s="1"/>
  <c r="K31" i="1"/>
  <c r="P31" i="1" s="1"/>
  <c r="K33" i="1"/>
  <c r="P33" i="1" s="1"/>
  <c r="K42" i="1"/>
  <c r="P42" i="1" s="1"/>
  <c r="K43" i="1"/>
  <c r="P43" i="1" s="1"/>
  <c r="K46" i="1"/>
  <c r="P46" i="1" s="1"/>
  <c r="K47" i="1"/>
  <c r="P47" i="1" s="1"/>
  <c r="K50" i="1"/>
  <c r="P50" i="1" s="1"/>
  <c r="K51" i="1"/>
  <c r="P51" i="1" s="1"/>
  <c r="K54" i="1"/>
  <c r="P54" i="1" s="1"/>
  <c r="K55" i="1"/>
  <c r="P55" i="1" s="1"/>
  <c r="K58" i="1"/>
  <c r="P58" i="1" s="1"/>
  <c r="K59" i="1"/>
  <c r="P59" i="1" s="1"/>
  <c r="K62" i="1"/>
  <c r="P62" i="1" s="1"/>
  <c r="K63" i="1"/>
  <c r="P63" i="1" s="1"/>
  <c r="K66" i="1"/>
  <c r="P66" i="1" s="1"/>
  <c r="K67" i="1"/>
  <c r="P67" i="1" s="1"/>
  <c r="K70" i="1"/>
  <c r="P70" i="1" s="1"/>
  <c r="K71" i="1"/>
  <c r="P71" i="1" s="1"/>
  <c r="K74" i="1"/>
  <c r="P74" i="1" s="1"/>
  <c r="K75" i="1"/>
  <c r="P75" i="1" s="1"/>
  <c r="K78" i="1"/>
  <c r="P78" i="1" s="1"/>
  <c r="K79" i="1"/>
  <c r="P79" i="1" s="1"/>
  <c r="K82" i="1"/>
  <c r="P82" i="1" s="1"/>
  <c r="K83" i="1"/>
  <c r="P83" i="1" s="1"/>
  <c r="K86" i="1"/>
  <c r="P86" i="1" s="1"/>
  <c r="K87" i="1"/>
  <c r="P87" i="1" s="1"/>
  <c r="K90" i="1"/>
  <c r="P90" i="1" s="1"/>
  <c r="K91" i="1"/>
  <c r="P91" i="1" s="1"/>
  <c r="K94" i="1"/>
  <c r="P94" i="1" s="1"/>
  <c r="K95" i="1"/>
  <c r="P95" i="1" s="1"/>
  <c r="K98" i="1"/>
  <c r="P98" i="1" s="1"/>
  <c r="K99" i="1"/>
  <c r="P99" i="1" s="1"/>
  <c r="K102" i="1"/>
  <c r="P102" i="1" s="1"/>
  <c r="K103" i="1"/>
  <c r="P103" i="1" s="1"/>
  <c r="K106" i="1"/>
  <c r="P106" i="1" s="1"/>
  <c r="K111" i="1"/>
  <c r="P111" i="1" s="1"/>
  <c r="K122" i="1"/>
  <c r="P122" i="1" s="1"/>
  <c r="K124" i="1"/>
  <c r="P124" i="1" s="1"/>
  <c r="K130" i="1"/>
  <c r="P130" i="1" s="1"/>
  <c r="K138" i="1"/>
  <c r="P138" i="1" s="1"/>
  <c r="K140" i="1"/>
  <c r="P140" i="1" s="1"/>
  <c r="K230" i="1"/>
  <c r="P230" i="1" s="1"/>
  <c r="K232" i="1"/>
  <c r="P232" i="1" s="1"/>
  <c r="K265" i="1"/>
  <c r="P265" i="1" s="1"/>
  <c r="K266" i="1"/>
  <c r="P266" i="1" s="1"/>
  <c r="K272" i="1"/>
  <c r="P272" i="1" s="1"/>
  <c r="K297" i="1"/>
  <c r="P297" i="1" s="1"/>
  <c r="K298" i="1"/>
  <c r="P298" i="1" s="1"/>
  <c r="L3" i="3"/>
  <c r="L108" i="3"/>
  <c r="K61" i="1"/>
  <c r="P61" i="1" s="1"/>
  <c r="K69" i="1"/>
  <c r="P69" i="1" s="1"/>
  <c r="K73" i="1"/>
  <c r="P73" i="1" s="1"/>
  <c r="K77" i="1"/>
  <c r="P77" i="1" s="1"/>
  <c r="K85" i="1"/>
  <c r="P85" i="1" s="1"/>
  <c r="K105" i="1"/>
  <c r="P105" i="1" s="1"/>
  <c r="K127" i="1"/>
  <c r="P127" i="1" s="1"/>
  <c r="K172" i="1"/>
  <c r="P172" i="1" s="1"/>
  <c r="K180" i="1"/>
  <c r="P180" i="1" s="1"/>
  <c r="K188" i="1"/>
  <c r="P188" i="1" s="1"/>
  <c r="K204" i="1"/>
  <c r="P204" i="1" s="1"/>
  <c r="K212" i="1"/>
  <c r="P212" i="1" s="1"/>
  <c r="K235" i="1"/>
  <c r="P235" i="1" s="1"/>
  <c r="K258" i="1"/>
  <c r="P258" i="1" s="1"/>
  <c r="K264" i="1"/>
  <c r="P264" i="1" s="1"/>
  <c r="K289" i="1"/>
  <c r="P289" i="1" s="1"/>
  <c r="K14" i="1"/>
  <c r="P14" i="1" s="1"/>
  <c r="K15" i="1"/>
  <c r="P15" i="1" s="1"/>
  <c r="K16" i="1"/>
  <c r="P16" i="1" s="1"/>
  <c r="K17" i="1"/>
  <c r="P17" i="1" s="1"/>
  <c r="K20" i="1"/>
  <c r="P20" i="1" s="1"/>
  <c r="K21" i="1"/>
  <c r="P21" i="1" s="1"/>
  <c r="K24" i="1"/>
  <c r="P24" i="1" s="1"/>
  <c r="K25" i="1"/>
  <c r="P25" i="1" s="1"/>
  <c r="K30" i="1"/>
  <c r="P30" i="1" s="1"/>
  <c r="K110" i="1"/>
  <c r="P110" i="1" s="1"/>
  <c r="K115" i="1"/>
  <c r="P115" i="1" s="1"/>
  <c r="K118" i="1"/>
  <c r="P118" i="1" s="1"/>
  <c r="K123" i="1"/>
  <c r="P123" i="1" s="1"/>
  <c r="K134" i="1"/>
  <c r="P134" i="1" s="1"/>
  <c r="K139" i="1"/>
  <c r="P139" i="1" s="1"/>
  <c r="K143" i="1"/>
  <c r="P143" i="1" s="1"/>
  <c r="K145" i="1"/>
  <c r="P145" i="1" s="1"/>
  <c r="K147" i="1"/>
  <c r="P147" i="1" s="1"/>
  <c r="K151" i="1"/>
  <c r="P151" i="1" s="1"/>
  <c r="K153" i="1"/>
  <c r="P153" i="1" s="1"/>
  <c r="K155" i="1"/>
  <c r="P155" i="1" s="1"/>
  <c r="K159" i="1"/>
  <c r="P159" i="1" s="1"/>
  <c r="K161" i="1"/>
  <c r="P161" i="1" s="1"/>
  <c r="K163" i="1"/>
  <c r="P163" i="1" s="1"/>
  <c r="K167" i="1"/>
  <c r="P167" i="1" s="1"/>
  <c r="K169" i="1"/>
  <c r="P169" i="1" s="1"/>
  <c r="K171" i="1"/>
  <c r="P171" i="1" s="1"/>
  <c r="K175" i="1"/>
  <c r="P175" i="1" s="1"/>
  <c r="K177" i="1"/>
  <c r="P177" i="1" s="1"/>
  <c r="K179" i="1"/>
  <c r="P179" i="1" s="1"/>
  <c r="K183" i="1"/>
  <c r="P183" i="1" s="1"/>
  <c r="K185" i="1"/>
  <c r="P185" i="1" s="1"/>
  <c r="K187" i="1"/>
  <c r="P187" i="1" s="1"/>
  <c r="K191" i="1"/>
  <c r="P191" i="1" s="1"/>
  <c r="K193" i="1"/>
  <c r="P193" i="1" s="1"/>
  <c r="K195" i="1"/>
  <c r="P195" i="1" s="1"/>
  <c r="K199" i="1"/>
  <c r="P199" i="1" s="1"/>
  <c r="K201" i="1"/>
  <c r="P201" i="1" s="1"/>
  <c r="K203" i="1"/>
  <c r="P203" i="1" s="1"/>
  <c r="K207" i="1"/>
  <c r="P207" i="1" s="1"/>
  <c r="K209" i="1"/>
  <c r="P209" i="1" s="1"/>
  <c r="K211" i="1"/>
  <c r="P211" i="1" s="1"/>
  <c r="K215" i="1"/>
  <c r="P215" i="1" s="1"/>
  <c r="K217" i="1"/>
  <c r="P217" i="1" s="1"/>
  <c r="K219" i="1"/>
  <c r="P219" i="1" s="1"/>
  <c r="K223" i="1"/>
  <c r="P223" i="1" s="1"/>
  <c r="K273" i="1"/>
  <c r="P273" i="1" s="1"/>
  <c r="K280" i="1"/>
  <c r="P280" i="1" s="1"/>
  <c r="L57" i="3"/>
  <c r="I1" i="3"/>
  <c r="L193" i="3" s="1"/>
  <c r="K300" i="1"/>
  <c r="P300" i="1" s="1"/>
  <c r="K292" i="1"/>
  <c r="P292" i="1" s="1"/>
  <c r="K284" i="1"/>
  <c r="P284" i="1" s="1"/>
  <c r="K276" i="1"/>
  <c r="P276" i="1" s="1"/>
  <c r="K268" i="1"/>
  <c r="P268" i="1" s="1"/>
  <c r="K260" i="1"/>
  <c r="P260" i="1" s="1"/>
  <c r="K252" i="1"/>
  <c r="P252" i="1" s="1"/>
  <c r="K225" i="1"/>
  <c r="P225" i="1" s="1"/>
  <c r="K129" i="1"/>
  <c r="P129" i="1" s="1"/>
  <c r="K248" i="1"/>
  <c r="P248" i="1" s="1"/>
  <c r="K246" i="1"/>
  <c r="P246" i="1" s="1"/>
  <c r="K224" i="1"/>
  <c r="P224" i="1" s="1"/>
  <c r="K133" i="1"/>
  <c r="P133" i="1" s="1"/>
  <c r="K116" i="1"/>
  <c r="P116" i="1" s="1"/>
  <c r="K112" i="1"/>
  <c r="P112" i="1" s="1"/>
  <c r="K108" i="1"/>
  <c r="P108" i="1" s="1"/>
  <c r="K104" i="1"/>
  <c r="P104" i="1" s="1"/>
  <c r="K100" i="1"/>
  <c r="P100" i="1" s="1"/>
  <c r="K96" i="1"/>
  <c r="P96" i="1" s="1"/>
  <c r="K92" i="1"/>
  <c r="P92" i="1" s="1"/>
  <c r="K88" i="1"/>
  <c r="P88" i="1" s="1"/>
  <c r="K84" i="1"/>
  <c r="P84" i="1" s="1"/>
  <c r="K80" i="1"/>
  <c r="P80" i="1" s="1"/>
  <c r="K76" i="1"/>
  <c r="P76" i="1" s="1"/>
  <c r="K72" i="1"/>
  <c r="P72" i="1" s="1"/>
  <c r="K68" i="1"/>
  <c r="P68" i="1" s="1"/>
  <c r="K64" i="1"/>
  <c r="P64" i="1" s="1"/>
  <c r="K60" i="1"/>
  <c r="P60" i="1" s="1"/>
  <c r="K56" i="1"/>
  <c r="P56" i="1" s="1"/>
  <c r="K52" i="1"/>
  <c r="P52" i="1" s="1"/>
  <c r="K48" i="1"/>
  <c r="P48" i="1" s="1"/>
  <c r="K44" i="1"/>
  <c r="P44" i="1" s="1"/>
  <c r="K240" i="1"/>
  <c r="P240" i="1" s="1"/>
  <c r="K238" i="1"/>
  <c r="P238" i="1" s="1"/>
  <c r="K137" i="1"/>
  <c r="P137" i="1" s="1"/>
  <c r="K135" i="1"/>
  <c r="P135" i="1" s="1"/>
  <c r="K126" i="1"/>
  <c r="P126" i="1" s="1"/>
  <c r="K121" i="1"/>
  <c r="P121" i="1" s="1"/>
  <c r="K119" i="1"/>
  <c r="P119" i="1" s="1"/>
  <c r="K117" i="1"/>
  <c r="P117" i="1" s="1"/>
  <c r="K113" i="1"/>
  <c r="P113" i="1" s="1"/>
  <c r="K109" i="1"/>
  <c r="P109" i="1" s="1"/>
  <c r="K8" i="1"/>
  <c r="P8" i="1" s="1"/>
  <c r="K9" i="1"/>
  <c r="P9" i="1" s="1"/>
  <c r="K10" i="1"/>
  <c r="P10" i="1" s="1"/>
  <c r="K11" i="1"/>
  <c r="P11" i="1" s="1"/>
  <c r="K32" i="1"/>
  <c r="P32" i="1" s="1"/>
  <c r="K37" i="1"/>
  <c r="P37" i="1" s="1"/>
  <c r="K45" i="1"/>
  <c r="P45" i="1" s="1"/>
  <c r="K57" i="1"/>
  <c r="P57" i="1" s="1"/>
  <c r="K65" i="1"/>
  <c r="P65" i="1" s="1"/>
  <c r="K93" i="1"/>
  <c r="P93" i="1" s="1"/>
  <c r="K107" i="1"/>
  <c r="P107" i="1" s="1"/>
  <c r="K131" i="1"/>
  <c r="P131" i="1" s="1"/>
  <c r="K141" i="1"/>
  <c r="P141" i="1" s="1"/>
  <c r="K148" i="1"/>
  <c r="P148" i="1" s="1"/>
  <c r="K156" i="1"/>
  <c r="P156" i="1" s="1"/>
  <c r="K164" i="1"/>
  <c r="P164" i="1" s="1"/>
  <c r="K189" i="1"/>
  <c r="P189" i="1" s="1"/>
  <c r="K197" i="1"/>
  <c r="P197" i="1" s="1"/>
  <c r="K205" i="1"/>
  <c r="P205" i="1" s="1"/>
  <c r="K220" i="1"/>
  <c r="P220" i="1" s="1"/>
  <c r="K221" i="1"/>
  <c r="P221" i="1" s="1"/>
  <c r="K257" i="1"/>
  <c r="P257" i="1" s="1"/>
  <c r="K290" i="1"/>
  <c r="P290" i="1" s="1"/>
  <c r="K296" i="1"/>
  <c r="P296" i="1" s="1"/>
  <c r="L177" i="3"/>
  <c r="L194" i="3"/>
  <c r="K12" i="1"/>
  <c r="P12" i="1" s="1"/>
  <c r="K13" i="1"/>
  <c r="P13" i="1" s="1"/>
  <c r="K18" i="1"/>
  <c r="P18" i="1" s="1"/>
  <c r="K19" i="1"/>
  <c r="P19" i="1" s="1"/>
  <c r="K22" i="1"/>
  <c r="P22" i="1" s="1"/>
  <c r="K23" i="1"/>
  <c r="P23" i="1" s="1"/>
  <c r="K26" i="1"/>
  <c r="P26" i="1" s="1"/>
  <c r="K27" i="1"/>
  <c r="P27" i="1" s="1"/>
  <c r="K28" i="1"/>
  <c r="P28" i="1" s="1"/>
  <c r="K29" i="1"/>
  <c r="P29" i="1" s="1"/>
  <c r="K39" i="1"/>
  <c r="P39" i="1" s="1"/>
  <c r="K40" i="1"/>
  <c r="P40" i="1" s="1"/>
  <c r="K35" i="1"/>
  <c r="P35" i="1" s="1"/>
  <c r="K36" i="1"/>
  <c r="P36" i="1" s="1"/>
  <c r="K114" i="1"/>
  <c r="P114" i="1" s="1"/>
  <c r="K125" i="1"/>
  <c r="P125" i="1" s="1"/>
  <c r="K249" i="1"/>
  <c r="P249" i="1" s="1"/>
  <c r="K250" i="1"/>
  <c r="P250" i="1" s="1"/>
  <c r="K256" i="1"/>
  <c r="P256" i="1" s="1"/>
  <c r="K281" i="1"/>
  <c r="P281" i="1" s="1"/>
  <c r="K282" i="1"/>
  <c r="P282" i="1" s="1"/>
  <c r="K288" i="1"/>
  <c r="P288" i="1" s="1"/>
  <c r="L23" i="3"/>
  <c r="L32" i="3"/>
  <c r="L75" i="3"/>
  <c r="K120" i="1"/>
  <c r="P120" i="1" s="1"/>
  <c r="K136" i="1"/>
  <c r="P136" i="1" s="1"/>
  <c r="K142" i="1"/>
  <c r="P142" i="1" s="1"/>
  <c r="K146" i="1"/>
  <c r="P146" i="1" s="1"/>
  <c r="K154" i="1"/>
  <c r="P154" i="1" s="1"/>
  <c r="K162" i="1"/>
  <c r="P162" i="1" s="1"/>
  <c r="K170" i="1"/>
  <c r="P170" i="1" s="1"/>
  <c r="K178" i="1"/>
  <c r="P178" i="1" s="1"/>
  <c r="K186" i="1"/>
  <c r="P186" i="1" s="1"/>
  <c r="K194" i="1"/>
  <c r="P194" i="1" s="1"/>
  <c r="K202" i="1"/>
  <c r="P202" i="1" s="1"/>
  <c r="K210" i="1"/>
  <c r="P210" i="1" s="1"/>
  <c r="K218" i="1"/>
  <c r="P218" i="1" s="1"/>
  <c r="K226" i="1"/>
  <c r="P226" i="1" s="1"/>
  <c r="K243" i="1"/>
  <c r="P243" i="1" s="1"/>
  <c r="L14" i="3"/>
  <c r="L29" i="3"/>
  <c r="L30" i="3"/>
  <c r="L59" i="3"/>
  <c r="L66" i="3"/>
  <c r="L78" i="3"/>
  <c r="L93" i="3"/>
  <c r="L94" i="3"/>
  <c r="L128" i="3"/>
  <c r="L171" i="3"/>
  <c r="L175" i="3"/>
  <c r="L189" i="3"/>
  <c r="L190" i="3"/>
  <c r="K132" i="1"/>
  <c r="P132" i="1" s="1"/>
  <c r="K144" i="1"/>
  <c r="P144" i="1" s="1"/>
  <c r="K152" i="1"/>
  <c r="P152" i="1" s="1"/>
  <c r="K160" i="1"/>
  <c r="P160" i="1" s="1"/>
  <c r="K168" i="1"/>
  <c r="P168" i="1" s="1"/>
  <c r="K176" i="1"/>
  <c r="P176" i="1" s="1"/>
  <c r="K184" i="1"/>
  <c r="P184" i="1" s="1"/>
  <c r="K192" i="1"/>
  <c r="P192" i="1" s="1"/>
  <c r="K200" i="1"/>
  <c r="P200" i="1" s="1"/>
  <c r="K208" i="1"/>
  <c r="P208" i="1" s="1"/>
  <c r="K216" i="1"/>
  <c r="P216" i="1" s="1"/>
  <c r="K228" i="1"/>
  <c r="P228" i="1" s="1"/>
  <c r="K233" i="1"/>
  <c r="P233" i="1" s="1"/>
  <c r="K234" i="1"/>
  <c r="P234" i="1" s="1"/>
  <c r="K254" i="1"/>
  <c r="P254" i="1" s="1"/>
  <c r="K262" i="1"/>
  <c r="P262" i="1" s="1"/>
  <c r="K270" i="1"/>
  <c r="P270" i="1" s="1"/>
  <c r="K278" i="1"/>
  <c r="P278" i="1" s="1"/>
  <c r="K286" i="1"/>
  <c r="P286" i="1" s="1"/>
  <c r="K294" i="1"/>
  <c r="P294" i="1" s="1"/>
  <c r="K302" i="1"/>
  <c r="P302" i="1" s="1"/>
  <c r="L12" i="3"/>
  <c r="L25" i="3"/>
  <c r="L26" i="3"/>
  <c r="L55" i="3"/>
  <c r="L64" i="3"/>
  <c r="L76" i="3"/>
  <c r="L89" i="3"/>
  <c r="L90" i="3"/>
  <c r="L106" i="3"/>
  <c r="K109" i="3"/>
  <c r="L109" i="3" s="1"/>
  <c r="L110" i="3"/>
  <c r="L116" i="3"/>
  <c r="K128" i="1"/>
  <c r="P128" i="1" s="1"/>
  <c r="K150" i="1"/>
  <c r="P150" i="1" s="1"/>
  <c r="K158" i="1"/>
  <c r="P158" i="1" s="1"/>
  <c r="K166" i="1"/>
  <c r="P166" i="1" s="1"/>
  <c r="K174" i="1"/>
  <c r="P174" i="1" s="1"/>
  <c r="K182" i="1"/>
  <c r="P182" i="1" s="1"/>
  <c r="K190" i="1"/>
  <c r="P190" i="1" s="1"/>
  <c r="K198" i="1"/>
  <c r="P198" i="1" s="1"/>
  <c r="K206" i="1"/>
  <c r="P206" i="1" s="1"/>
  <c r="K214" i="1"/>
  <c r="P214" i="1" s="1"/>
  <c r="K222" i="1"/>
  <c r="P222" i="1" s="1"/>
  <c r="K227" i="1"/>
  <c r="P227" i="1" s="1"/>
  <c r="K236" i="1"/>
  <c r="P236" i="1" s="1"/>
  <c r="K241" i="1"/>
  <c r="P241" i="1" s="1"/>
  <c r="K242" i="1"/>
  <c r="P242" i="1" s="1"/>
  <c r="K255" i="1"/>
  <c r="P255" i="1" s="1"/>
  <c r="K263" i="1"/>
  <c r="P263" i="1" s="1"/>
  <c r="K271" i="1"/>
  <c r="P271" i="1" s="1"/>
  <c r="K279" i="1"/>
  <c r="P279" i="1" s="1"/>
  <c r="K287" i="1"/>
  <c r="P287" i="1" s="1"/>
  <c r="K295" i="1"/>
  <c r="P295" i="1" s="1"/>
  <c r="K303" i="1"/>
  <c r="P303" i="1" s="1"/>
  <c r="L27" i="3"/>
  <c r="L34" i="3"/>
  <c r="L46" i="3"/>
  <c r="L61" i="3"/>
  <c r="L62" i="3"/>
  <c r="L91" i="3"/>
  <c r="L98" i="3"/>
  <c r="L101" i="3"/>
  <c r="L102" i="3"/>
  <c r="L136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K229" i="1"/>
  <c r="P229" i="1" s="1"/>
  <c r="K237" i="1"/>
  <c r="P237" i="1" s="1"/>
  <c r="K245" i="1"/>
  <c r="P245" i="1" s="1"/>
  <c r="K253" i="1"/>
  <c r="P253" i="1" s="1"/>
  <c r="K261" i="1"/>
  <c r="P261" i="1" s="1"/>
  <c r="K269" i="1"/>
  <c r="P269" i="1" s="1"/>
  <c r="K277" i="1"/>
  <c r="P277" i="1" s="1"/>
  <c r="K285" i="1"/>
  <c r="P285" i="1" s="1"/>
  <c r="K293" i="1"/>
  <c r="P293" i="1" s="1"/>
  <c r="K301" i="1"/>
  <c r="P301" i="1" s="1"/>
  <c r="K9" i="3"/>
  <c r="L9" i="3" s="1"/>
  <c r="L10" i="3"/>
  <c r="L18" i="3"/>
  <c r="K41" i="3"/>
  <c r="L41" i="3" s="1"/>
  <c r="L42" i="3"/>
  <c r="L50" i="3"/>
  <c r="K73" i="3"/>
  <c r="L73" i="3" s="1"/>
  <c r="L74" i="3"/>
  <c r="L82" i="3"/>
  <c r="L114" i="3"/>
  <c r="K117" i="3"/>
  <c r="L117" i="3" s="1"/>
  <c r="L118" i="3"/>
  <c r="L145" i="3"/>
  <c r="L146" i="3"/>
  <c r="K231" i="1"/>
  <c r="P231" i="1" s="1"/>
  <c r="K239" i="1"/>
  <c r="P239" i="1" s="1"/>
  <c r="K247" i="1"/>
  <c r="P247" i="1" s="1"/>
  <c r="K251" i="1"/>
  <c r="P251" i="1" s="1"/>
  <c r="K259" i="1"/>
  <c r="P259" i="1" s="1"/>
  <c r="K267" i="1"/>
  <c r="P267" i="1" s="1"/>
  <c r="K275" i="1"/>
  <c r="P275" i="1" s="1"/>
  <c r="K283" i="1"/>
  <c r="P283" i="1" s="1"/>
  <c r="K291" i="1"/>
  <c r="P291" i="1" s="1"/>
  <c r="K299" i="1"/>
  <c r="P299" i="1" s="1"/>
  <c r="L2" i="3"/>
  <c r="L7" i="3"/>
  <c r="L13" i="3"/>
  <c r="L16" i="3"/>
  <c r="L28" i="3"/>
  <c r="L39" i="3"/>
  <c r="L45" i="3"/>
  <c r="L48" i="3"/>
  <c r="L60" i="3"/>
  <c r="L71" i="3"/>
  <c r="L77" i="3"/>
  <c r="L80" i="3"/>
  <c r="L92" i="3"/>
  <c r="L123" i="3"/>
  <c r="L126" i="3"/>
  <c r="L139" i="3"/>
  <c r="L143" i="3"/>
  <c r="L157" i="3"/>
  <c r="L158" i="3"/>
  <c r="K5" i="3"/>
  <c r="L5" i="3" s="1"/>
  <c r="K21" i="3"/>
  <c r="L21" i="3" s="1"/>
  <c r="K37" i="3"/>
  <c r="L37" i="3" s="1"/>
  <c r="K53" i="3"/>
  <c r="L53" i="3" s="1"/>
  <c r="K69" i="3"/>
  <c r="L69" i="3" s="1"/>
  <c r="K85" i="3"/>
  <c r="L85" i="3" s="1"/>
  <c r="K104" i="3"/>
  <c r="L104" i="3" s="1"/>
  <c r="K112" i="3"/>
  <c r="L112" i="3" s="1"/>
  <c r="K120" i="3"/>
  <c r="L120" i="3" s="1"/>
  <c r="L127" i="3"/>
  <c r="L155" i="3"/>
  <c r="L159" i="3"/>
  <c r="K161" i="3"/>
  <c r="L161" i="3" s="1"/>
  <c r="L162" i="3"/>
  <c r="L187" i="3"/>
  <c r="L191" i="3"/>
  <c r="L192" i="3"/>
  <c r="L6" i="3"/>
  <c r="L17" i="3"/>
  <c r="L22" i="3"/>
  <c r="L33" i="3"/>
  <c r="L38" i="3"/>
  <c r="L49" i="3"/>
  <c r="L54" i="3"/>
  <c r="L65" i="3"/>
  <c r="L70" i="3"/>
  <c r="L81" i="3"/>
  <c r="L86" i="3"/>
  <c r="L97" i="3"/>
  <c r="L105" i="3"/>
  <c r="L113" i="3"/>
  <c r="L121" i="3"/>
  <c r="L122" i="3"/>
  <c r="L131" i="3"/>
  <c r="L134" i="3"/>
  <c r="L135" i="3"/>
  <c r="L141" i="3"/>
  <c r="L142" i="3"/>
  <c r="L173" i="3"/>
  <c r="L174" i="3"/>
  <c r="K125" i="3"/>
  <c r="L125" i="3" s="1"/>
  <c r="K129" i="3"/>
  <c r="L129" i="3" s="1"/>
  <c r="K137" i="3"/>
  <c r="L137" i="3" s="1"/>
  <c r="L147" i="3"/>
  <c r="K149" i="3"/>
  <c r="L149" i="3" s="1"/>
  <c r="L150" i="3"/>
  <c r="L163" i="3"/>
  <c r="K165" i="3"/>
  <c r="L165" i="3" s="1"/>
  <c r="L166" i="3"/>
  <c r="L179" i="3"/>
  <c r="K181" i="3"/>
  <c r="L181" i="3" s="1"/>
  <c r="L182" i="3"/>
  <c r="L130" i="3"/>
  <c r="L138" i="3"/>
  <c r="L151" i="3"/>
  <c r="L153" i="3"/>
  <c r="L154" i="3"/>
  <c r="L167" i="3"/>
  <c r="L169" i="3"/>
  <c r="L170" i="3"/>
  <c r="L183" i="3"/>
  <c r="L185" i="3"/>
  <c r="L186" i="3"/>
  <c r="L44" i="3" l="1"/>
  <c r="L96" i="3"/>
  <c r="L188" i="3"/>
  <c r="L172" i="3"/>
  <c r="L156" i="3"/>
  <c r="L140" i="3"/>
  <c r="L132" i="3"/>
  <c r="L184" i="3"/>
  <c r="L168" i="3"/>
  <c r="L152" i="3"/>
  <c r="L176" i="3"/>
  <c r="L144" i="3"/>
  <c r="L133" i="3"/>
  <c r="L124" i="3"/>
  <c r="L115" i="3"/>
  <c r="L107" i="3"/>
  <c r="L99" i="3"/>
  <c r="L83" i="3"/>
  <c r="L67" i="3"/>
  <c r="L51" i="3"/>
  <c r="L35" i="3"/>
  <c r="L19" i="3"/>
  <c r="L164" i="3"/>
  <c r="L160" i="3"/>
  <c r="L88" i="3"/>
  <c r="L79" i="3"/>
  <c r="L56" i="3"/>
  <c r="L47" i="3"/>
  <c r="L24" i="3"/>
  <c r="L15" i="3"/>
  <c r="L148" i="3"/>
  <c r="L84" i="3"/>
  <c r="L52" i="3"/>
  <c r="L20" i="3"/>
  <c r="L100" i="3"/>
  <c r="L36" i="3"/>
  <c r="L72" i="3"/>
  <c r="L63" i="3"/>
  <c r="L8" i="3"/>
  <c r="L111" i="3"/>
  <c r="L68" i="3"/>
  <c r="L4" i="3"/>
  <c r="L31" i="3"/>
  <c r="L43" i="3"/>
  <c r="L40" i="3"/>
  <c r="L95" i="3"/>
  <c r="L180" i="3"/>
  <c r="L103" i="3"/>
  <c r="L87" i="3"/>
  <c r="L178" i="3"/>
  <c r="L58" i="3"/>
  <c r="L119" i="3"/>
  <c r="L11" i="3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<sst xmlns="http://schemas.openxmlformats.org/spreadsheetml/2006/main" count="40" uniqueCount="33">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</sst>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A3" zoomScale="85" zoomScaleNormal="85" workbookViewId="0">
      <selection activeCell="S4" sqref="S4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-0.52978999999999998</v>
      </c>
      <c r="AC3" t="s">
        <v>24</v>
      </c>
    </row>
    <row r="4" spans="1:29" x14ac:dyDescent="0.3">
      <c r="A4">
        <v>4.4283000000000003E-2</v>
      </c>
      <c r="B4">
        <v>0.92956000000000005</v>
      </c>
      <c r="C4">
        <f t="shared" ref="C4:C67" si="0">A4*B4</f>
        <v>4.1163705480000007E-2</v>
      </c>
      <c r="D4">
        <v>1.6E-2</v>
      </c>
      <c r="E4">
        <v>3.5999999999999999E-3</v>
      </c>
      <c r="F4">
        <f t="shared" ref="F4:F67" si="1">A4*200</f>
        <v>8.8566000000000003</v>
      </c>
      <c r="G4">
        <f t="shared" ref="G4:G67" si="2">-B4</f>
        <v>-0.92956000000000005</v>
      </c>
      <c r="H4">
        <f t="shared" ref="H4:H67" si="3">-C4*200</f>
        <v>-8.2327410960000016</v>
      </c>
      <c r="I4">
        <v>1</v>
      </c>
      <c r="J4">
        <f t="shared" ref="J4:J67" si="4">LN(F4/1000)</f>
        <v>-4.7265923351932679</v>
      </c>
      <c r="K4">
        <f t="shared" ref="K4:K67" si="5">((-G4)-$N$2)</f>
        <v>-0.2921651517752174</v>
      </c>
      <c r="L4">
        <v>1</v>
      </c>
      <c r="M4">
        <f t="shared" ref="M4:M67" si="6">-1*($S$4+($S$5*J4))</f>
        <v>0.32904720010491606</v>
      </c>
      <c r="N4">
        <f t="shared" ref="N4:N67" si="7">D4*A4</f>
        <v>7.0852800000000004E-4</v>
      </c>
      <c r="O4">
        <f t="shared" ref="O4:O67" si="8">E4*A4</f>
        <v>1.5941880000000001E-4</v>
      </c>
      <c r="P4">
        <f t="shared" ref="P4:P67" si="9">-K4-M4-N4-O4</f>
        <v>-3.7749995129698656E-2</v>
      </c>
      <c r="R4" s="2" t="s">
        <v>25</v>
      </c>
      <c r="S4">
        <v>-0.56220999999999999</v>
      </c>
      <c r="V4">
        <v>-6</v>
      </c>
      <c r="W4">
        <f t="shared" ref="W4:W35" si="10">V4*$S$5+$S$4</f>
        <v>-0.26622999999999997</v>
      </c>
      <c r="Y4">
        <v>0</v>
      </c>
      <c r="Z4">
        <f t="shared" ref="Z4:Z31" si="11">$AB$4*Y4+$AB$3</f>
        <v>-0.52978999999999998</v>
      </c>
      <c r="AB4">
        <v>15.088789999999999</v>
      </c>
      <c r="AC4" t="s">
        <v>26</v>
      </c>
    </row>
    <row r="5" spans="1:29" x14ac:dyDescent="0.3">
      <c r="A5">
        <v>0.1013063</v>
      </c>
      <c r="B5">
        <v>0.87971999999999995</v>
      </c>
      <c r="C5">
        <f t="shared" si="0"/>
        <v>8.9121178235999993E-2</v>
      </c>
      <c r="D5">
        <v>1.6E-2</v>
      </c>
      <c r="E5">
        <v>3.5999999999999999E-3</v>
      </c>
      <c r="F5">
        <f t="shared" si="1"/>
        <v>20.26126</v>
      </c>
      <c r="G5">
        <f t="shared" si="2"/>
        <v>-0.87971999999999995</v>
      </c>
      <c r="H5">
        <f t="shared" si="3"/>
        <v>-17.824235647199998</v>
      </c>
      <c r="I5">
        <v>1</v>
      </c>
      <c r="J5">
        <f t="shared" si="4"/>
        <v>-3.8990445905850462</v>
      </c>
      <c r="K5">
        <f t="shared" si="5"/>
        <v>-0.34200515177521751</v>
      </c>
      <c r="L5">
        <v>1</v>
      </c>
      <c r="M5">
        <f t="shared" si="6"/>
        <v>0.36987013034643967</v>
      </c>
      <c r="N5">
        <f t="shared" si="7"/>
        <v>1.6209008E-3</v>
      </c>
      <c r="O5">
        <f t="shared" si="8"/>
        <v>3.6470268E-4</v>
      </c>
      <c r="P5">
        <f t="shared" si="9"/>
        <v>-2.9850582051222162E-2</v>
      </c>
      <c r="R5" s="2" t="s">
        <v>27</v>
      </c>
      <c r="S5">
        <v>-4.9329999999999999E-2</v>
      </c>
      <c r="V5">
        <v>-5.9</v>
      </c>
      <c r="W5">
        <f t="shared" si="10"/>
        <v>-0.27116299999999999</v>
      </c>
      <c r="Y5">
        <v>0.01</v>
      </c>
      <c r="Z5">
        <f t="shared" si="11"/>
        <v>-0.37890210000000002</v>
      </c>
    </row>
    <row r="6" spans="1:29" x14ac:dyDescent="0.3">
      <c r="A6">
        <v>0.16236159999999999</v>
      </c>
      <c r="B6">
        <v>0.83218000000000003</v>
      </c>
      <c r="C6">
        <f t="shared" si="0"/>
        <v>0.13511407628800001</v>
      </c>
      <c r="D6">
        <v>1.6E-2</v>
      </c>
      <c r="E6">
        <v>3.5999999999999999E-3</v>
      </c>
      <c r="F6">
        <f t="shared" si="1"/>
        <v>32.472319999999996</v>
      </c>
      <c r="G6">
        <f t="shared" si="2"/>
        <v>-0.83218000000000003</v>
      </c>
      <c r="H6">
        <f t="shared" si="3"/>
        <v>-27.022815257600001</v>
      </c>
      <c r="I6">
        <v>1</v>
      </c>
      <c r="J6">
        <f t="shared" si="4"/>
        <v>-3.427367244850096</v>
      </c>
      <c r="K6">
        <f t="shared" si="5"/>
        <v>-0.38954515177521742</v>
      </c>
      <c r="L6">
        <v>1</v>
      </c>
      <c r="M6">
        <f t="shared" si="6"/>
        <v>0.39313797381154475</v>
      </c>
      <c r="N6">
        <f t="shared" si="7"/>
        <v>2.5977855999999998E-3</v>
      </c>
      <c r="O6">
        <f t="shared" si="8"/>
        <v>5.8450175999999996E-4</v>
      </c>
      <c r="P6">
        <f t="shared" si="9"/>
        <v>-6.7751093963273248E-3</v>
      </c>
      <c r="V6">
        <v>-5.8</v>
      </c>
      <c r="W6">
        <f t="shared" si="10"/>
        <v>-0.27609600000000001</v>
      </c>
      <c r="Y6">
        <v>0.02</v>
      </c>
      <c r="Z6">
        <f t="shared" si="11"/>
        <v>-0.2280142</v>
      </c>
      <c r="AB6" t="s">
        <v>28</v>
      </c>
    </row>
    <row r="7" spans="1:29" x14ac:dyDescent="0.3">
      <c r="A7">
        <v>0.22111285</v>
      </c>
      <c r="B7">
        <v>0.81347000000000003</v>
      </c>
      <c r="C7">
        <f t="shared" si="0"/>
        <v>0.1798686700895</v>
      </c>
      <c r="D7">
        <v>1.6E-2</v>
      </c>
      <c r="E7">
        <v>3.5999999999999999E-3</v>
      </c>
      <c r="F7">
        <f t="shared" si="1"/>
        <v>44.222569999999997</v>
      </c>
      <c r="G7">
        <f t="shared" si="2"/>
        <v>-0.81347000000000003</v>
      </c>
      <c r="H7">
        <f t="shared" si="3"/>
        <v>-35.9737340179</v>
      </c>
      <c r="I7">
        <v>1</v>
      </c>
      <c r="J7">
        <f t="shared" si="4"/>
        <v>-3.1185199867432343</v>
      </c>
      <c r="K7">
        <f t="shared" si="5"/>
        <v>-0.40825515177521743</v>
      </c>
      <c r="L7">
        <v>1</v>
      </c>
      <c r="M7">
        <f t="shared" si="6"/>
        <v>0.40837340905395625</v>
      </c>
      <c r="N7">
        <f t="shared" si="7"/>
        <v>3.5378056E-3</v>
      </c>
      <c r="O7">
        <f t="shared" si="8"/>
        <v>7.9600625999999997E-4</v>
      </c>
      <c r="P7">
        <f t="shared" si="9"/>
        <v>-4.4520691387388203E-3</v>
      </c>
      <c r="V7">
        <v>-5.7</v>
      </c>
      <c r="W7">
        <f t="shared" si="10"/>
        <v>-0.28102899999999997</v>
      </c>
      <c r="Y7">
        <v>0.03</v>
      </c>
      <c r="Z7">
        <f t="shared" si="11"/>
        <v>-7.7126300000000036E-2</v>
      </c>
      <c r="AB7" t="s">
        <v>29</v>
      </c>
      <c r="AC7">
        <f>-AB3/AB4</f>
        <v>3.5111496680648349E-2</v>
      </c>
    </row>
    <row r="8" spans="1:29" x14ac:dyDescent="0.3">
      <c r="A8">
        <v>0.27986414999999998</v>
      </c>
      <c r="B8">
        <v>0.80127000000000004</v>
      </c>
      <c r="C8">
        <f t="shared" si="0"/>
        <v>0.2242467474705</v>
      </c>
      <c r="D8">
        <v>1.6E-2</v>
      </c>
      <c r="E8">
        <v>3.5999999999999999E-3</v>
      </c>
      <c r="F8">
        <f t="shared" si="1"/>
        <v>55.972829999999995</v>
      </c>
      <c r="G8">
        <f t="shared" si="2"/>
        <v>-0.80127000000000004</v>
      </c>
      <c r="H8">
        <f t="shared" si="3"/>
        <v>-44.849349494099997</v>
      </c>
      <c r="I8">
        <v>1</v>
      </c>
      <c r="J8">
        <f t="shared" si="4"/>
        <v>-2.8828888845556233</v>
      </c>
      <c r="K8">
        <f t="shared" si="5"/>
        <v>-0.42045515177521742</v>
      </c>
      <c r="L8">
        <v>1</v>
      </c>
      <c r="M8">
        <f t="shared" si="6"/>
        <v>0.41999709132487106</v>
      </c>
      <c r="N8">
        <f t="shared" si="7"/>
        <v>4.4778264E-3</v>
      </c>
      <c r="O8">
        <f t="shared" si="8"/>
        <v>1.0075109399999998E-3</v>
      </c>
      <c r="P8">
        <f t="shared" si="9"/>
        <v>-5.0272768896536466E-3</v>
      </c>
      <c r="V8">
        <v>-5.6</v>
      </c>
      <c r="W8">
        <f t="shared" si="10"/>
        <v>-0.28596199999999999</v>
      </c>
      <c r="Y8">
        <v>0.04</v>
      </c>
      <c r="Z8">
        <f t="shared" si="11"/>
        <v>7.3761599999999983E-2</v>
      </c>
    </row>
    <row r="9" spans="1:29" x14ac:dyDescent="0.3">
      <c r="A9">
        <v>0.33688750000000001</v>
      </c>
      <c r="B9">
        <v>0.79224000000000006</v>
      </c>
      <c r="C9">
        <f t="shared" si="0"/>
        <v>0.26689575300000001</v>
      </c>
      <c r="D9">
        <v>1.6E-2</v>
      </c>
      <c r="E9">
        <v>3.5999999999999999E-3</v>
      </c>
      <c r="F9">
        <f t="shared" si="1"/>
        <v>67.377499999999998</v>
      </c>
      <c r="G9">
        <f t="shared" si="2"/>
        <v>-0.79224000000000006</v>
      </c>
      <c r="H9">
        <f t="shared" si="3"/>
        <v>-53.379150600000003</v>
      </c>
      <c r="I9">
        <v>1</v>
      </c>
      <c r="J9">
        <f t="shared" si="4"/>
        <v>-2.6974441446899857</v>
      </c>
      <c r="K9">
        <f t="shared" si="5"/>
        <v>-0.4294851517752174</v>
      </c>
      <c r="L9">
        <v>1</v>
      </c>
      <c r="M9">
        <f t="shared" si="6"/>
        <v>0.42914508034244303</v>
      </c>
      <c r="N9">
        <f t="shared" si="7"/>
        <v>5.3902000000000004E-3</v>
      </c>
      <c r="O9">
        <f t="shared" si="8"/>
        <v>1.212795E-3</v>
      </c>
      <c r="P9">
        <f t="shared" si="9"/>
        <v>-6.2629235672256311E-3</v>
      </c>
      <c r="V9">
        <v>-5.5</v>
      </c>
      <c r="W9">
        <f t="shared" si="10"/>
        <v>-0.29089500000000001</v>
      </c>
      <c r="Y9">
        <v>0.05</v>
      </c>
      <c r="Z9">
        <f t="shared" si="11"/>
        <v>0.22464950000000006</v>
      </c>
      <c r="AB9" t="s">
        <v>30</v>
      </c>
      <c r="AC9">
        <v>3.3939999999999998E-2</v>
      </c>
    </row>
    <row r="10" spans="1:29" x14ac:dyDescent="0.3">
      <c r="A10">
        <v>0.39967075000000002</v>
      </c>
      <c r="B10">
        <v>0.78498000000000001</v>
      </c>
      <c r="C10">
        <f t="shared" si="0"/>
        <v>0.31373354533500003</v>
      </c>
      <c r="D10">
        <v>1.6E-2</v>
      </c>
      <c r="E10">
        <v>3.5999999999999999E-3</v>
      </c>
      <c r="F10">
        <f t="shared" si="1"/>
        <v>79.934150000000002</v>
      </c>
      <c r="G10">
        <f t="shared" si="2"/>
        <v>-0.78498000000000001</v>
      </c>
      <c r="H10">
        <f t="shared" si="3"/>
        <v>-62.746709067000005</v>
      </c>
      <c r="I10">
        <v>1</v>
      </c>
      <c r="J10">
        <f t="shared" si="4"/>
        <v>-2.5265521082616518</v>
      </c>
      <c r="K10">
        <f t="shared" si="5"/>
        <v>-0.43674515177521744</v>
      </c>
      <c r="L10">
        <v>1</v>
      </c>
      <c r="M10">
        <f t="shared" si="6"/>
        <v>0.43757518449945271</v>
      </c>
      <c r="N10">
        <f t="shared" si="7"/>
        <v>6.3947320000000002E-3</v>
      </c>
      <c r="O10">
        <f t="shared" si="8"/>
        <v>1.4388147000000001E-3</v>
      </c>
      <c r="P10">
        <f t="shared" si="9"/>
        <v>-8.6635794242352644E-3</v>
      </c>
      <c r="V10">
        <v>-5.4</v>
      </c>
      <c r="W10">
        <f t="shared" si="10"/>
        <v>-0.29582799999999998</v>
      </c>
      <c r="Y10">
        <v>0.06</v>
      </c>
      <c r="Z10">
        <f t="shared" si="11"/>
        <v>0.37553739999999991</v>
      </c>
    </row>
    <row r="11" spans="1:29" x14ac:dyDescent="0.3">
      <c r="A11">
        <v>0.45727000000000001</v>
      </c>
      <c r="B11">
        <v>0.77783000000000002</v>
      </c>
      <c r="C11">
        <f t="shared" si="0"/>
        <v>0.3556783241</v>
      </c>
      <c r="D11">
        <v>1.6E-2</v>
      </c>
      <c r="E11">
        <v>3.5999999999999999E-3</v>
      </c>
      <c r="F11">
        <f t="shared" si="1"/>
        <v>91.454000000000008</v>
      </c>
      <c r="G11">
        <f t="shared" si="2"/>
        <v>-0.77783000000000002</v>
      </c>
      <c r="H11">
        <f t="shared" si="3"/>
        <v>-71.135664820000002</v>
      </c>
      <c r="I11">
        <v>1</v>
      </c>
      <c r="J11">
        <f t="shared" si="4"/>
        <v>-2.3919191653533209</v>
      </c>
      <c r="K11">
        <f t="shared" si="5"/>
        <v>-0.44389515177521743</v>
      </c>
      <c r="L11">
        <v>1</v>
      </c>
      <c r="M11">
        <f t="shared" si="6"/>
        <v>0.44421662757312064</v>
      </c>
      <c r="N11">
        <f t="shared" si="7"/>
        <v>7.3163200000000003E-3</v>
      </c>
      <c r="O11">
        <f t="shared" si="8"/>
        <v>1.646172E-3</v>
      </c>
      <c r="P11">
        <f t="shared" si="9"/>
        <v>-9.2839677979032042E-3</v>
      </c>
      <c r="V11">
        <v>-5.3</v>
      </c>
      <c r="W11">
        <f t="shared" si="10"/>
        <v>-0.300761</v>
      </c>
      <c r="Y11">
        <v>7.0000000000000007E-2</v>
      </c>
      <c r="Z11">
        <f t="shared" si="11"/>
        <v>0.5264253000000001</v>
      </c>
      <c r="AB11" t="s">
        <v>31</v>
      </c>
      <c r="AC11">
        <f>AC7-AC9</f>
        <v>1.1714966806483512E-3</v>
      </c>
    </row>
    <row r="12" spans="1:29" x14ac:dyDescent="0.3">
      <c r="A12">
        <v>0.51429334999999998</v>
      </c>
      <c r="B12">
        <v>0.77193999999999996</v>
      </c>
      <c r="C12">
        <f t="shared" si="0"/>
        <v>0.39700360859899997</v>
      </c>
      <c r="D12">
        <v>1.6E-2</v>
      </c>
      <c r="E12">
        <v>3.5999999999999999E-3</v>
      </c>
      <c r="F12">
        <f t="shared" si="1"/>
        <v>102.85866999999999</v>
      </c>
      <c r="G12">
        <f t="shared" si="2"/>
        <v>-0.77193999999999996</v>
      </c>
      <c r="H12">
        <f t="shared" si="3"/>
        <v>-79.400721719799989</v>
      </c>
      <c r="I12">
        <v>1</v>
      </c>
      <c r="J12">
        <f t="shared" si="4"/>
        <v>-2.2743993689153461</v>
      </c>
      <c r="K12">
        <f t="shared" si="5"/>
        <v>-0.4497851517752175</v>
      </c>
      <c r="L12">
        <v>1</v>
      </c>
      <c r="M12">
        <f t="shared" si="6"/>
        <v>0.45001387913140595</v>
      </c>
      <c r="N12">
        <f t="shared" si="7"/>
        <v>8.2286935999999998E-3</v>
      </c>
      <c r="O12">
        <f t="shared" si="8"/>
        <v>1.8514560599999998E-3</v>
      </c>
      <c r="P12">
        <f t="shared" si="9"/>
        <v>-1.0308877016188451E-2</v>
      </c>
      <c r="V12">
        <v>-5.2</v>
      </c>
      <c r="W12">
        <f t="shared" si="10"/>
        <v>-0.30569399999999997</v>
      </c>
      <c r="Y12">
        <v>0.08</v>
      </c>
      <c r="Z12">
        <f t="shared" si="11"/>
        <v>0.67731319999999995</v>
      </c>
      <c r="AC12">
        <f>AC11*3</f>
        <v>3.5144900419450537E-3</v>
      </c>
    </row>
    <row r="13" spans="1:29" x14ac:dyDescent="0.3">
      <c r="A13">
        <v>0.57419664999999998</v>
      </c>
      <c r="B13">
        <v>0.76624000000000003</v>
      </c>
      <c r="C13">
        <f t="shared" si="0"/>
        <v>0.43997244109599998</v>
      </c>
      <c r="D13">
        <v>1.6E-2</v>
      </c>
      <c r="E13">
        <v>3.5999999999999999E-3</v>
      </c>
      <c r="F13">
        <f t="shared" si="1"/>
        <v>114.83932999999999</v>
      </c>
      <c r="G13">
        <f t="shared" si="2"/>
        <v>-0.76624000000000003</v>
      </c>
      <c r="H13">
        <f t="shared" si="3"/>
        <v>-87.994488219199994</v>
      </c>
      <c r="I13">
        <v>1</v>
      </c>
      <c r="J13">
        <f t="shared" si="4"/>
        <v>-2.1642212579504032</v>
      </c>
      <c r="K13">
        <f t="shared" si="5"/>
        <v>-0.45548515177521742</v>
      </c>
      <c r="L13">
        <v>1</v>
      </c>
      <c r="M13">
        <f t="shared" si="6"/>
        <v>0.4554489653453066</v>
      </c>
      <c r="N13">
        <f t="shared" si="7"/>
        <v>9.1871464000000003E-3</v>
      </c>
      <c r="O13">
        <f t="shared" si="8"/>
        <v>2.06710794E-3</v>
      </c>
      <c r="P13">
        <f t="shared" si="9"/>
        <v>-1.1218067910089178E-2</v>
      </c>
      <c r="V13">
        <v>-5.0999999999999996</v>
      </c>
      <c r="W13">
        <f t="shared" si="10"/>
        <v>-0.31062699999999999</v>
      </c>
      <c r="Y13">
        <v>0.09</v>
      </c>
      <c r="Z13">
        <f t="shared" si="11"/>
        <v>0.82820110000000002</v>
      </c>
    </row>
    <row r="14" spans="1:29" x14ac:dyDescent="0.3">
      <c r="A14">
        <v>0.63640395000000005</v>
      </c>
      <c r="B14">
        <v>0.76136000000000004</v>
      </c>
      <c r="C14">
        <f t="shared" si="0"/>
        <v>0.48453251137200004</v>
      </c>
      <c r="D14">
        <v>1.6E-2</v>
      </c>
      <c r="E14">
        <v>3.5999999999999999E-3</v>
      </c>
      <c r="F14">
        <f t="shared" si="1"/>
        <v>127.28079000000001</v>
      </c>
      <c r="G14">
        <f t="shared" si="2"/>
        <v>-0.76136000000000004</v>
      </c>
      <c r="H14">
        <f t="shared" si="3"/>
        <v>-96.906502274400012</v>
      </c>
      <c r="I14">
        <v>1</v>
      </c>
      <c r="J14">
        <f t="shared" si="4"/>
        <v>-2.0613596881836842</v>
      </c>
      <c r="K14">
        <f t="shared" si="5"/>
        <v>-0.46036515177521742</v>
      </c>
      <c r="L14">
        <v>1</v>
      </c>
      <c r="M14">
        <f t="shared" si="6"/>
        <v>0.46052312658189887</v>
      </c>
      <c r="N14">
        <f t="shared" si="7"/>
        <v>1.01824632E-2</v>
      </c>
      <c r="O14">
        <f t="shared" si="8"/>
        <v>2.2910542200000003E-3</v>
      </c>
      <c r="P14">
        <f t="shared" si="9"/>
        <v>-1.2631492226681449E-2</v>
      </c>
      <c r="V14">
        <v>-5</v>
      </c>
      <c r="W14">
        <f t="shared" si="10"/>
        <v>-0.31556000000000001</v>
      </c>
      <c r="Y14">
        <v>0.1</v>
      </c>
      <c r="Z14">
        <f t="shared" si="11"/>
        <v>0.9790890000000001</v>
      </c>
    </row>
    <row r="15" spans="1:29" x14ac:dyDescent="0.3">
      <c r="A15">
        <v>0.69515525</v>
      </c>
      <c r="B15">
        <v>0.75616000000000005</v>
      </c>
      <c r="C15">
        <f t="shared" si="0"/>
        <v>0.52564859384000007</v>
      </c>
      <c r="D15">
        <v>1.6E-2</v>
      </c>
      <c r="E15">
        <v>3.5999999999999999E-3</v>
      </c>
      <c r="F15">
        <f t="shared" si="1"/>
        <v>139.03104999999999</v>
      </c>
      <c r="G15">
        <f t="shared" si="2"/>
        <v>-0.75616000000000005</v>
      </c>
      <c r="H15">
        <f t="shared" si="3"/>
        <v>-105.12971876800002</v>
      </c>
      <c r="I15">
        <v>1</v>
      </c>
      <c r="J15">
        <f t="shared" si="4"/>
        <v>-1.9730579895023679</v>
      </c>
      <c r="K15">
        <f t="shared" si="5"/>
        <v>-0.4655651517752174</v>
      </c>
      <c r="L15">
        <v>1</v>
      </c>
      <c r="M15">
        <f t="shared" si="6"/>
        <v>0.46487904937784819</v>
      </c>
      <c r="N15">
        <f t="shared" si="7"/>
        <v>1.1122484E-2</v>
      </c>
      <c r="O15">
        <f t="shared" si="8"/>
        <v>2.5025589000000001E-3</v>
      </c>
      <c r="P15">
        <f t="shared" si="9"/>
        <v>-1.2938940502630785E-2</v>
      </c>
      <c r="V15">
        <v>-4.9000000000000004</v>
      </c>
      <c r="W15">
        <f t="shared" si="10"/>
        <v>-0.32049299999999997</v>
      </c>
      <c r="Y15">
        <v>0.11</v>
      </c>
      <c r="Z15">
        <f t="shared" si="11"/>
        <v>1.1299769</v>
      </c>
    </row>
    <row r="16" spans="1:29" x14ac:dyDescent="0.3">
      <c r="A16">
        <v>0.75217849999999997</v>
      </c>
      <c r="B16">
        <v>0.75187999999999999</v>
      </c>
      <c r="C16">
        <f t="shared" si="0"/>
        <v>0.56554797057999995</v>
      </c>
      <c r="D16">
        <v>1.6E-2</v>
      </c>
      <c r="E16">
        <v>3.5999999999999999E-3</v>
      </c>
      <c r="F16">
        <f t="shared" si="1"/>
        <v>150.4357</v>
      </c>
      <c r="G16">
        <f t="shared" si="2"/>
        <v>-0.75187999999999999</v>
      </c>
      <c r="H16">
        <f t="shared" si="3"/>
        <v>-113.10959411599998</v>
      </c>
      <c r="I16">
        <v>1</v>
      </c>
      <c r="J16">
        <f t="shared" si="4"/>
        <v>-1.8942195286122152</v>
      </c>
      <c r="K16">
        <f t="shared" si="5"/>
        <v>-0.46984515177521746</v>
      </c>
      <c r="L16">
        <v>1</v>
      </c>
      <c r="M16">
        <f t="shared" si="6"/>
        <v>0.46876815065355942</v>
      </c>
      <c r="N16">
        <f t="shared" si="7"/>
        <v>1.2034856E-2</v>
      </c>
      <c r="O16">
        <f t="shared" si="8"/>
        <v>2.7078426E-3</v>
      </c>
      <c r="P16">
        <f t="shared" si="9"/>
        <v>-1.3665697478341961E-2</v>
      </c>
      <c r="V16">
        <v>-4.8</v>
      </c>
      <c r="W16">
        <f t="shared" si="10"/>
        <v>-0.32542599999999999</v>
      </c>
      <c r="Y16">
        <v>0.12</v>
      </c>
      <c r="Z16">
        <f t="shared" si="11"/>
        <v>1.2808647999999998</v>
      </c>
    </row>
    <row r="17" spans="1:26" x14ac:dyDescent="0.3">
      <c r="A17">
        <v>0.80920179999999997</v>
      </c>
      <c r="B17">
        <v>0.74743000000000004</v>
      </c>
      <c r="C17">
        <f t="shared" si="0"/>
        <v>0.60482170137400004</v>
      </c>
      <c r="D17">
        <v>1.6E-2</v>
      </c>
      <c r="E17">
        <v>3.5999999999999999E-3</v>
      </c>
      <c r="F17">
        <f t="shared" si="1"/>
        <v>161.84036</v>
      </c>
      <c r="G17">
        <f t="shared" si="2"/>
        <v>-0.74743000000000004</v>
      </c>
      <c r="H17">
        <f t="shared" si="3"/>
        <v>-120.96434027480001</v>
      </c>
      <c r="I17">
        <v>1</v>
      </c>
      <c r="J17">
        <f t="shared" si="4"/>
        <v>-1.8211448617059416</v>
      </c>
      <c r="K17">
        <f t="shared" si="5"/>
        <v>-0.47429515177521742</v>
      </c>
      <c r="L17">
        <v>1</v>
      </c>
      <c r="M17">
        <f t="shared" si="6"/>
        <v>0.47237292397204589</v>
      </c>
      <c r="N17">
        <f t="shared" si="7"/>
        <v>1.29472288E-2</v>
      </c>
      <c r="O17">
        <f t="shared" si="8"/>
        <v>2.9131264799999996E-3</v>
      </c>
      <c r="P17">
        <f t="shared" si="9"/>
        <v>-1.3938127476828472E-2</v>
      </c>
      <c r="V17">
        <v>-4.7</v>
      </c>
      <c r="W17">
        <f t="shared" si="10"/>
        <v>-0.33035899999999996</v>
      </c>
      <c r="Y17">
        <v>0.13</v>
      </c>
      <c r="Z17">
        <f t="shared" si="11"/>
        <v>1.4317527000000001</v>
      </c>
    </row>
    <row r="18" spans="1:26" x14ac:dyDescent="0.3">
      <c r="A18">
        <v>0.86622515</v>
      </c>
      <c r="B18">
        <v>0.74363999999999997</v>
      </c>
      <c r="C18">
        <f t="shared" si="0"/>
        <v>0.64415967054599998</v>
      </c>
      <c r="D18">
        <v>1.6E-2</v>
      </c>
      <c r="E18">
        <v>3.5999999999999999E-3</v>
      </c>
      <c r="F18">
        <f t="shared" si="1"/>
        <v>173.24502999999999</v>
      </c>
      <c r="G18">
        <f t="shared" si="2"/>
        <v>-0.74363999999999997</v>
      </c>
      <c r="H18">
        <f t="shared" si="3"/>
        <v>-128.83193410920001</v>
      </c>
      <c r="I18">
        <v>1</v>
      </c>
      <c r="J18">
        <f t="shared" si="4"/>
        <v>-1.7530483281922875</v>
      </c>
      <c r="K18">
        <f t="shared" si="5"/>
        <v>-0.47808515177521749</v>
      </c>
      <c r="L18">
        <v>1</v>
      </c>
      <c r="M18">
        <f t="shared" si="6"/>
        <v>0.47573212597027448</v>
      </c>
      <c r="N18">
        <f t="shared" si="7"/>
        <v>1.3859602400000001E-2</v>
      </c>
      <c r="O18">
        <f t="shared" si="8"/>
        <v>3.1184105399999999E-3</v>
      </c>
      <c r="P18">
        <f t="shared" si="9"/>
        <v>-1.4624987135056991E-2</v>
      </c>
      <c r="V18">
        <v>-4.5999999999999996</v>
      </c>
      <c r="W18">
        <f t="shared" si="10"/>
        <v>-0.33529200000000003</v>
      </c>
      <c r="Y18">
        <v>0.14000000000000001</v>
      </c>
      <c r="Z18">
        <f t="shared" si="11"/>
        <v>1.5826406000000002</v>
      </c>
    </row>
    <row r="19" spans="1:26" x14ac:dyDescent="0.3">
      <c r="A19">
        <v>0.92382439999999999</v>
      </c>
      <c r="B19">
        <v>0.73943000000000003</v>
      </c>
      <c r="C19">
        <f t="shared" si="0"/>
        <v>0.68310347609200006</v>
      </c>
      <c r="D19">
        <v>1.6E-2</v>
      </c>
      <c r="E19">
        <v>3.5999999999999999E-3</v>
      </c>
      <c r="F19">
        <f t="shared" si="1"/>
        <v>184.76488000000001</v>
      </c>
      <c r="G19">
        <f t="shared" si="2"/>
        <v>-0.73943000000000003</v>
      </c>
      <c r="H19">
        <f t="shared" si="3"/>
        <v>-136.62069521840002</v>
      </c>
      <c r="I19">
        <v>1</v>
      </c>
      <c r="J19">
        <f t="shared" si="4"/>
        <v>-1.6886711811251109</v>
      </c>
      <c r="K19">
        <f t="shared" si="5"/>
        <v>-0.48229515177521742</v>
      </c>
      <c r="L19">
        <v>1</v>
      </c>
      <c r="M19">
        <f t="shared" si="6"/>
        <v>0.47890785063509828</v>
      </c>
      <c r="N19">
        <f t="shared" si="7"/>
        <v>1.47811904E-2</v>
      </c>
      <c r="O19">
        <f t="shared" si="8"/>
        <v>3.32576784E-3</v>
      </c>
      <c r="P19">
        <f t="shared" si="9"/>
        <v>-1.4719657099880852E-2</v>
      </c>
      <c r="V19">
        <v>-4.5000000000000098</v>
      </c>
      <c r="W19">
        <f t="shared" si="10"/>
        <v>-0.3402249999999995</v>
      </c>
      <c r="Y19">
        <v>0.15</v>
      </c>
      <c r="Z19">
        <f t="shared" si="11"/>
        <v>1.7335285</v>
      </c>
    </row>
    <row r="20" spans="1:26" x14ac:dyDescent="0.3">
      <c r="A20">
        <v>0.98084775000000002</v>
      </c>
      <c r="B20">
        <v>0.73584000000000005</v>
      </c>
      <c r="C20">
        <f t="shared" si="0"/>
        <v>0.72174700836000005</v>
      </c>
      <c r="D20">
        <v>1.6E-2</v>
      </c>
      <c r="E20">
        <v>3.5999999999999999E-3</v>
      </c>
      <c r="F20">
        <f t="shared" si="1"/>
        <v>196.16955000000002</v>
      </c>
      <c r="G20">
        <f t="shared" si="2"/>
        <v>-0.73584000000000005</v>
      </c>
      <c r="H20">
        <f t="shared" si="3"/>
        <v>-144.349401672</v>
      </c>
      <c r="I20">
        <v>1</v>
      </c>
      <c r="J20">
        <f t="shared" si="4"/>
        <v>-1.628775942672209</v>
      </c>
      <c r="K20">
        <f t="shared" si="5"/>
        <v>-0.48588515177521741</v>
      </c>
      <c r="L20">
        <v>1</v>
      </c>
      <c r="M20">
        <f t="shared" si="6"/>
        <v>0.48186248274797994</v>
      </c>
      <c r="N20">
        <f t="shared" si="7"/>
        <v>1.5693564E-2</v>
      </c>
      <c r="O20">
        <f t="shared" si="8"/>
        <v>3.5310518999999998E-3</v>
      </c>
      <c r="P20">
        <f t="shared" si="9"/>
        <v>-1.5201946872762532E-2</v>
      </c>
      <c r="V20">
        <v>-4.4000000000000101</v>
      </c>
      <c r="W20">
        <f t="shared" si="10"/>
        <v>-0.34515799999999952</v>
      </c>
      <c r="Y20">
        <v>0.16</v>
      </c>
      <c r="Z20">
        <f t="shared" si="11"/>
        <v>1.8844163999999999</v>
      </c>
    </row>
    <row r="21" spans="1:26" x14ac:dyDescent="0.3">
      <c r="A21">
        <v>1.0390230499999999</v>
      </c>
      <c r="B21">
        <v>0.73185</v>
      </c>
      <c r="C21">
        <f t="shared" si="0"/>
        <v>0.76040901914249992</v>
      </c>
      <c r="D21">
        <v>1.6E-2</v>
      </c>
      <c r="E21">
        <v>3.5999999999999999E-3</v>
      </c>
      <c r="F21">
        <f t="shared" si="1"/>
        <v>207.80461</v>
      </c>
      <c r="G21">
        <f t="shared" si="2"/>
        <v>-0.73185</v>
      </c>
      <c r="H21">
        <f t="shared" si="3"/>
        <v>-152.08180382849997</v>
      </c>
      <c r="I21">
        <v>1</v>
      </c>
      <c r="J21">
        <f t="shared" si="4"/>
        <v>-1.5711570157700188</v>
      </c>
      <c r="K21">
        <f t="shared" si="5"/>
        <v>-0.48987515177521745</v>
      </c>
      <c r="L21">
        <v>1</v>
      </c>
      <c r="M21">
        <f t="shared" si="6"/>
        <v>0.48470482441206497</v>
      </c>
      <c r="N21">
        <f t="shared" si="7"/>
        <v>1.6624368800000001E-2</v>
      </c>
      <c r="O21">
        <f t="shared" si="8"/>
        <v>3.7404829799999998E-3</v>
      </c>
      <c r="P21">
        <f t="shared" si="9"/>
        <v>-1.5194524416847517E-2</v>
      </c>
      <c r="V21">
        <v>-4.3000000000000096</v>
      </c>
      <c r="W21">
        <f t="shared" si="10"/>
        <v>-0.35009099999999949</v>
      </c>
      <c r="Y21">
        <v>0.17</v>
      </c>
      <c r="Z21">
        <f t="shared" si="11"/>
        <v>2.0353043</v>
      </c>
    </row>
    <row r="22" spans="1:26" x14ac:dyDescent="0.3">
      <c r="A22">
        <v>1.0960464000000001</v>
      </c>
      <c r="B22">
        <v>0.72877999999999998</v>
      </c>
      <c r="C22">
        <f t="shared" si="0"/>
        <v>0.79877669539200002</v>
      </c>
      <c r="D22">
        <v>1.6E-2</v>
      </c>
      <c r="E22">
        <v>3.5999999999999999E-3</v>
      </c>
      <c r="F22">
        <f t="shared" si="1"/>
        <v>219.20928000000001</v>
      </c>
      <c r="G22">
        <f t="shared" si="2"/>
        <v>-0.72877999999999998</v>
      </c>
      <c r="H22">
        <f t="shared" si="3"/>
        <v>-159.7553390784</v>
      </c>
      <c r="I22">
        <v>1</v>
      </c>
      <c r="J22">
        <f t="shared" si="4"/>
        <v>-1.5177283890379865</v>
      </c>
      <c r="K22">
        <f t="shared" si="5"/>
        <v>-0.49294515177521747</v>
      </c>
      <c r="L22">
        <v>1</v>
      </c>
      <c r="M22">
        <f t="shared" si="6"/>
        <v>0.48734045856875613</v>
      </c>
      <c r="N22">
        <f t="shared" si="7"/>
        <v>1.7536742400000003E-2</v>
      </c>
      <c r="O22">
        <f t="shared" si="8"/>
        <v>3.94576704E-3</v>
      </c>
      <c r="P22">
        <f t="shared" si="9"/>
        <v>-1.587781623353866E-2</v>
      </c>
      <c r="V22">
        <v>-4.2000000000000099</v>
      </c>
      <c r="W22">
        <f t="shared" si="10"/>
        <v>-0.35502399999999951</v>
      </c>
      <c r="Y22">
        <v>0.18</v>
      </c>
      <c r="Z22">
        <f t="shared" si="11"/>
        <v>2.1861921999999998</v>
      </c>
    </row>
    <row r="23" spans="1:26" x14ac:dyDescent="0.3">
      <c r="A23">
        <v>1.1536457</v>
      </c>
      <c r="B23">
        <v>0.72499999999999998</v>
      </c>
      <c r="C23">
        <f t="shared" si="0"/>
        <v>0.83639313250000002</v>
      </c>
      <c r="D23">
        <v>1.6E-2</v>
      </c>
      <c r="E23">
        <v>3.5999999999999999E-3</v>
      </c>
      <c r="F23">
        <f t="shared" si="1"/>
        <v>230.72914</v>
      </c>
      <c r="G23">
        <f t="shared" si="2"/>
        <v>-0.72499999999999998</v>
      </c>
      <c r="H23">
        <f t="shared" si="3"/>
        <v>-167.2786265</v>
      </c>
      <c r="I23">
        <v>1</v>
      </c>
      <c r="J23">
        <f t="shared" si="4"/>
        <v>-1.466510810552319</v>
      </c>
      <c r="K23">
        <f t="shared" si="5"/>
        <v>-0.49672515177521748</v>
      </c>
      <c r="L23">
        <v>1</v>
      </c>
      <c r="M23">
        <f t="shared" si="6"/>
        <v>0.4898670217154541</v>
      </c>
      <c r="N23">
        <f t="shared" si="7"/>
        <v>1.8458331200000001E-2</v>
      </c>
      <c r="O23">
        <f t="shared" si="8"/>
        <v>4.1531245199999999E-3</v>
      </c>
      <c r="P23">
        <f t="shared" si="9"/>
        <v>-1.5753325660236621E-2</v>
      </c>
      <c r="V23">
        <v>-4.1000000000000103</v>
      </c>
      <c r="W23">
        <f t="shared" si="10"/>
        <v>-0.35995699999999947</v>
      </c>
      <c r="Y23">
        <v>0.19</v>
      </c>
      <c r="Z23">
        <f t="shared" si="11"/>
        <v>2.3370800999999997</v>
      </c>
    </row>
    <row r="24" spans="1:26" x14ac:dyDescent="0.3">
      <c r="A24">
        <v>1.2152770500000001</v>
      </c>
      <c r="B24">
        <v>0.72191000000000005</v>
      </c>
      <c r="C24">
        <f t="shared" si="0"/>
        <v>0.87732065516550017</v>
      </c>
      <c r="D24">
        <v>1.6E-2</v>
      </c>
      <c r="E24">
        <v>3.5999999999999999E-3</v>
      </c>
      <c r="F24">
        <f t="shared" si="1"/>
        <v>243.05541000000002</v>
      </c>
      <c r="G24">
        <f t="shared" si="2"/>
        <v>-0.72191000000000005</v>
      </c>
      <c r="H24">
        <f t="shared" si="3"/>
        <v>-175.46413103310005</v>
      </c>
      <c r="I24">
        <v>1</v>
      </c>
      <c r="J24">
        <f t="shared" si="4"/>
        <v>-1.4144658369439089</v>
      </c>
      <c r="K24">
        <f t="shared" si="5"/>
        <v>-0.4998151517752174</v>
      </c>
      <c r="L24">
        <v>1</v>
      </c>
      <c r="M24">
        <f t="shared" si="6"/>
        <v>0.49243440026355695</v>
      </c>
      <c r="N24">
        <f t="shared" si="7"/>
        <v>1.9444432800000001E-2</v>
      </c>
      <c r="O24">
        <f t="shared" si="8"/>
        <v>4.3749973800000005E-3</v>
      </c>
      <c r="P24">
        <f t="shared" si="9"/>
        <v>-1.6438678668339549E-2</v>
      </c>
      <c r="V24">
        <v>-4.0000000000000098</v>
      </c>
      <c r="W24">
        <f t="shared" si="10"/>
        <v>-0.36488999999999949</v>
      </c>
      <c r="Y24">
        <v>0.2</v>
      </c>
      <c r="Z24">
        <f t="shared" si="11"/>
        <v>2.4879680000000004</v>
      </c>
    </row>
    <row r="25" spans="1:26" x14ac:dyDescent="0.3">
      <c r="A25">
        <v>1.2723002000000001</v>
      </c>
      <c r="B25">
        <v>0.71830000000000005</v>
      </c>
      <c r="C25">
        <f t="shared" si="0"/>
        <v>0.91389323366000019</v>
      </c>
      <c r="D25">
        <v>1.6E-2</v>
      </c>
      <c r="E25">
        <v>3.5999999999999999E-3</v>
      </c>
      <c r="F25">
        <f t="shared" si="1"/>
        <v>254.46004000000002</v>
      </c>
      <c r="G25">
        <f t="shared" si="2"/>
        <v>-0.71830000000000005</v>
      </c>
      <c r="H25">
        <f t="shared" si="3"/>
        <v>-182.77864673200003</v>
      </c>
      <c r="I25">
        <v>1</v>
      </c>
      <c r="J25">
        <f t="shared" si="4"/>
        <v>-1.3686114690719651</v>
      </c>
      <c r="K25">
        <f t="shared" si="5"/>
        <v>-0.50342515177521741</v>
      </c>
      <c r="L25">
        <v>1</v>
      </c>
      <c r="M25">
        <f t="shared" si="6"/>
        <v>0.49469639623067996</v>
      </c>
      <c r="N25">
        <f t="shared" si="7"/>
        <v>2.0356803200000002E-2</v>
      </c>
      <c r="O25">
        <f t="shared" si="8"/>
        <v>4.5802807200000005E-3</v>
      </c>
      <c r="P25">
        <f t="shared" si="9"/>
        <v>-1.6208328375462554E-2</v>
      </c>
      <c r="V25">
        <v>-3.9000000000000101</v>
      </c>
      <c r="W25">
        <f t="shared" si="10"/>
        <v>-0.36982299999999946</v>
      </c>
      <c r="Y25">
        <v>0.21</v>
      </c>
      <c r="Z25">
        <f t="shared" si="11"/>
        <v>2.6388558999999994</v>
      </c>
    </row>
    <row r="26" spans="1:26" x14ac:dyDescent="0.3">
      <c r="A26">
        <v>1.33277965</v>
      </c>
      <c r="B26">
        <v>0.71484999999999999</v>
      </c>
      <c r="C26">
        <f t="shared" si="0"/>
        <v>0.95273753280249995</v>
      </c>
      <c r="D26">
        <v>1.6E-2</v>
      </c>
      <c r="E26">
        <v>3.5999999999999999E-3</v>
      </c>
      <c r="F26">
        <f t="shared" si="1"/>
        <v>266.55592999999999</v>
      </c>
      <c r="G26">
        <f t="shared" si="2"/>
        <v>-0.71484999999999999</v>
      </c>
      <c r="H26">
        <f t="shared" si="3"/>
        <v>-190.54750656049998</v>
      </c>
      <c r="I26">
        <v>1</v>
      </c>
      <c r="J26">
        <f t="shared" si="4"/>
        <v>-1.3221711887276686</v>
      </c>
      <c r="K26">
        <f t="shared" si="5"/>
        <v>-0.50687515177521747</v>
      </c>
      <c r="L26">
        <v>1</v>
      </c>
      <c r="M26">
        <f t="shared" si="6"/>
        <v>0.49698729526006408</v>
      </c>
      <c r="N26">
        <f t="shared" si="7"/>
        <v>2.1324474400000001E-2</v>
      </c>
      <c r="O26">
        <f t="shared" si="8"/>
        <v>4.7980067400000001E-3</v>
      </c>
      <c r="P26">
        <f t="shared" si="9"/>
        <v>-1.6234624624846608E-2</v>
      </c>
      <c r="V26">
        <v>-3.80000000000001</v>
      </c>
      <c r="W26">
        <f t="shared" si="10"/>
        <v>-0.37475599999999953</v>
      </c>
      <c r="Y26">
        <v>0.22</v>
      </c>
      <c r="Z26">
        <f t="shared" si="11"/>
        <v>2.7897438000000001</v>
      </c>
    </row>
    <row r="27" spans="1:26" x14ac:dyDescent="0.3">
      <c r="A27">
        <v>1.39210685</v>
      </c>
      <c r="B27">
        <v>0.71155000000000002</v>
      </c>
      <c r="C27">
        <f t="shared" si="0"/>
        <v>0.9905536291175</v>
      </c>
      <c r="D27">
        <v>1.6E-2</v>
      </c>
      <c r="E27">
        <v>3.5999999999999999E-3</v>
      </c>
      <c r="F27">
        <f t="shared" si="1"/>
        <v>278.42137000000002</v>
      </c>
      <c r="G27">
        <f t="shared" si="2"/>
        <v>-0.71155000000000002</v>
      </c>
      <c r="H27">
        <f t="shared" si="3"/>
        <v>-198.11072582349999</v>
      </c>
      <c r="I27">
        <v>1</v>
      </c>
      <c r="J27">
        <f t="shared" si="4"/>
        <v>-1.2786195934103037</v>
      </c>
      <c r="K27">
        <f t="shared" si="5"/>
        <v>-0.51017515177521744</v>
      </c>
      <c r="L27">
        <v>1</v>
      </c>
      <c r="M27">
        <f t="shared" si="6"/>
        <v>0.49913569545706971</v>
      </c>
      <c r="N27">
        <f t="shared" si="7"/>
        <v>2.22737096E-2</v>
      </c>
      <c r="O27">
        <f t="shared" si="8"/>
        <v>5.0115846600000003E-3</v>
      </c>
      <c r="P27">
        <f t="shared" si="9"/>
        <v>-1.6245837941852269E-2</v>
      </c>
      <c r="V27">
        <v>-3.7000000000000099</v>
      </c>
      <c r="W27">
        <f t="shared" si="10"/>
        <v>-0.3796889999999995</v>
      </c>
      <c r="Y27">
        <v>0.23</v>
      </c>
      <c r="Z27">
        <f t="shared" si="11"/>
        <v>2.9406317</v>
      </c>
    </row>
    <row r="28" spans="1:26" x14ac:dyDescent="0.3">
      <c r="A28">
        <v>1.4514341500000001</v>
      </c>
      <c r="B28">
        <v>0.70799999999999996</v>
      </c>
      <c r="C28">
        <f t="shared" si="0"/>
        <v>1.0276153781999999</v>
      </c>
      <c r="D28">
        <v>1.6E-2</v>
      </c>
      <c r="E28">
        <v>3.5999999999999999E-3</v>
      </c>
      <c r="F28">
        <f t="shared" si="1"/>
        <v>290.28683000000001</v>
      </c>
      <c r="G28">
        <f t="shared" si="2"/>
        <v>-0.70799999999999996</v>
      </c>
      <c r="H28">
        <f t="shared" si="3"/>
        <v>-205.52307563999997</v>
      </c>
      <c r="I28">
        <v>1</v>
      </c>
      <c r="J28">
        <f t="shared" si="4"/>
        <v>-1.2368857758425271</v>
      </c>
      <c r="K28">
        <f t="shared" si="5"/>
        <v>-0.51372515177521749</v>
      </c>
      <c r="L28">
        <v>1</v>
      </c>
      <c r="M28">
        <f t="shared" si="6"/>
        <v>0.50119442467768816</v>
      </c>
      <c r="N28">
        <f t="shared" si="7"/>
        <v>2.3222946400000003E-2</v>
      </c>
      <c r="O28">
        <f t="shared" si="8"/>
        <v>5.2251629399999999E-3</v>
      </c>
      <c r="P28">
        <f t="shared" si="9"/>
        <v>-1.5917382242470666E-2</v>
      </c>
      <c r="V28">
        <v>-3.6000000000000099</v>
      </c>
      <c r="W28">
        <f t="shared" si="10"/>
        <v>-0.38462199999999946</v>
      </c>
      <c r="Y28">
        <v>0.24</v>
      </c>
      <c r="Z28">
        <f t="shared" si="11"/>
        <v>3.0915195999999998</v>
      </c>
    </row>
    <row r="29" spans="1:26" x14ac:dyDescent="0.3">
      <c r="A29">
        <v>1.51018545</v>
      </c>
      <c r="B29">
        <v>0.70499000000000001</v>
      </c>
      <c r="C29">
        <f t="shared" si="0"/>
        <v>1.0646656403954999</v>
      </c>
      <c r="D29">
        <v>1.6E-2</v>
      </c>
      <c r="E29">
        <v>3.5999999999999999E-3</v>
      </c>
      <c r="F29">
        <f t="shared" si="1"/>
        <v>302.03709000000003</v>
      </c>
      <c r="G29">
        <f t="shared" si="2"/>
        <v>-0.70499000000000001</v>
      </c>
      <c r="H29">
        <f t="shared" si="3"/>
        <v>-212.93312807909999</v>
      </c>
      <c r="I29">
        <v>1</v>
      </c>
      <c r="J29">
        <f t="shared" si="4"/>
        <v>-1.1972054545788229</v>
      </c>
      <c r="K29">
        <f t="shared" si="5"/>
        <v>-0.51673515177521745</v>
      </c>
      <c r="L29">
        <v>1</v>
      </c>
      <c r="M29">
        <f t="shared" si="6"/>
        <v>0.50315185492562664</v>
      </c>
      <c r="N29">
        <f t="shared" si="7"/>
        <v>2.41629672E-2</v>
      </c>
      <c r="O29">
        <f t="shared" si="8"/>
        <v>5.4366676200000002E-3</v>
      </c>
      <c r="P29">
        <f t="shared" si="9"/>
        <v>-1.6016337970409189E-2</v>
      </c>
      <c r="V29">
        <v>-3.5000000000000102</v>
      </c>
      <c r="W29">
        <f t="shared" si="10"/>
        <v>-0.38955499999999949</v>
      </c>
      <c r="Y29">
        <v>0.25</v>
      </c>
      <c r="Z29">
        <f t="shared" si="11"/>
        <v>3.2424074999999997</v>
      </c>
    </row>
    <row r="30" spans="1:26" x14ac:dyDescent="0.3">
      <c r="A30">
        <v>1.5672089499999999</v>
      </c>
      <c r="B30">
        <v>0.70191999999999999</v>
      </c>
      <c r="C30">
        <f t="shared" si="0"/>
        <v>1.1000553061839999</v>
      </c>
      <c r="D30">
        <v>1.6E-2</v>
      </c>
      <c r="E30">
        <v>3.5999999999999999E-3</v>
      </c>
      <c r="F30">
        <f t="shared" si="1"/>
        <v>313.44178999999997</v>
      </c>
      <c r="G30">
        <f t="shared" si="2"/>
        <v>-0.70191999999999999</v>
      </c>
      <c r="H30">
        <f t="shared" si="3"/>
        <v>-220.01106123679997</v>
      </c>
      <c r="I30">
        <v>1</v>
      </c>
      <c r="J30">
        <f t="shared" si="4"/>
        <v>-1.1601416139803653</v>
      </c>
      <c r="K30">
        <f t="shared" si="5"/>
        <v>-0.51980515177521747</v>
      </c>
      <c r="L30">
        <v>1</v>
      </c>
      <c r="M30">
        <f t="shared" si="6"/>
        <v>0.50498021418234862</v>
      </c>
      <c r="N30">
        <f t="shared" si="7"/>
        <v>2.5075343199999999E-2</v>
      </c>
      <c r="O30">
        <f t="shared" si="8"/>
        <v>5.6419522199999995E-3</v>
      </c>
      <c r="P30">
        <f t="shared" si="9"/>
        <v>-1.5892357827131151E-2</v>
      </c>
      <c r="V30">
        <v>-3.4000000000000101</v>
      </c>
      <c r="W30">
        <f t="shared" si="10"/>
        <v>-0.39448799999999951</v>
      </c>
      <c r="Y30">
        <v>0.26</v>
      </c>
      <c r="Z30">
        <f t="shared" si="11"/>
        <v>3.3932954000000004</v>
      </c>
    </row>
    <row r="31" spans="1:26" x14ac:dyDescent="0.3">
      <c r="A31">
        <v>1.6242321</v>
      </c>
      <c r="B31">
        <v>0.69872000000000001</v>
      </c>
      <c r="C31">
        <f t="shared" si="0"/>
        <v>1.134883452912</v>
      </c>
      <c r="D31">
        <v>1.6E-2</v>
      </c>
      <c r="E31">
        <v>3.5999999999999999E-3</v>
      </c>
      <c r="F31">
        <f t="shared" si="1"/>
        <v>324.84641999999997</v>
      </c>
      <c r="G31">
        <f t="shared" si="2"/>
        <v>-0.69872000000000001</v>
      </c>
      <c r="H31">
        <f t="shared" si="3"/>
        <v>-226.97669058240001</v>
      </c>
      <c r="I31">
        <v>1</v>
      </c>
      <c r="J31">
        <f t="shared" si="4"/>
        <v>-1.1244027621873096</v>
      </c>
      <c r="K31">
        <f t="shared" si="5"/>
        <v>-0.52300515177521745</v>
      </c>
      <c r="L31">
        <v>1</v>
      </c>
      <c r="M31">
        <f t="shared" si="6"/>
        <v>0.50674321174129999</v>
      </c>
      <c r="N31">
        <f t="shared" si="7"/>
        <v>2.59877136E-2</v>
      </c>
      <c r="O31">
        <f t="shared" si="8"/>
        <v>5.8472355599999996E-3</v>
      </c>
      <c r="P31">
        <f t="shared" si="9"/>
        <v>-1.5573009126082546E-2</v>
      </c>
      <c r="V31">
        <v>-3.30000000000001</v>
      </c>
      <c r="W31">
        <f t="shared" si="10"/>
        <v>-0.39942099999999947</v>
      </c>
      <c r="Y31">
        <v>0.27</v>
      </c>
      <c r="Z31">
        <f t="shared" si="11"/>
        <v>3.5441833000000003</v>
      </c>
    </row>
    <row r="32" spans="1:26" x14ac:dyDescent="0.3">
      <c r="A32">
        <v>1.6812554500000001</v>
      </c>
      <c r="B32">
        <v>0.69571000000000005</v>
      </c>
      <c r="C32">
        <f t="shared" si="0"/>
        <v>1.1696662291195001</v>
      </c>
      <c r="D32">
        <v>1.6E-2</v>
      </c>
      <c r="E32">
        <v>3.5999999999999999E-3</v>
      </c>
      <c r="F32">
        <f t="shared" si="1"/>
        <v>336.25109000000003</v>
      </c>
      <c r="G32">
        <f t="shared" si="2"/>
        <v>-0.69571000000000005</v>
      </c>
      <c r="H32">
        <f t="shared" si="3"/>
        <v>-233.93324582390002</v>
      </c>
      <c r="I32">
        <v>1</v>
      </c>
      <c r="J32">
        <f t="shared" si="4"/>
        <v>-1.0898971064356544</v>
      </c>
      <c r="K32">
        <f t="shared" si="5"/>
        <v>-0.5260151517752174</v>
      </c>
      <c r="L32">
        <v>1</v>
      </c>
      <c r="M32">
        <f t="shared" si="6"/>
        <v>0.50844537573952919</v>
      </c>
      <c r="N32">
        <f t="shared" si="7"/>
        <v>2.6900087200000002E-2</v>
      </c>
      <c r="O32">
        <f t="shared" si="8"/>
        <v>6.0525196200000003E-3</v>
      </c>
      <c r="P32">
        <f t="shared" si="9"/>
        <v>-1.5382830784311791E-2</v>
      </c>
      <c r="V32">
        <v>-3.2000000000000099</v>
      </c>
      <c r="W32">
        <f t="shared" si="10"/>
        <v>-0.40435399999999949</v>
      </c>
    </row>
    <row r="33" spans="1:23" x14ac:dyDescent="0.3">
      <c r="A33">
        <v>1.7405826499999999</v>
      </c>
      <c r="B33">
        <v>0.69289999999999996</v>
      </c>
      <c r="C33">
        <f t="shared" si="0"/>
        <v>1.2060497181849998</v>
      </c>
      <c r="D33">
        <v>1.6E-2</v>
      </c>
      <c r="E33">
        <v>3.5999999999999999E-3</v>
      </c>
      <c r="F33">
        <f t="shared" si="1"/>
        <v>348.11652999999995</v>
      </c>
      <c r="G33">
        <f t="shared" si="2"/>
        <v>-0.69289999999999996</v>
      </c>
      <c r="H33">
        <f t="shared" si="3"/>
        <v>-241.20994363699998</v>
      </c>
      <c r="I33">
        <v>1</v>
      </c>
      <c r="J33">
        <f t="shared" si="4"/>
        <v>-1.0552179989376893</v>
      </c>
      <c r="K33">
        <f t="shared" si="5"/>
        <v>-0.52882515177521749</v>
      </c>
      <c r="L33">
        <v>1</v>
      </c>
      <c r="M33">
        <f t="shared" si="6"/>
        <v>0.51015609611240376</v>
      </c>
      <c r="N33">
        <f t="shared" si="7"/>
        <v>2.7849322399999998E-2</v>
      </c>
      <c r="O33">
        <f t="shared" si="8"/>
        <v>6.2660975399999996E-3</v>
      </c>
      <c r="P33">
        <f t="shared" si="9"/>
        <v>-1.5446364277186259E-2</v>
      </c>
      <c r="V33">
        <v>-3.1000000000000099</v>
      </c>
      <c r="W33">
        <f t="shared" si="10"/>
        <v>-0.40928699999999951</v>
      </c>
    </row>
    <row r="34" spans="1:23" x14ac:dyDescent="0.3">
      <c r="A34">
        <v>1.8039417</v>
      </c>
      <c r="B34">
        <v>0.68979999999999997</v>
      </c>
      <c r="C34">
        <f t="shared" si="0"/>
        <v>1.2443589846599998</v>
      </c>
      <c r="D34">
        <v>1.6E-2</v>
      </c>
      <c r="E34">
        <v>3.5999999999999999E-3</v>
      </c>
      <c r="F34">
        <f t="shared" si="1"/>
        <v>360.78834000000001</v>
      </c>
      <c r="G34">
        <f t="shared" si="2"/>
        <v>-0.68979999999999997</v>
      </c>
      <c r="H34">
        <f t="shared" si="3"/>
        <v>-248.87179693199997</v>
      </c>
      <c r="I34">
        <v>1</v>
      </c>
      <c r="J34">
        <f t="shared" si="4"/>
        <v>-1.019463808389047</v>
      </c>
      <c r="K34">
        <f t="shared" si="5"/>
        <v>-0.53192515177521749</v>
      </c>
      <c r="L34">
        <v>1</v>
      </c>
      <c r="M34">
        <f t="shared" si="6"/>
        <v>0.51191985033216825</v>
      </c>
      <c r="N34">
        <f t="shared" si="7"/>
        <v>2.8863067200000002E-2</v>
      </c>
      <c r="O34">
        <f t="shared" si="8"/>
        <v>6.4941901199999999E-3</v>
      </c>
      <c r="P34">
        <f t="shared" si="9"/>
        <v>-1.5351955876950762E-2</v>
      </c>
      <c r="V34">
        <v>-3.0000000000000102</v>
      </c>
      <c r="W34">
        <f t="shared" si="10"/>
        <v>-0.41421999999999948</v>
      </c>
    </row>
    <row r="35" spans="1:23" x14ac:dyDescent="0.3">
      <c r="A35">
        <v>1.8626931499999999</v>
      </c>
      <c r="B35">
        <v>0.68671000000000004</v>
      </c>
      <c r="C35">
        <f t="shared" si="0"/>
        <v>1.2791300130365</v>
      </c>
      <c r="D35">
        <v>1.6E-2</v>
      </c>
      <c r="E35">
        <v>3.5999999999999999E-3</v>
      </c>
      <c r="F35">
        <f t="shared" si="1"/>
        <v>372.53862999999996</v>
      </c>
      <c r="G35">
        <f t="shared" si="2"/>
        <v>-0.68671000000000004</v>
      </c>
      <c r="H35">
        <f t="shared" si="3"/>
        <v>-255.82600260729998</v>
      </c>
      <c r="I35">
        <v>1</v>
      </c>
      <c r="J35">
        <f t="shared" si="4"/>
        <v>-0.9874145418414968</v>
      </c>
      <c r="K35">
        <f t="shared" si="5"/>
        <v>-0.53501515177521741</v>
      </c>
      <c r="L35">
        <v>1</v>
      </c>
      <c r="M35">
        <f t="shared" si="6"/>
        <v>0.51350084065095891</v>
      </c>
      <c r="N35">
        <f t="shared" si="7"/>
        <v>2.9803090399999999E-2</v>
      </c>
      <c r="O35">
        <f t="shared" si="8"/>
        <v>6.7056953399999997E-3</v>
      </c>
      <c r="P35">
        <f t="shared" si="9"/>
        <v>-1.4994474615741498E-2</v>
      </c>
      <c r="V35">
        <v>-2.9000000000000101</v>
      </c>
      <c r="W35">
        <f t="shared" si="10"/>
        <v>-0.4191529999999995</v>
      </c>
    </row>
    <row r="36" spans="1:23" x14ac:dyDescent="0.3">
      <c r="A36">
        <v>1.9202925</v>
      </c>
      <c r="B36">
        <v>0.68371000000000004</v>
      </c>
      <c r="C36">
        <f t="shared" si="0"/>
        <v>1.3129231851750001</v>
      </c>
      <c r="D36">
        <v>1.6E-2</v>
      </c>
      <c r="E36">
        <v>3.5999999999999999E-3</v>
      </c>
      <c r="F36">
        <f t="shared" si="1"/>
        <v>384.05849999999998</v>
      </c>
      <c r="G36">
        <f t="shared" si="2"/>
        <v>-0.68371000000000004</v>
      </c>
      <c r="H36">
        <f t="shared" si="3"/>
        <v>-262.58463703500001</v>
      </c>
      <c r="I36">
        <v>1</v>
      </c>
      <c r="J36">
        <f t="shared" si="4"/>
        <v>-0.95696039424754098</v>
      </c>
      <c r="K36">
        <f t="shared" si="5"/>
        <v>-0.53801515177521742</v>
      </c>
      <c r="L36">
        <v>1</v>
      </c>
      <c r="M36">
        <f t="shared" si="6"/>
        <v>0.51500314375176881</v>
      </c>
      <c r="N36">
        <f t="shared" si="7"/>
        <v>3.0724680000000001E-2</v>
      </c>
      <c r="O36">
        <f t="shared" si="8"/>
        <v>6.9130529999999997E-3</v>
      </c>
      <c r="P36">
        <f t="shared" si="9"/>
        <v>-1.4625724976551395E-2</v>
      </c>
      <c r="V36">
        <v>-2.80000000000001</v>
      </c>
      <c r="W36">
        <f t="shared" ref="W36:W67" si="12">V36*$S$5+$S$4</f>
        <v>-0.42408599999999952</v>
      </c>
    </row>
    <row r="37" spans="1:23" x14ac:dyDescent="0.3">
      <c r="A37">
        <v>1.9790437999999999</v>
      </c>
      <c r="B37">
        <v>0.68101</v>
      </c>
      <c r="C37">
        <f t="shared" si="0"/>
        <v>1.3477486182379999</v>
      </c>
      <c r="D37">
        <v>1.6E-2</v>
      </c>
      <c r="E37">
        <v>3.5999999999999999E-3</v>
      </c>
      <c r="F37">
        <f t="shared" si="1"/>
        <v>395.80876000000001</v>
      </c>
      <c r="G37">
        <f t="shared" si="2"/>
        <v>-0.68101</v>
      </c>
      <c r="H37">
        <f t="shared" si="3"/>
        <v>-269.54972364759999</v>
      </c>
      <c r="I37">
        <v>1</v>
      </c>
      <c r="J37">
        <f t="shared" si="4"/>
        <v>-0.92682411366849349</v>
      </c>
      <c r="K37">
        <f t="shared" si="5"/>
        <v>-0.54071515177521745</v>
      </c>
      <c r="L37">
        <v>1</v>
      </c>
      <c r="M37">
        <f t="shared" si="6"/>
        <v>0.51648976647273326</v>
      </c>
      <c r="N37">
        <f t="shared" si="7"/>
        <v>3.1664700800000001E-2</v>
      </c>
      <c r="O37">
        <f t="shared" si="8"/>
        <v>7.1245576799999991E-3</v>
      </c>
      <c r="P37">
        <f t="shared" si="9"/>
        <v>-1.4563873177515807E-2</v>
      </c>
      <c r="V37">
        <v>-2.7000000000000099</v>
      </c>
      <c r="W37">
        <f t="shared" si="12"/>
        <v>-0.42901899999999948</v>
      </c>
    </row>
    <row r="38" spans="1:23" x14ac:dyDescent="0.3">
      <c r="A38">
        <v>2.0360669499999999</v>
      </c>
      <c r="B38">
        <v>0.67820999999999998</v>
      </c>
      <c r="C38">
        <f t="shared" si="0"/>
        <v>1.3808809661594998</v>
      </c>
      <c r="D38">
        <v>1.6E-2</v>
      </c>
      <c r="E38">
        <v>3.5999999999999999E-3</v>
      </c>
      <c r="F38">
        <f t="shared" si="1"/>
        <v>407.21339</v>
      </c>
      <c r="G38">
        <f t="shared" si="2"/>
        <v>-0.67820999999999998</v>
      </c>
      <c r="H38">
        <f t="shared" si="3"/>
        <v>-276.17619323189996</v>
      </c>
      <c r="I38">
        <v>1</v>
      </c>
      <c r="J38">
        <f t="shared" si="4"/>
        <v>-0.89841793118233571</v>
      </c>
      <c r="K38">
        <f t="shared" si="5"/>
        <v>-0.54351515177521748</v>
      </c>
      <c r="L38">
        <v>1</v>
      </c>
      <c r="M38">
        <f t="shared" si="6"/>
        <v>0.51789104345477532</v>
      </c>
      <c r="N38">
        <f t="shared" si="7"/>
        <v>3.2577071200000002E-2</v>
      </c>
      <c r="O38">
        <f t="shared" si="8"/>
        <v>7.3298410199999992E-3</v>
      </c>
      <c r="P38">
        <f t="shared" si="9"/>
        <v>-1.4282803899557849E-2</v>
      </c>
      <c r="V38">
        <v>-2.6000000000000099</v>
      </c>
      <c r="W38">
        <f t="shared" si="12"/>
        <v>-0.4339519999999995</v>
      </c>
    </row>
    <row r="39" spans="1:23" x14ac:dyDescent="0.3">
      <c r="A39">
        <v>2.0971221999999998</v>
      </c>
      <c r="B39">
        <v>0.67552000000000001</v>
      </c>
      <c r="C39">
        <f t="shared" si="0"/>
        <v>1.416647988544</v>
      </c>
      <c r="D39">
        <v>1.6E-2</v>
      </c>
      <c r="E39">
        <v>3.5999999999999999E-3</v>
      </c>
      <c r="F39">
        <f t="shared" si="1"/>
        <v>419.42443999999995</v>
      </c>
      <c r="G39">
        <f t="shared" si="2"/>
        <v>-0.67552000000000001</v>
      </c>
      <c r="H39">
        <f t="shared" si="3"/>
        <v>-283.32959770880001</v>
      </c>
      <c r="I39">
        <v>1</v>
      </c>
      <c r="J39">
        <f t="shared" si="4"/>
        <v>-0.86887188848779695</v>
      </c>
      <c r="K39">
        <f t="shared" si="5"/>
        <v>-0.54620515177521745</v>
      </c>
      <c r="L39">
        <v>1</v>
      </c>
      <c r="M39">
        <f t="shared" si="6"/>
        <v>0.51934854974089695</v>
      </c>
      <c r="N39">
        <f t="shared" si="7"/>
        <v>3.3553955199999999E-2</v>
      </c>
      <c r="O39">
        <f t="shared" si="8"/>
        <v>7.5496399199999993E-3</v>
      </c>
      <c r="P39">
        <f t="shared" si="9"/>
        <v>-1.4246993085679501E-2</v>
      </c>
      <c r="V39">
        <v>-2.5000000000000102</v>
      </c>
      <c r="W39">
        <f t="shared" si="12"/>
        <v>-0.43888499999999947</v>
      </c>
    </row>
    <row r="40" spans="1:23" x14ac:dyDescent="0.3">
      <c r="A40">
        <v>2.1541456000000001</v>
      </c>
      <c r="B40">
        <v>0.67227999999999999</v>
      </c>
      <c r="C40">
        <f t="shared" si="0"/>
        <v>1.4481890039680001</v>
      </c>
      <c r="D40">
        <v>1.6E-2</v>
      </c>
      <c r="E40">
        <v>3.5999999999999999E-3</v>
      </c>
      <c r="F40">
        <f t="shared" si="1"/>
        <v>430.82912000000005</v>
      </c>
      <c r="G40">
        <f t="shared" si="2"/>
        <v>-0.67227999999999999</v>
      </c>
      <c r="H40">
        <f t="shared" si="3"/>
        <v>-289.63780079360004</v>
      </c>
      <c r="I40">
        <v>1</v>
      </c>
      <c r="J40">
        <f t="shared" si="4"/>
        <v>-0.8420437408125806</v>
      </c>
      <c r="K40">
        <f t="shared" si="5"/>
        <v>-0.54944515177521747</v>
      </c>
      <c r="L40">
        <v>1</v>
      </c>
      <c r="M40">
        <f t="shared" si="6"/>
        <v>0.52067198226571543</v>
      </c>
      <c r="N40">
        <f t="shared" si="7"/>
        <v>3.4466329600000005E-2</v>
      </c>
      <c r="O40">
        <f t="shared" si="8"/>
        <v>7.7549241600000001E-3</v>
      </c>
      <c r="P40">
        <f t="shared" si="9"/>
        <v>-1.3448084250497965E-2</v>
      </c>
      <c r="V40">
        <v>-2.4000000000000101</v>
      </c>
      <c r="W40">
        <f t="shared" si="12"/>
        <v>-0.44381799999999949</v>
      </c>
    </row>
    <row r="41" spans="1:23" x14ac:dyDescent="0.3">
      <c r="A41">
        <v>2.2123210000000002</v>
      </c>
      <c r="B41">
        <v>0.66974</v>
      </c>
      <c r="C41">
        <f t="shared" si="0"/>
        <v>1.4816798665400002</v>
      </c>
      <c r="D41">
        <v>1.6E-2</v>
      </c>
      <c r="E41">
        <v>3.5999999999999999E-3</v>
      </c>
      <c r="F41">
        <f t="shared" si="1"/>
        <v>442.46420000000006</v>
      </c>
      <c r="G41">
        <f t="shared" si="2"/>
        <v>-0.66974</v>
      </c>
      <c r="H41">
        <f t="shared" si="3"/>
        <v>-296.33597330800001</v>
      </c>
      <c r="I41">
        <v>1</v>
      </c>
      <c r="J41">
        <f t="shared" si="4"/>
        <v>-0.81539572176185637</v>
      </c>
      <c r="K41">
        <f t="shared" si="5"/>
        <v>-0.55198515177521745</v>
      </c>
      <c r="L41">
        <v>1</v>
      </c>
      <c r="M41">
        <f t="shared" si="6"/>
        <v>0.52198652904548759</v>
      </c>
      <c r="N41">
        <f t="shared" si="7"/>
        <v>3.5397136000000003E-2</v>
      </c>
      <c r="O41">
        <f t="shared" si="8"/>
        <v>7.9643556000000004E-3</v>
      </c>
      <c r="P41">
        <f t="shared" si="9"/>
        <v>-1.3362868870270141E-2</v>
      </c>
      <c r="V41">
        <v>-2.30000000000001</v>
      </c>
      <c r="W41">
        <f t="shared" si="12"/>
        <v>-0.44875099999999951</v>
      </c>
    </row>
    <row r="42" spans="1:23" x14ac:dyDescent="0.3">
      <c r="A42">
        <v>2.2710723000000002</v>
      </c>
      <c r="B42">
        <v>0.66695000000000004</v>
      </c>
      <c r="C42">
        <f t="shared" si="0"/>
        <v>1.5146916704850002</v>
      </c>
      <c r="D42">
        <v>1.6E-2</v>
      </c>
      <c r="E42">
        <v>3.5999999999999999E-3</v>
      </c>
      <c r="F42">
        <f t="shared" si="1"/>
        <v>454.21446000000003</v>
      </c>
      <c r="G42">
        <f t="shared" si="2"/>
        <v>-0.66695000000000004</v>
      </c>
      <c r="H42">
        <f t="shared" si="3"/>
        <v>-302.93833409700005</v>
      </c>
      <c r="I42">
        <v>1</v>
      </c>
      <c r="J42">
        <f t="shared" si="4"/>
        <v>-0.78918581362193119</v>
      </c>
      <c r="K42">
        <f t="shared" si="5"/>
        <v>-0.55477515177521741</v>
      </c>
      <c r="L42">
        <v>1</v>
      </c>
      <c r="M42">
        <f t="shared" si="6"/>
        <v>0.52327946381403012</v>
      </c>
      <c r="N42">
        <f t="shared" si="7"/>
        <v>3.6337156800000006E-2</v>
      </c>
      <c r="O42">
        <f t="shared" si="8"/>
        <v>8.1758602800000007E-3</v>
      </c>
      <c r="P42">
        <f t="shared" si="9"/>
        <v>-1.3017329118812716E-2</v>
      </c>
      <c r="V42">
        <v>-2.2000000000000099</v>
      </c>
      <c r="W42">
        <f t="shared" si="12"/>
        <v>-0.45368399999999953</v>
      </c>
    </row>
    <row r="43" spans="1:23" x14ac:dyDescent="0.3">
      <c r="A43">
        <v>2.3303995</v>
      </c>
      <c r="B43">
        <v>0.66422000000000003</v>
      </c>
      <c r="C43">
        <f t="shared" si="0"/>
        <v>1.5478979558900001</v>
      </c>
      <c r="D43">
        <v>1.6E-2</v>
      </c>
      <c r="E43">
        <v>3.5999999999999999E-3</v>
      </c>
      <c r="F43">
        <f t="shared" si="1"/>
        <v>466.07990000000001</v>
      </c>
      <c r="G43">
        <f t="shared" si="2"/>
        <v>-0.66422000000000003</v>
      </c>
      <c r="H43">
        <f t="shared" si="3"/>
        <v>-309.57959117800004</v>
      </c>
      <c r="I43">
        <v>1</v>
      </c>
      <c r="J43">
        <f t="shared" si="4"/>
        <v>-0.76339820032647676</v>
      </c>
      <c r="K43">
        <f t="shared" si="5"/>
        <v>-0.55750515177521742</v>
      </c>
      <c r="L43">
        <v>1</v>
      </c>
      <c r="M43">
        <f t="shared" si="6"/>
        <v>0.52455156677789494</v>
      </c>
      <c r="N43">
        <f t="shared" si="7"/>
        <v>3.7286392000000002E-2</v>
      </c>
      <c r="O43">
        <f t="shared" si="8"/>
        <v>8.3894382E-3</v>
      </c>
      <c r="P43">
        <f t="shared" si="9"/>
        <v>-1.2722245202677519E-2</v>
      </c>
      <c r="V43">
        <v>-2.1000000000000099</v>
      </c>
      <c r="W43">
        <f t="shared" si="12"/>
        <v>-0.4586169999999995</v>
      </c>
    </row>
    <row r="44" spans="1:23" x14ac:dyDescent="0.3">
      <c r="A44">
        <v>2.3874230999999999</v>
      </c>
      <c r="B44">
        <v>0.66178000000000003</v>
      </c>
      <c r="C44">
        <f t="shared" si="0"/>
        <v>1.579948859118</v>
      </c>
      <c r="D44">
        <v>1.6E-2</v>
      </c>
      <c r="E44">
        <v>3.5999999999999999E-3</v>
      </c>
      <c r="F44">
        <f t="shared" si="1"/>
        <v>477.48462000000001</v>
      </c>
      <c r="G44">
        <f t="shared" si="2"/>
        <v>-0.66178000000000003</v>
      </c>
      <c r="H44">
        <f t="shared" si="3"/>
        <v>-315.98977182359999</v>
      </c>
      <c r="I44">
        <v>1</v>
      </c>
      <c r="J44">
        <f t="shared" si="4"/>
        <v>-0.73922332900417043</v>
      </c>
      <c r="K44">
        <f t="shared" si="5"/>
        <v>-0.55994515177521742</v>
      </c>
      <c r="L44">
        <v>1</v>
      </c>
      <c r="M44">
        <f t="shared" si="6"/>
        <v>0.52574411318022429</v>
      </c>
      <c r="N44">
        <f t="shared" si="7"/>
        <v>3.8198769600000002E-2</v>
      </c>
      <c r="O44">
        <f t="shared" si="8"/>
        <v>8.5947231599999997E-3</v>
      </c>
      <c r="P44">
        <f t="shared" si="9"/>
        <v>-1.2592454165006874E-2</v>
      </c>
      <c r="V44">
        <v>-2.0000000000000102</v>
      </c>
      <c r="W44">
        <f t="shared" si="12"/>
        <v>-0.46354999999999946</v>
      </c>
    </row>
    <row r="45" spans="1:23" x14ac:dyDescent="0.3">
      <c r="A45">
        <v>2.44444645</v>
      </c>
      <c r="B45">
        <v>0.65927999999999998</v>
      </c>
      <c r="C45">
        <f t="shared" si="0"/>
        <v>1.611574655556</v>
      </c>
      <c r="D45">
        <v>1.6E-2</v>
      </c>
      <c r="E45">
        <v>3.5999999999999999E-3</v>
      </c>
      <c r="F45">
        <f t="shared" si="1"/>
        <v>488.88929000000002</v>
      </c>
      <c r="G45">
        <f t="shared" si="2"/>
        <v>-0.65927999999999998</v>
      </c>
      <c r="H45">
        <f t="shared" si="3"/>
        <v>-322.3149311112</v>
      </c>
      <c r="I45">
        <v>1</v>
      </c>
      <c r="J45">
        <f t="shared" si="4"/>
        <v>-0.71561921595779499</v>
      </c>
      <c r="K45">
        <f t="shared" si="5"/>
        <v>-0.56244515177521748</v>
      </c>
      <c r="L45">
        <v>1</v>
      </c>
      <c r="M45">
        <f t="shared" si="6"/>
        <v>0.52690850407680201</v>
      </c>
      <c r="N45">
        <f t="shared" si="7"/>
        <v>3.9111143200000004E-2</v>
      </c>
      <c r="O45">
        <f t="shared" si="8"/>
        <v>8.8000072199999994E-3</v>
      </c>
      <c r="P45">
        <f t="shared" si="9"/>
        <v>-1.2374502721584534E-2</v>
      </c>
      <c r="V45">
        <v>-1.9000000000000099</v>
      </c>
      <c r="W45">
        <f t="shared" si="12"/>
        <v>-0.46848299999999948</v>
      </c>
    </row>
    <row r="46" spans="1:23" x14ac:dyDescent="0.3">
      <c r="A46">
        <v>2.5037736499999999</v>
      </c>
      <c r="B46">
        <v>0.65646000000000004</v>
      </c>
      <c r="C46">
        <f t="shared" si="0"/>
        <v>1.6436272502789999</v>
      </c>
      <c r="D46">
        <v>1.6E-2</v>
      </c>
      <c r="E46">
        <v>3.5999999999999999E-3</v>
      </c>
      <c r="F46">
        <f t="shared" si="1"/>
        <v>500.75473</v>
      </c>
      <c r="G46">
        <f t="shared" si="2"/>
        <v>-0.65646000000000004</v>
      </c>
      <c r="H46">
        <f t="shared" si="3"/>
        <v>-328.72545005579997</v>
      </c>
      <c r="I46">
        <v>1</v>
      </c>
      <c r="J46">
        <f t="shared" si="4"/>
        <v>-0.69163885864956776</v>
      </c>
      <c r="K46">
        <f t="shared" si="5"/>
        <v>-0.56526515177521741</v>
      </c>
      <c r="L46">
        <v>1</v>
      </c>
      <c r="M46">
        <f t="shared" si="6"/>
        <v>0.52809145510281685</v>
      </c>
      <c r="N46">
        <f t="shared" si="7"/>
        <v>4.0060378399999999E-2</v>
      </c>
      <c r="O46">
        <f t="shared" si="8"/>
        <v>9.0135851399999987E-3</v>
      </c>
      <c r="P46">
        <f t="shared" si="9"/>
        <v>-1.190026686759944E-2</v>
      </c>
      <c r="V46">
        <v>-1.80000000000001</v>
      </c>
      <c r="W46">
        <f t="shared" si="12"/>
        <v>-0.4734159999999995</v>
      </c>
    </row>
    <row r="47" spans="1:23" x14ac:dyDescent="0.3">
      <c r="A47">
        <v>2.5613728</v>
      </c>
      <c r="B47">
        <v>0.65398000000000001</v>
      </c>
      <c r="C47">
        <f t="shared" si="0"/>
        <v>1.6750865837440001</v>
      </c>
      <c r="D47">
        <v>1.6E-2</v>
      </c>
      <c r="E47">
        <v>3.5999999999999999E-3</v>
      </c>
      <c r="F47">
        <f t="shared" si="1"/>
        <v>512.27455999999995</v>
      </c>
      <c r="G47">
        <f t="shared" si="2"/>
        <v>-0.65398000000000001</v>
      </c>
      <c r="H47">
        <f t="shared" si="3"/>
        <v>-335.0173167488</v>
      </c>
      <c r="I47">
        <v>1</v>
      </c>
      <c r="J47">
        <f t="shared" si="4"/>
        <v>-0.66889454767327927</v>
      </c>
      <c r="K47">
        <f t="shared" si="5"/>
        <v>-0.56774515177521745</v>
      </c>
      <c r="L47">
        <v>1</v>
      </c>
      <c r="M47">
        <f t="shared" si="6"/>
        <v>0.52921343196327708</v>
      </c>
      <c r="N47">
        <f t="shared" si="7"/>
        <v>4.0981964799999999E-2</v>
      </c>
      <c r="O47">
        <f t="shared" si="8"/>
        <v>9.220942079999999E-3</v>
      </c>
      <c r="P47">
        <f t="shared" si="9"/>
        <v>-1.167118706805963E-2</v>
      </c>
      <c r="V47">
        <v>-1.7000000000000199</v>
      </c>
      <c r="W47">
        <f t="shared" si="12"/>
        <v>-0.47834899999999902</v>
      </c>
    </row>
    <row r="48" spans="1:23" x14ac:dyDescent="0.3">
      <c r="A48">
        <v>2.6189722</v>
      </c>
      <c r="B48">
        <v>0.65146000000000004</v>
      </c>
      <c r="C48">
        <f t="shared" si="0"/>
        <v>1.7061556294120002</v>
      </c>
      <c r="D48">
        <v>1.6E-2</v>
      </c>
      <c r="E48">
        <v>3.5999999999999999E-3</v>
      </c>
      <c r="F48">
        <f t="shared" si="1"/>
        <v>523.79444000000001</v>
      </c>
      <c r="G48">
        <f t="shared" si="2"/>
        <v>-0.65146000000000004</v>
      </c>
      <c r="H48">
        <f t="shared" si="3"/>
        <v>-341.23112588240002</v>
      </c>
      <c r="I48">
        <v>1</v>
      </c>
      <c r="J48">
        <f t="shared" si="4"/>
        <v>-0.64665596170331208</v>
      </c>
      <c r="K48">
        <f t="shared" si="5"/>
        <v>-0.57026515177521742</v>
      </c>
      <c r="L48">
        <v>1</v>
      </c>
      <c r="M48">
        <f t="shared" si="6"/>
        <v>0.53031046140917559</v>
      </c>
      <c r="N48">
        <f t="shared" si="7"/>
        <v>4.1903555199999998E-2</v>
      </c>
      <c r="O48">
        <f t="shared" si="8"/>
        <v>9.4282999199999992E-3</v>
      </c>
      <c r="P48">
        <f t="shared" si="9"/>
        <v>-1.1377164753958174E-2</v>
      </c>
      <c r="V48">
        <v>-1.6000000000000201</v>
      </c>
      <c r="W48">
        <f t="shared" si="12"/>
        <v>-0.48328199999999899</v>
      </c>
    </row>
    <row r="49" spans="1:23" x14ac:dyDescent="0.3">
      <c r="A49">
        <v>2.6759955999999998</v>
      </c>
      <c r="B49">
        <v>0.64881</v>
      </c>
      <c r="C49">
        <f t="shared" si="0"/>
        <v>1.7362127052359999</v>
      </c>
      <c r="D49">
        <v>1.6E-2</v>
      </c>
      <c r="E49">
        <v>3.5999999999999999E-3</v>
      </c>
      <c r="F49">
        <f t="shared" si="1"/>
        <v>535.19911999999999</v>
      </c>
      <c r="G49">
        <f t="shared" si="2"/>
        <v>-0.64881</v>
      </c>
      <c r="H49">
        <f t="shared" si="3"/>
        <v>-347.24254104720001</v>
      </c>
      <c r="I49">
        <v>1</v>
      </c>
      <c r="J49">
        <f t="shared" si="4"/>
        <v>-0.62511641441461208</v>
      </c>
      <c r="K49">
        <f t="shared" si="5"/>
        <v>-0.57291515177521746</v>
      </c>
      <c r="L49">
        <v>1</v>
      </c>
      <c r="M49">
        <f t="shared" si="6"/>
        <v>0.53137300727692716</v>
      </c>
      <c r="N49">
        <f t="shared" si="7"/>
        <v>4.2815929599999997E-2</v>
      </c>
      <c r="O49">
        <f t="shared" si="8"/>
        <v>9.6335841599999982E-3</v>
      </c>
      <c r="P49">
        <f t="shared" si="9"/>
        <v>-1.0907369261709694E-2</v>
      </c>
      <c r="V49">
        <v>-1.50000000000002</v>
      </c>
      <c r="W49">
        <f t="shared" si="12"/>
        <v>-0.48821499999999901</v>
      </c>
    </row>
    <row r="50" spans="1:23" x14ac:dyDescent="0.3">
      <c r="A50">
        <v>2.7330189499999999</v>
      </c>
      <c r="B50">
        <v>0.64631000000000005</v>
      </c>
      <c r="C50">
        <f t="shared" si="0"/>
        <v>1.7663774775745</v>
      </c>
      <c r="D50">
        <v>1.6E-2</v>
      </c>
      <c r="E50">
        <v>3.5999999999999999E-3</v>
      </c>
      <c r="F50">
        <f t="shared" si="1"/>
        <v>546.60379</v>
      </c>
      <c r="G50">
        <f t="shared" si="2"/>
        <v>-0.64631000000000005</v>
      </c>
      <c r="H50">
        <f t="shared" si="3"/>
        <v>-353.2754955149</v>
      </c>
      <c r="I50">
        <v>1</v>
      </c>
      <c r="J50">
        <f t="shared" si="4"/>
        <v>-0.60403107173979653</v>
      </c>
      <c r="K50">
        <f t="shared" si="5"/>
        <v>-0.5754151517752174</v>
      </c>
      <c r="L50">
        <v>1</v>
      </c>
      <c r="M50">
        <f t="shared" si="6"/>
        <v>0.5324131472310758</v>
      </c>
      <c r="N50">
        <f t="shared" si="7"/>
        <v>4.3728303199999999E-2</v>
      </c>
      <c r="O50">
        <f t="shared" si="8"/>
        <v>9.8388682199999997E-3</v>
      </c>
      <c r="P50">
        <f t="shared" si="9"/>
        <v>-1.0565166875858395E-2</v>
      </c>
      <c r="V50">
        <v>-1.4000000000000199</v>
      </c>
      <c r="W50">
        <f t="shared" si="12"/>
        <v>-0.49314799999999903</v>
      </c>
    </row>
    <row r="51" spans="1:23" x14ac:dyDescent="0.3">
      <c r="A51">
        <v>2.7923461500000002</v>
      </c>
      <c r="B51">
        <v>0.64388000000000001</v>
      </c>
      <c r="C51">
        <f t="shared" si="0"/>
        <v>1.7979358390620002</v>
      </c>
      <c r="D51">
        <v>1.6E-2</v>
      </c>
      <c r="E51">
        <v>3.5999999999999999E-3</v>
      </c>
      <c r="F51">
        <f t="shared" si="1"/>
        <v>558.46923000000004</v>
      </c>
      <c r="G51">
        <f t="shared" si="2"/>
        <v>-0.64388000000000001</v>
      </c>
      <c r="H51">
        <f t="shared" si="3"/>
        <v>-359.58716781240003</v>
      </c>
      <c r="I51">
        <v>1</v>
      </c>
      <c r="J51">
        <f t="shared" si="4"/>
        <v>-0.58255575599240239</v>
      </c>
      <c r="K51">
        <f t="shared" si="5"/>
        <v>-0.57784515177521745</v>
      </c>
      <c r="L51">
        <v>1</v>
      </c>
      <c r="M51">
        <f t="shared" si="6"/>
        <v>0.53347252455689476</v>
      </c>
      <c r="N51">
        <f t="shared" si="7"/>
        <v>4.4677538400000001E-2</v>
      </c>
      <c r="O51">
        <f t="shared" si="8"/>
        <v>1.0052446140000001E-2</v>
      </c>
      <c r="P51">
        <f t="shared" si="9"/>
        <v>-1.0357357321677311E-2</v>
      </c>
      <c r="V51">
        <v>-1.30000000000002</v>
      </c>
      <c r="W51">
        <f t="shared" si="12"/>
        <v>-0.498080999999999</v>
      </c>
    </row>
    <row r="52" spans="1:23" x14ac:dyDescent="0.3">
      <c r="A52">
        <v>2.8493691999999999</v>
      </c>
      <c r="B52">
        <v>0.64114000000000004</v>
      </c>
      <c r="C52">
        <f t="shared" si="0"/>
        <v>1.8268445688880002</v>
      </c>
      <c r="D52">
        <v>1.6E-2</v>
      </c>
      <c r="E52">
        <v>3.5999999999999999E-3</v>
      </c>
      <c r="F52">
        <f t="shared" si="1"/>
        <v>569.87383999999997</v>
      </c>
      <c r="G52">
        <f t="shared" si="2"/>
        <v>-0.64114000000000004</v>
      </c>
      <c r="H52">
        <f t="shared" si="3"/>
        <v>-365.36891377760003</v>
      </c>
      <c r="I52">
        <v>1</v>
      </c>
      <c r="J52">
        <f t="shared" si="4"/>
        <v>-0.5623402759847117</v>
      </c>
      <c r="K52">
        <f t="shared" si="5"/>
        <v>-0.58058515177521741</v>
      </c>
      <c r="L52">
        <v>1</v>
      </c>
      <c r="M52">
        <f t="shared" si="6"/>
        <v>0.53446975418567411</v>
      </c>
      <c r="N52">
        <f t="shared" si="7"/>
        <v>4.5589907200000002E-2</v>
      </c>
      <c r="O52">
        <f t="shared" si="8"/>
        <v>1.025772912E-2</v>
      </c>
      <c r="P52">
        <f t="shared" si="9"/>
        <v>-9.7322387304566958E-3</v>
      </c>
      <c r="V52">
        <v>-1.2000000000000199</v>
      </c>
      <c r="W52">
        <f t="shared" si="12"/>
        <v>-0.50301399999999896</v>
      </c>
    </row>
    <row r="53" spans="1:23" x14ac:dyDescent="0.3">
      <c r="A53">
        <v>2.9110008999999999</v>
      </c>
      <c r="B53">
        <v>0.63870000000000005</v>
      </c>
      <c r="C53">
        <f t="shared" si="0"/>
        <v>1.8592562748300001</v>
      </c>
      <c r="D53">
        <v>1.6E-2</v>
      </c>
      <c r="E53">
        <v>3.5999999999999999E-3</v>
      </c>
      <c r="F53">
        <f t="shared" si="1"/>
        <v>582.20017999999993</v>
      </c>
      <c r="G53">
        <f t="shared" si="2"/>
        <v>-0.63870000000000005</v>
      </c>
      <c r="H53">
        <f t="shared" si="3"/>
        <v>-371.851254966</v>
      </c>
      <c r="I53">
        <v>1</v>
      </c>
      <c r="J53">
        <f t="shared" si="4"/>
        <v>-0.54094093849855629</v>
      </c>
      <c r="K53">
        <f t="shared" si="5"/>
        <v>-0.58302515177521741</v>
      </c>
      <c r="L53">
        <v>1</v>
      </c>
      <c r="M53">
        <f t="shared" si="6"/>
        <v>0.53552538350386625</v>
      </c>
      <c r="N53">
        <f t="shared" si="7"/>
        <v>4.6576014399999997E-2</v>
      </c>
      <c r="O53">
        <f t="shared" si="8"/>
        <v>1.047960324E-2</v>
      </c>
      <c r="P53">
        <f t="shared" si="9"/>
        <v>-9.5558493686488354E-3</v>
      </c>
      <c r="V53">
        <v>-1.1000000000000201</v>
      </c>
      <c r="W53">
        <f t="shared" si="12"/>
        <v>-0.50794699999999904</v>
      </c>
    </row>
    <row r="54" spans="1:23" x14ac:dyDescent="0.3">
      <c r="A54">
        <v>2.9709039000000002</v>
      </c>
      <c r="B54">
        <v>0.63619999999999999</v>
      </c>
      <c r="C54">
        <f t="shared" si="0"/>
        <v>1.8900890611800001</v>
      </c>
      <c r="D54">
        <v>1.6E-2</v>
      </c>
      <c r="E54">
        <v>3.5999999999999999E-3</v>
      </c>
      <c r="F54">
        <f t="shared" si="1"/>
        <v>594.18078000000003</v>
      </c>
      <c r="G54">
        <f t="shared" si="2"/>
        <v>-0.63619999999999999</v>
      </c>
      <c r="H54">
        <f t="shared" si="3"/>
        <v>-378.017812236</v>
      </c>
      <c r="I54">
        <v>1</v>
      </c>
      <c r="J54">
        <f t="shared" si="4"/>
        <v>-0.52057166248821718</v>
      </c>
      <c r="K54">
        <f t="shared" si="5"/>
        <v>-0.58552515177521747</v>
      </c>
      <c r="L54">
        <v>1</v>
      </c>
      <c r="M54">
        <f t="shared" si="6"/>
        <v>0.53653019988945627</v>
      </c>
      <c r="N54">
        <f t="shared" si="7"/>
        <v>4.7534462400000005E-2</v>
      </c>
      <c r="O54">
        <f t="shared" si="8"/>
        <v>1.0695254040000001E-2</v>
      </c>
      <c r="P54">
        <f t="shared" si="9"/>
        <v>-9.2347645542388106E-3</v>
      </c>
      <c r="V54">
        <v>-1.00000000000002</v>
      </c>
      <c r="W54">
        <f t="shared" si="12"/>
        <v>-0.512879999999999</v>
      </c>
    </row>
    <row r="55" spans="1:23" x14ac:dyDescent="0.3">
      <c r="A55">
        <v>3.0279272499999998</v>
      </c>
      <c r="B55">
        <v>0.63334000000000001</v>
      </c>
      <c r="C55">
        <f t="shared" si="0"/>
        <v>1.917707444515</v>
      </c>
      <c r="D55">
        <v>1.6E-2</v>
      </c>
      <c r="E55">
        <v>3.5999999999999999E-3</v>
      </c>
      <c r="F55">
        <f t="shared" si="1"/>
        <v>605.58544999999992</v>
      </c>
      <c r="G55">
        <f t="shared" si="2"/>
        <v>-0.63334000000000001</v>
      </c>
      <c r="H55">
        <f t="shared" si="3"/>
        <v>-383.54148890300002</v>
      </c>
      <c r="I55">
        <v>1</v>
      </c>
      <c r="J55">
        <f t="shared" si="4"/>
        <v>-0.50155960290709856</v>
      </c>
      <c r="K55">
        <f t="shared" si="5"/>
        <v>-0.58838515177521744</v>
      </c>
      <c r="L55">
        <v>1</v>
      </c>
      <c r="M55">
        <f t="shared" si="6"/>
        <v>0.53746806478859277</v>
      </c>
      <c r="N55">
        <f t="shared" si="7"/>
        <v>4.8446836E-2</v>
      </c>
      <c r="O55">
        <f t="shared" si="8"/>
        <v>1.0900538099999999E-2</v>
      </c>
      <c r="P55">
        <f t="shared" si="9"/>
        <v>-8.4302871133753281E-3</v>
      </c>
      <c r="V55">
        <v>-0.90000000000002001</v>
      </c>
      <c r="W55">
        <f t="shared" si="12"/>
        <v>-0.51781299999999897</v>
      </c>
    </row>
    <row r="56" spans="1:23" x14ac:dyDescent="0.3">
      <c r="A56">
        <v>3.0855266499999998</v>
      </c>
      <c r="B56">
        <v>0.63105999999999995</v>
      </c>
      <c r="C56">
        <f t="shared" si="0"/>
        <v>1.9471524477489996</v>
      </c>
      <c r="D56">
        <v>1.6E-2</v>
      </c>
      <c r="E56">
        <v>3.5999999999999999E-3</v>
      </c>
      <c r="F56">
        <f t="shared" si="1"/>
        <v>617.10532999999998</v>
      </c>
      <c r="G56">
        <f t="shared" si="2"/>
        <v>-0.63105999999999995</v>
      </c>
      <c r="H56">
        <f t="shared" si="3"/>
        <v>-389.43048954979992</v>
      </c>
      <c r="I56">
        <v>1</v>
      </c>
      <c r="J56">
        <f t="shared" si="4"/>
        <v>-0.4827155565185382</v>
      </c>
      <c r="K56">
        <f t="shared" si="5"/>
        <v>-0.5906651517752175</v>
      </c>
      <c r="L56">
        <v>1</v>
      </c>
      <c r="M56">
        <f t="shared" si="6"/>
        <v>0.53839764159694048</v>
      </c>
      <c r="N56">
        <f t="shared" si="7"/>
        <v>4.9368426399999998E-2</v>
      </c>
      <c r="O56">
        <f t="shared" si="8"/>
        <v>1.1107895939999999E-2</v>
      </c>
      <c r="P56">
        <f t="shared" si="9"/>
        <v>-8.2088121617229764E-3</v>
      </c>
      <c r="V56">
        <v>-0.80000000000002003</v>
      </c>
      <c r="W56">
        <f t="shared" si="12"/>
        <v>-0.52274599999999904</v>
      </c>
    </row>
    <row r="57" spans="1:23" x14ac:dyDescent="0.3">
      <c r="A57">
        <v>3.1425497999999998</v>
      </c>
      <c r="B57">
        <v>0.62856000000000001</v>
      </c>
      <c r="C57">
        <f t="shared" si="0"/>
        <v>1.9752811022879999</v>
      </c>
      <c r="D57">
        <v>1.6E-2</v>
      </c>
      <c r="E57">
        <v>3.5999999999999999E-3</v>
      </c>
      <c r="F57">
        <f t="shared" si="1"/>
        <v>628.50995999999998</v>
      </c>
      <c r="G57">
        <f t="shared" si="2"/>
        <v>-0.62856000000000001</v>
      </c>
      <c r="H57">
        <f t="shared" si="3"/>
        <v>-395.05622045759998</v>
      </c>
      <c r="I57">
        <v>1</v>
      </c>
      <c r="J57">
        <f t="shared" si="4"/>
        <v>-0.46440340382203155</v>
      </c>
      <c r="K57">
        <f t="shared" si="5"/>
        <v>-0.59316515177521745</v>
      </c>
      <c r="L57">
        <v>1</v>
      </c>
      <c r="M57">
        <f t="shared" si="6"/>
        <v>0.53930098008945915</v>
      </c>
      <c r="N57">
        <f t="shared" si="7"/>
        <v>5.0280796799999999E-2</v>
      </c>
      <c r="O57">
        <f t="shared" si="8"/>
        <v>1.1313179279999998E-2</v>
      </c>
      <c r="P57">
        <f t="shared" si="9"/>
        <v>-7.7298043942416982E-3</v>
      </c>
      <c r="V57">
        <v>-0.70000000000002005</v>
      </c>
      <c r="W57">
        <f t="shared" si="12"/>
        <v>-0.52767899999999901</v>
      </c>
    </row>
    <row r="58" spans="1:23" x14ac:dyDescent="0.3">
      <c r="A58">
        <v>3.2024533499999999</v>
      </c>
      <c r="B58">
        <v>0.62621000000000004</v>
      </c>
      <c r="C58">
        <f t="shared" si="0"/>
        <v>2.0054083123035</v>
      </c>
      <c r="D58">
        <v>1.6E-2</v>
      </c>
      <c r="E58">
        <v>3.5999999999999999E-3</v>
      </c>
      <c r="F58">
        <f t="shared" si="1"/>
        <v>640.49067000000002</v>
      </c>
      <c r="G58">
        <f t="shared" si="2"/>
        <v>-0.62621000000000004</v>
      </c>
      <c r="H58">
        <f t="shared" si="3"/>
        <v>-401.08166246069999</v>
      </c>
      <c r="I58">
        <v>1</v>
      </c>
      <c r="J58">
        <f t="shared" si="4"/>
        <v>-0.4455207244961748</v>
      </c>
      <c r="K58">
        <f t="shared" si="5"/>
        <v>-0.59551515177521741</v>
      </c>
      <c r="L58">
        <v>1</v>
      </c>
      <c r="M58">
        <f t="shared" si="6"/>
        <v>0.54023246266060365</v>
      </c>
      <c r="N58">
        <f t="shared" si="7"/>
        <v>5.12392536E-2</v>
      </c>
      <c r="O58">
        <f t="shared" si="8"/>
        <v>1.1528832059999999E-2</v>
      </c>
      <c r="P58">
        <f t="shared" si="9"/>
        <v>-7.4853965453862397E-3</v>
      </c>
      <c r="V58">
        <v>-0.60000000000001996</v>
      </c>
      <c r="W58">
        <f t="shared" si="12"/>
        <v>-0.53261199999999898</v>
      </c>
    </row>
    <row r="59" spans="1:23" x14ac:dyDescent="0.3">
      <c r="A59">
        <v>3.2606283</v>
      </c>
      <c r="B59">
        <v>0.62351000000000001</v>
      </c>
      <c r="C59">
        <f t="shared" si="0"/>
        <v>2.0330343513330003</v>
      </c>
      <c r="D59">
        <v>1.6E-2</v>
      </c>
      <c r="E59">
        <v>3.5999999999999999E-3</v>
      </c>
      <c r="F59">
        <f t="shared" si="1"/>
        <v>652.12566000000004</v>
      </c>
      <c r="G59">
        <f t="shared" si="2"/>
        <v>-0.62351000000000001</v>
      </c>
      <c r="H59">
        <f t="shared" si="3"/>
        <v>-406.60687026660003</v>
      </c>
      <c r="I59">
        <v>1</v>
      </c>
      <c r="J59">
        <f t="shared" si="4"/>
        <v>-0.42751800556418662</v>
      </c>
      <c r="K59">
        <f t="shared" si="5"/>
        <v>-0.59821515177521745</v>
      </c>
      <c r="L59">
        <v>1</v>
      </c>
      <c r="M59">
        <f t="shared" si="6"/>
        <v>0.54112053678551864</v>
      </c>
      <c r="N59">
        <f t="shared" si="7"/>
        <v>5.2170052799999998E-2</v>
      </c>
      <c r="O59">
        <f t="shared" si="8"/>
        <v>1.173826188E-2</v>
      </c>
      <c r="P59">
        <f t="shared" si="9"/>
        <v>-6.8136996903011872E-3</v>
      </c>
      <c r="V59">
        <v>-0.50000000000001998</v>
      </c>
      <c r="W59">
        <f t="shared" si="12"/>
        <v>-0.53754499999999905</v>
      </c>
    </row>
    <row r="60" spans="1:23" x14ac:dyDescent="0.3">
      <c r="A60">
        <v>3.3188039499999999</v>
      </c>
      <c r="B60">
        <v>0.62114000000000003</v>
      </c>
      <c r="C60">
        <f t="shared" si="0"/>
        <v>2.0614418855030001</v>
      </c>
      <c r="D60">
        <v>1.6E-2</v>
      </c>
      <c r="E60">
        <v>3.5999999999999999E-3</v>
      </c>
      <c r="F60">
        <f t="shared" si="1"/>
        <v>663.76079000000004</v>
      </c>
      <c r="G60">
        <f t="shared" si="2"/>
        <v>-0.62114000000000003</v>
      </c>
      <c r="H60">
        <f t="shared" si="3"/>
        <v>-412.28837710060003</v>
      </c>
      <c r="I60">
        <v>1</v>
      </c>
      <c r="J60">
        <f t="shared" si="4"/>
        <v>-0.40983345043759045</v>
      </c>
      <c r="K60">
        <f t="shared" si="5"/>
        <v>-0.60058515177521743</v>
      </c>
      <c r="L60">
        <v>1</v>
      </c>
      <c r="M60">
        <f t="shared" si="6"/>
        <v>0.54199291588991361</v>
      </c>
      <c r="N60">
        <f t="shared" si="7"/>
        <v>5.3100863200000001E-2</v>
      </c>
      <c r="O60">
        <f t="shared" si="8"/>
        <v>1.1947694219999999E-2</v>
      </c>
      <c r="P60">
        <f t="shared" si="9"/>
        <v>-6.4563215346961772E-3</v>
      </c>
      <c r="V60">
        <v>-0.40000000000002001</v>
      </c>
      <c r="W60">
        <f t="shared" si="12"/>
        <v>-0.54247799999999902</v>
      </c>
    </row>
    <row r="61" spans="1:23" x14ac:dyDescent="0.3">
      <c r="A61">
        <v>3.3769792000000001</v>
      </c>
      <c r="B61">
        <v>0.61870999999999998</v>
      </c>
      <c r="C61">
        <f t="shared" si="0"/>
        <v>2.089370800832</v>
      </c>
      <c r="D61">
        <v>1.6E-2</v>
      </c>
      <c r="E61">
        <v>3.5999999999999999E-3</v>
      </c>
      <c r="F61">
        <f t="shared" si="1"/>
        <v>675.39584000000002</v>
      </c>
      <c r="G61">
        <f t="shared" si="2"/>
        <v>-0.61870999999999998</v>
      </c>
      <c r="H61">
        <f t="shared" si="3"/>
        <v>-417.87416016639997</v>
      </c>
      <c r="I61">
        <v>1</v>
      </c>
      <c r="J61">
        <f t="shared" si="4"/>
        <v>-0.39245633036263811</v>
      </c>
      <c r="K61">
        <f t="shared" si="5"/>
        <v>-0.60301515177521747</v>
      </c>
      <c r="L61">
        <v>1</v>
      </c>
      <c r="M61">
        <f t="shared" si="6"/>
        <v>0.54285012922321108</v>
      </c>
      <c r="N61">
        <f t="shared" si="7"/>
        <v>5.4031667200000001E-2</v>
      </c>
      <c r="O61">
        <f t="shared" si="8"/>
        <v>1.2157125120000001E-2</v>
      </c>
      <c r="P61">
        <f t="shared" si="9"/>
        <v>-6.0237697679936045E-3</v>
      </c>
      <c r="V61">
        <v>-0.30000000000001997</v>
      </c>
      <c r="W61">
        <f t="shared" si="12"/>
        <v>-0.54741099999999898</v>
      </c>
    </row>
    <row r="62" spans="1:23" x14ac:dyDescent="0.3">
      <c r="A62">
        <v>3.4340025000000001</v>
      </c>
      <c r="B62">
        <v>0.61634</v>
      </c>
      <c r="C62">
        <f t="shared" si="0"/>
        <v>2.1165131008500002</v>
      </c>
      <c r="D62">
        <v>1.6E-2</v>
      </c>
      <c r="E62">
        <v>3.5999999999999999E-3</v>
      </c>
      <c r="F62">
        <f t="shared" si="1"/>
        <v>686.80050000000006</v>
      </c>
      <c r="G62">
        <f t="shared" si="2"/>
        <v>-0.61634</v>
      </c>
      <c r="H62">
        <f t="shared" si="3"/>
        <v>-423.30262017000007</v>
      </c>
      <c r="I62">
        <v>1</v>
      </c>
      <c r="J62">
        <f t="shared" si="4"/>
        <v>-0.37571142194510365</v>
      </c>
      <c r="K62">
        <f t="shared" si="5"/>
        <v>-0.60538515177521746</v>
      </c>
      <c r="L62">
        <v>1</v>
      </c>
      <c r="M62">
        <f t="shared" si="6"/>
        <v>0.54367615555544802</v>
      </c>
      <c r="N62">
        <f t="shared" si="7"/>
        <v>5.494404E-2</v>
      </c>
      <c r="O62">
        <f t="shared" si="8"/>
        <v>1.2362409E-2</v>
      </c>
      <c r="P62">
        <f t="shared" si="9"/>
        <v>-5.5974527802305583E-3</v>
      </c>
      <c r="V62">
        <v>-0.20000000000002</v>
      </c>
      <c r="W62">
        <f t="shared" si="12"/>
        <v>-0.55234399999999895</v>
      </c>
    </row>
    <row r="63" spans="1:23" x14ac:dyDescent="0.3">
      <c r="A63">
        <v>3.4939056000000002</v>
      </c>
      <c r="B63">
        <v>0.61395</v>
      </c>
      <c r="C63">
        <f t="shared" si="0"/>
        <v>2.14508334312</v>
      </c>
      <c r="D63">
        <v>1.6E-2</v>
      </c>
      <c r="E63">
        <v>3.5999999999999999E-3</v>
      </c>
      <c r="F63">
        <f t="shared" si="1"/>
        <v>698.78111999999999</v>
      </c>
      <c r="G63">
        <f t="shared" si="2"/>
        <v>-0.61395</v>
      </c>
      <c r="H63">
        <f t="shared" si="3"/>
        <v>-429.01666862400003</v>
      </c>
      <c r="I63">
        <v>1</v>
      </c>
      <c r="J63">
        <f t="shared" si="4"/>
        <v>-0.35841771883192658</v>
      </c>
      <c r="K63">
        <f t="shared" si="5"/>
        <v>-0.60777515177521746</v>
      </c>
      <c r="L63">
        <v>1</v>
      </c>
      <c r="M63">
        <f t="shared" si="6"/>
        <v>0.54452925393002105</v>
      </c>
      <c r="N63">
        <f t="shared" si="7"/>
        <v>5.5902489600000001E-2</v>
      </c>
      <c r="O63">
        <f t="shared" si="8"/>
        <v>1.257806016E-2</v>
      </c>
      <c r="P63">
        <f t="shared" si="9"/>
        <v>-5.2346519148035921E-3</v>
      </c>
      <c r="V63">
        <v>-0.10000000000002</v>
      </c>
      <c r="W63">
        <f t="shared" si="12"/>
        <v>-0.55727699999999902</v>
      </c>
    </row>
    <row r="64" spans="1:23" x14ac:dyDescent="0.3">
      <c r="A64">
        <v>3.55150495</v>
      </c>
      <c r="B64">
        <v>0.61146999999999996</v>
      </c>
      <c r="C64">
        <f t="shared" si="0"/>
        <v>2.1716387317765</v>
      </c>
      <c r="D64">
        <v>1.6E-2</v>
      </c>
      <c r="E64">
        <v>3.5999999999999999E-3</v>
      </c>
      <c r="F64">
        <f t="shared" si="1"/>
        <v>710.30098999999996</v>
      </c>
      <c r="G64">
        <f t="shared" si="2"/>
        <v>-0.61146999999999996</v>
      </c>
      <c r="H64">
        <f t="shared" si="3"/>
        <v>-434.32774635530001</v>
      </c>
      <c r="I64">
        <v>1</v>
      </c>
      <c r="J64">
        <f t="shared" si="4"/>
        <v>-0.34206646920206701</v>
      </c>
      <c r="K64">
        <f t="shared" si="5"/>
        <v>-0.6102551517752175</v>
      </c>
      <c r="L64">
        <v>1</v>
      </c>
      <c r="M64">
        <f t="shared" si="6"/>
        <v>0.54533586107426202</v>
      </c>
      <c r="N64">
        <f t="shared" si="7"/>
        <v>5.6824079200000002E-2</v>
      </c>
      <c r="O64">
        <f t="shared" si="8"/>
        <v>1.2785417819999999E-2</v>
      </c>
      <c r="P64">
        <f t="shared" si="9"/>
        <v>-4.6902063190445223E-3</v>
      </c>
      <c r="V64">
        <v>-2.0428103653102899E-14</v>
      </c>
      <c r="W64">
        <f t="shared" si="12"/>
        <v>-0.56220999999999899</v>
      </c>
    </row>
    <row r="65" spans="1:23" x14ac:dyDescent="0.3">
      <c r="A65">
        <v>3.6108321499999998</v>
      </c>
      <c r="B65">
        <v>0.60897999999999997</v>
      </c>
      <c r="C65">
        <f t="shared" si="0"/>
        <v>2.1989245627069995</v>
      </c>
      <c r="D65">
        <v>1.6E-2</v>
      </c>
      <c r="E65">
        <v>3.5999999999999999E-3</v>
      </c>
      <c r="F65">
        <f t="shared" si="1"/>
        <v>722.16642999999999</v>
      </c>
      <c r="G65">
        <f t="shared" si="2"/>
        <v>-0.60897999999999997</v>
      </c>
      <c r="H65">
        <f t="shared" si="3"/>
        <v>-439.78491254139993</v>
      </c>
      <c r="I65">
        <v>1</v>
      </c>
      <c r="J65">
        <f t="shared" si="4"/>
        <v>-0.32549965418785304</v>
      </c>
      <c r="K65">
        <f t="shared" si="5"/>
        <v>-0.61274515177521749</v>
      </c>
      <c r="L65">
        <v>1</v>
      </c>
      <c r="M65">
        <f t="shared" si="6"/>
        <v>0.54615310205891321</v>
      </c>
      <c r="N65">
        <f t="shared" si="7"/>
        <v>5.7773314399999998E-2</v>
      </c>
      <c r="O65">
        <f t="shared" si="8"/>
        <v>1.2998995739999998E-2</v>
      </c>
      <c r="P65">
        <f t="shared" si="9"/>
        <v>-4.1802604236957155E-3</v>
      </c>
      <c r="V65">
        <v>9.9999999999980105E-2</v>
      </c>
      <c r="W65">
        <f t="shared" si="12"/>
        <v>-0.56714299999999895</v>
      </c>
    </row>
    <row r="66" spans="1:23" x14ac:dyDescent="0.3">
      <c r="A66">
        <v>3.6678555500000001</v>
      </c>
      <c r="B66">
        <v>0.60667000000000004</v>
      </c>
      <c r="C66">
        <f t="shared" si="0"/>
        <v>2.2251779265185001</v>
      </c>
      <c r="D66">
        <v>1.6E-2</v>
      </c>
      <c r="E66">
        <v>3.5999999999999999E-3</v>
      </c>
      <c r="F66">
        <f t="shared" si="1"/>
        <v>733.57110999999998</v>
      </c>
      <c r="G66">
        <f t="shared" si="2"/>
        <v>-0.60667000000000004</v>
      </c>
      <c r="H66">
        <f t="shared" si="3"/>
        <v>-445.03558530370003</v>
      </c>
      <c r="I66">
        <v>1</v>
      </c>
      <c r="J66">
        <f t="shared" si="4"/>
        <v>-0.30983073994947224</v>
      </c>
      <c r="K66">
        <f t="shared" si="5"/>
        <v>-0.61505515177521741</v>
      </c>
      <c r="L66">
        <v>1</v>
      </c>
      <c r="M66">
        <f t="shared" si="6"/>
        <v>0.5469260495982925</v>
      </c>
      <c r="N66">
        <f t="shared" si="7"/>
        <v>5.8685688800000003E-2</v>
      </c>
      <c r="O66">
        <f t="shared" si="8"/>
        <v>1.3204279980000001E-2</v>
      </c>
      <c r="P66">
        <f t="shared" si="9"/>
        <v>-3.760866603075088E-3</v>
      </c>
      <c r="V66">
        <v>0.19999999999998</v>
      </c>
      <c r="W66">
        <f t="shared" si="12"/>
        <v>-0.57207599999999903</v>
      </c>
    </row>
    <row r="67" spans="1:23" x14ac:dyDescent="0.3">
      <c r="A67">
        <v>3.7300627</v>
      </c>
      <c r="B67">
        <v>0.60424</v>
      </c>
      <c r="C67">
        <f t="shared" si="0"/>
        <v>2.2538530858480001</v>
      </c>
      <c r="D67">
        <v>1.6E-2</v>
      </c>
      <c r="E67">
        <v>3.5999999999999999E-3</v>
      </c>
      <c r="F67">
        <f t="shared" si="1"/>
        <v>746.01253999999994</v>
      </c>
      <c r="G67">
        <f t="shared" si="2"/>
        <v>-0.60424</v>
      </c>
      <c r="H67">
        <f t="shared" si="3"/>
        <v>-450.77061716960003</v>
      </c>
      <c r="I67">
        <v>1</v>
      </c>
      <c r="J67">
        <f t="shared" si="4"/>
        <v>-0.29301286926818237</v>
      </c>
      <c r="K67">
        <f t="shared" si="5"/>
        <v>-0.61748515177521746</v>
      </c>
      <c r="L67">
        <v>1</v>
      </c>
      <c r="M67">
        <f t="shared" si="6"/>
        <v>0.54775567515900059</v>
      </c>
      <c r="N67">
        <f t="shared" si="7"/>
        <v>5.9681003199999999E-2</v>
      </c>
      <c r="O67">
        <f t="shared" si="8"/>
        <v>1.3428225719999999E-2</v>
      </c>
      <c r="P67">
        <f t="shared" si="9"/>
        <v>-3.3797523037831304E-3</v>
      </c>
      <c r="V67">
        <v>0.29999999999998</v>
      </c>
      <c r="W67">
        <f t="shared" si="12"/>
        <v>-0.57700899999999899</v>
      </c>
    </row>
    <row r="68" spans="1:23" x14ac:dyDescent="0.3">
      <c r="A68">
        <v>3.7870860500000001</v>
      </c>
      <c r="B68">
        <v>0.60165000000000002</v>
      </c>
      <c r="C68">
        <f t="shared" ref="C68:C131" si="13">A68*B68</f>
        <v>2.2785003219825</v>
      </c>
      <c r="D68">
        <v>1.6E-2</v>
      </c>
      <c r="E68">
        <v>3.5999999999999999E-3</v>
      </c>
      <c r="F68">
        <f t="shared" ref="F68:F131" si="14">A68*200</f>
        <v>757.41721000000007</v>
      </c>
      <c r="G68">
        <f t="shared" ref="G68:G131" si="15">-B68</f>
        <v>-0.60165000000000002</v>
      </c>
      <c r="H68">
        <f t="shared" ref="H68:H131" si="16">-C68*200</f>
        <v>-455.70006439650001</v>
      </c>
      <c r="I68">
        <v>1</v>
      </c>
      <c r="J68">
        <f t="shared" ref="J68:J131" si="17">LN(F68/1000)</f>
        <v>-0.27784104130098053</v>
      </c>
      <c r="K68">
        <f t="shared" ref="K68:K131" si="18">((-G68)-$N$2)</f>
        <v>-0.62007515177521744</v>
      </c>
      <c r="L68">
        <v>1</v>
      </c>
      <c r="M68">
        <f t="shared" ref="M68:M131" si="19">-1*($S$4+($S$5*J68))</f>
        <v>0.54850410143262263</v>
      </c>
      <c r="N68">
        <f t="shared" ref="N68:N131" si="20">D68*A68</f>
        <v>6.0593376800000001E-2</v>
      </c>
      <c r="O68">
        <f t="shared" ref="O68:O131" si="21">E68*A68</f>
        <v>1.3633509780000001E-2</v>
      </c>
      <c r="P68">
        <f t="shared" ref="P68:P131" si="22">-K68-M68-N68-O68</f>
        <v>-2.655836237405191E-3</v>
      </c>
      <c r="V68">
        <v>0.39999999999997998</v>
      </c>
      <c r="W68">
        <f t="shared" ref="W68:W99" si="23">V68*$S$5+$S$4</f>
        <v>-0.58194199999999896</v>
      </c>
    </row>
    <row r="69" spans="1:23" x14ac:dyDescent="0.3">
      <c r="A69">
        <v>3.8452613499999999</v>
      </c>
      <c r="B69">
        <v>0.59926000000000001</v>
      </c>
      <c r="C69">
        <f t="shared" si="13"/>
        <v>2.3043113166009999</v>
      </c>
      <c r="D69">
        <v>1.6E-2</v>
      </c>
      <c r="E69">
        <v>3.5999999999999999E-3</v>
      </c>
      <c r="F69">
        <f t="shared" si="14"/>
        <v>769.05227000000002</v>
      </c>
      <c r="G69">
        <f t="shared" si="15"/>
        <v>-0.59926000000000001</v>
      </c>
      <c r="H69">
        <f t="shared" si="16"/>
        <v>-460.86226332019999</v>
      </c>
      <c r="I69">
        <v>1</v>
      </c>
      <c r="J69">
        <f t="shared" si="17"/>
        <v>-0.26259634039502605</v>
      </c>
      <c r="K69">
        <f t="shared" si="18"/>
        <v>-0.62246515177521744</v>
      </c>
      <c r="L69">
        <v>1</v>
      </c>
      <c r="M69">
        <f t="shared" si="19"/>
        <v>0.54925612252831335</v>
      </c>
      <c r="N69">
        <f t="shared" si="20"/>
        <v>6.1524181599999998E-2</v>
      </c>
      <c r="O69">
        <f t="shared" si="21"/>
        <v>1.384294086E-2</v>
      </c>
      <c r="P69">
        <f t="shared" si="22"/>
        <v>-2.1580932130959088E-3</v>
      </c>
      <c r="V69">
        <v>0.49999999999998002</v>
      </c>
      <c r="W69">
        <f t="shared" si="23"/>
        <v>-0.58687499999999904</v>
      </c>
    </row>
    <row r="70" spans="1:23" x14ac:dyDescent="0.3">
      <c r="A70">
        <v>3.9080442999999998</v>
      </c>
      <c r="B70">
        <v>0.59699999999999998</v>
      </c>
      <c r="C70">
        <f t="shared" si="13"/>
        <v>2.3331024470999999</v>
      </c>
      <c r="D70">
        <v>1.6E-2</v>
      </c>
      <c r="E70">
        <v>3.5999999999999999E-3</v>
      </c>
      <c r="F70">
        <f t="shared" si="14"/>
        <v>781.60885999999994</v>
      </c>
      <c r="G70">
        <f t="shared" si="15"/>
        <v>-0.59699999999999998</v>
      </c>
      <c r="H70">
        <f t="shared" si="16"/>
        <v>-466.62048942000001</v>
      </c>
      <c r="I70">
        <v>1</v>
      </c>
      <c r="J70">
        <f t="shared" si="17"/>
        <v>-0.2464008425962162</v>
      </c>
      <c r="K70">
        <f t="shared" si="18"/>
        <v>-0.62472515177521748</v>
      </c>
      <c r="L70">
        <v>1</v>
      </c>
      <c r="M70">
        <f t="shared" si="19"/>
        <v>0.55005504643472869</v>
      </c>
      <c r="N70">
        <f t="shared" si="20"/>
        <v>6.2528708799999999E-2</v>
      </c>
      <c r="O70">
        <f t="shared" si="21"/>
        <v>1.4068959479999999E-2</v>
      </c>
      <c r="P70">
        <f t="shared" si="22"/>
        <v>-1.9275629395112074E-3</v>
      </c>
      <c r="V70">
        <v>0.59999999999997999</v>
      </c>
      <c r="W70">
        <f t="shared" si="23"/>
        <v>-0.591807999999999</v>
      </c>
    </row>
    <row r="71" spans="1:23" x14ac:dyDescent="0.3">
      <c r="A71">
        <v>3.9650676499999999</v>
      </c>
      <c r="B71">
        <v>0.59433000000000002</v>
      </c>
      <c r="C71">
        <f t="shared" si="13"/>
        <v>2.3565586564245002</v>
      </c>
      <c r="D71">
        <v>1.6E-2</v>
      </c>
      <c r="E71">
        <v>3.5999999999999999E-3</v>
      </c>
      <c r="F71">
        <f t="shared" si="14"/>
        <v>793.01352999999995</v>
      </c>
      <c r="G71">
        <f t="shared" si="15"/>
        <v>-0.59433000000000002</v>
      </c>
      <c r="H71">
        <f t="shared" si="16"/>
        <v>-471.31173128490002</v>
      </c>
      <c r="I71">
        <v>1</v>
      </c>
      <c r="J71">
        <f t="shared" si="17"/>
        <v>-0.23191499570217144</v>
      </c>
      <c r="K71">
        <f t="shared" si="18"/>
        <v>-0.62739515177521743</v>
      </c>
      <c r="L71">
        <v>1</v>
      </c>
      <c r="M71">
        <f t="shared" si="19"/>
        <v>0.55076963326201189</v>
      </c>
      <c r="N71">
        <f t="shared" si="20"/>
        <v>6.3441082400000001E-2</v>
      </c>
      <c r="O71">
        <f t="shared" si="21"/>
        <v>1.427424354E-2</v>
      </c>
      <c r="P71">
        <f t="shared" si="22"/>
        <v>-1.0898074267944643E-3</v>
      </c>
      <c r="V71">
        <v>0.69999999999997997</v>
      </c>
      <c r="W71">
        <f t="shared" si="23"/>
        <v>-0.59674099999999897</v>
      </c>
    </row>
    <row r="72" spans="1:23" x14ac:dyDescent="0.3">
      <c r="A72">
        <v>4.0226670499999999</v>
      </c>
      <c r="B72">
        <v>0.59202999999999995</v>
      </c>
      <c r="C72">
        <f t="shared" si="13"/>
        <v>2.3815395736114997</v>
      </c>
      <c r="D72">
        <v>1.6E-2</v>
      </c>
      <c r="E72">
        <v>3.5999999999999999E-3</v>
      </c>
      <c r="F72">
        <f t="shared" si="14"/>
        <v>804.53341</v>
      </c>
      <c r="G72">
        <f t="shared" si="15"/>
        <v>-0.59202999999999995</v>
      </c>
      <c r="H72">
        <f t="shared" si="16"/>
        <v>-476.30791472229993</v>
      </c>
      <c r="I72">
        <v>1</v>
      </c>
      <c r="J72">
        <f t="shared" si="17"/>
        <v>-0.21749278451206219</v>
      </c>
      <c r="K72">
        <f t="shared" si="18"/>
        <v>-0.62969515177521751</v>
      </c>
      <c r="L72">
        <v>1</v>
      </c>
      <c r="M72">
        <f t="shared" si="19"/>
        <v>0.55148108094001991</v>
      </c>
      <c r="N72">
        <f t="shared" si="20"/>
        <v>6.4362672800000006E-2</v>
      </c>
      <c r="O72">
        <f t="shared" si="21"/>
        <v>1.4481601379999999E-2</v>
      </c>
      <c r="P72">
        <f t="shared" si="22"/>
        <v>-6.3020334480240296E-4</v>
      </c>
      <c r="V72">
        <v>0.79999999999997995</v>
      </c>
      <c r="W72">
        <f t="shared" si="23"/>
        <v>-0.60167399999999904</v>
      </c>
    </row>
    <row r="73" spans="1:23" x14ac:dyDescent="0.3">
      <c r="A73">
        <v>4.0808423500000002</v>
      </c>
      <c r="B73">
        <v>0.5897</v>
      </c>
      <c r="C73">
        <f t="shared" si="13"/>
        <v>2.4064727337950003</v>
      </c>
      <c r="D73">
        <v>1.6E-2</v>
      </c>
      <c r="E73">
        <v>3.5999999999999999E-3</v>
      </c>
      <c r="F73">
        <f t="shared" si="14"/>
        <v>816.16847000000007</v>
      </c>
      <c r="G73">
        <f t="shared" si="15"/>
        <v>-0.5897</v>
      </c>
      <c r="H73">
        <f t="shared" si="16"/>
        <v>-481.29454675900007</v>
      </c>
      <c r="I73">
        <v>1</v>
      </c>
      <c r="J73">
        <f t="shared" si="17"/>
        <v>-0.20313448699428538</v>
      </c>
      <c r="K73">
        <f t="shared" si="18"/>
        <v>-0.63202515177521745</v>
      </c>
      <c r="L73">
        <v>1</v>
      </c>
      <c r="M73">
        <f t="shared" si="19"/>
        <v>0.5521893757565719</v>
      </c>
      <c r="N73">
        <f t="shared" si="20"/>
        <v>6.5293477600000011E-2</v>
      </c>
      <c r="O73">
        <f t="shared" si="21"/>
        <v>1.469103246E-2</v>
      </c>
      <c r="P73">
        <f t="shared" si="22"/>
        <v>-1.4873404135445564E-4</v>
      </c>
      <c r="V73">
        <v>0.89999999999998004</v>
      </c>
      <c r="W73">
        <f t="shared" si="23"/>
        <v>-0.60660699999999901</v>
      </c>
    </row>
    <row r="74" spans="1:23" x14ac:dyDescent="0.3">
      <c r="A74">
        <v>4.1378656999999999</v>
      </c>
      <c r="B74">
        <v>0.5877</v>
      </c>
      <c r="C74">
        <f t="shared" si="13"/>
        <v>2.4318236718899997</v>
      </c>
      <c r="D74">
        <v>1.6E-2</v>
      </c>
      <c r="E74">
        <v>3.5999999999999999E-3</v>
      </c>
      <c r="F74">
        <f t="shared" si="14"/>
        <v>827.57313999999997</v>
      </c>
      <c r="G74">
        <f t="shared" si="15"/>
        <v>-0.5877</v>
      </c>
      <c r="H74">
        <f t="shared" si="16"/>
        <v>-486.36473437799992</v>
      </c>
      <c r="I74">
        <v>1</v>
      </c>
      <c r="J74">
        <f t="shared" si="17"/>
        <v>-0.18925778892984538</v>
      </c>
      <c r="K74">
        <f t="shared" si="18"/>
        <v>-0.63402515177521745</v>
      </c>
      <c r="L74">
        <v>1</v>
      </c>
      <c r="M74">
        <f t="shared" si="19"/>
        <v>0.55287391327209068</v>
      </c>
      <c r="N74">
        <f t="shared" si="20"/>
        <v>6.6205851199999999E-2</v>
      </c>
      <c r="O74">
        <f t="shared" si="21"/>
        <v>1.4896316519999999E-2</v>
      </c>
      <c r="P74">
        <f t="shared" si="22"/>
        <v>4.9070783126778719E-5</v>
      </c>
      <c r="V74">
        <v>0.99999999999998002</v>
      </c>
      <c r="W74">
        <f t="shared" si="23"/>
        <v>-0.61153999999999897</v>
      </c>
    </row>
    <row r="75" spans="1:23" x14ac:dyDescent="0.3">
      <c r="A75">
        <v>4.1977690499999998</v>
      </c>
      <c r="B75">
        <v>0.58518000000000003</v>
      </c>
      <c r="C75">
        <f t="shared" si="13"/>
        <v>2.4564504926790001</v>
      </c>
      <c r="D75">
        <v>1.6E-2</v>
      </c>
      <c r="E75">
        <v>3.5999999999999999E-3</v>
      </c>
      <c r="F75">
        <f t="shared" si="14"/>
        <v>839.55381</v>
      </c>
      <c r="G75">
        <f t="shared" si="15"/>
        <v>-0.58518000000000003</v>
      </c>
      <c r="H75">
        <f t="shared" si="16"/>
        <v>-491.29009853579998</v>
      </c>
      <c r="I75">
        <v>1</v>
      </c>
      <c r="J75">
        <f t="shared" si="17"/>
        <v>-0.17488470684152113</v>
      </c>
      <c r="K75">
        <f t="shared" si="18"/>
        <v>-0.63654515177521742</v>
      </c>
      <c r="L75">
        <v>1</v>
      </c>
      <c r="M75">
        <f t="shared" si="19"/>
        <v>0.55358293741150777</v>
      </c>
      <c r="N75">
        <f t="shared" si="20"/>
        <v>6.7164304800000005E-2</v>
      </c>
      <c r="O75">
        <f t="shared" si="21"/>
        <v>1.5111968579999999E-2</v>
      </c>
      <c r="P75">
        <f t="shared" si="22"/>
        <v>6.8594098370964793E-4</v>
      </c>
      <c r="V75">
        <v>1.0999999999999699</v>
      </c>
      <c r="W75">
        <f t="shared" si="23"/>
        <v>-0.61647299999999849</v>
      </c>
    </row>
    <row r="76" spans="1:23" x14ac:dyDescent="0.3">
      <c r="A76">
        <v>4.2605522999999996</v>
      </c>
      <c r="B76">
        <v>0.58260000000000001</v>
      </c>
      <c r="C76">
        <f t="shared" si="13"/>
        <v>2.48219776998</v>
      </c>
      <c r="D76">
        <v>1.6E-2</v>
      </c>
      <c r="E76">
        <v>3.5999999999999999E-3</v>
      </c>
      <c r="F76">
        <f t="shared" si="14"/>
        <v>852.11045999999988</v>
      </c>
      <c r="G76">
        <f t="shared" si="15"/>
        <v>-0.58260000000000001</v>
      </c>
      <c r="H76">
        <f t="shared" si="16"/>
        <v>-496.43955399599997</v>
      </c>
      <c r="I76">
        <v>1</v>
      </c>
      <c r="J76">
        <f t="shared" si="17"/>
        <v>-0.16003911266905851</v>
      </c>
      <c r="K76">
        <f t="shared" si="18"/>
        <v>-0.63912515177521745</v>
      </c>
      <c r="L76">
        <v>1</v>
      </c>
      <c r="M76">
        <f t="shared" si="19"/>
        <v>0.55431527057203533</v>
      </c>
      <c r="N76">
        <f t="shared" si="20"/>
        <v>6.8168836799999993E-2</v>
      </c>
      <c r="O76">
        <f t="shared" si="21"/>
        <v>1.5337988279999997E-2</v>
      </c>
      <c r="P76">
        <f t="shared" si="22"/>
        <v>1.3030561231821228E-3</v>
      </c>
      <c r="V76">
        <v>1.19999999999997</v>
      </c>
      <c r="W76">
        <f t="shared" si="23"/>
        <v>-0.62140599999999846</v>
      </c>
    </row>
    <row r="77" spans="1:23" x14ac:dyDescent="0.3">
      <c r="A77">
        <v>4.3216075500000004</v>
      </c>
      <c r="B77">
        <v>0.58008999999999999</v>
      </c>
      <c r="C77">
        <f t="shared" si="13"/>
        <v>2.5069213236795003</v>
      </c>
      <c r="D77">
        <v>1.6E-2</v>
      </c>
      <c r="E77">
        <v>3.5999999999999999E-3</v>
      </c>
      <c r="F77">
        <f t="shared" si="14"/>
        <v>864.3215100000001</v>
      </c>
      <c r="G77">
        <f t="shared" si="15"/>
        <v>-0.58008999999999999</v>
      </c>
      <c r="H77">
        <f t="shared" si="16"/>
        <v>-501.38426473590005</v>
      </c>
      <c r="I77">
        <v>1</v>
      </c>
      <c r="J77">
        <f t="shared" si="17"/>
        <v>-0.1458104613412782</v>
      </c>
      <c r="K77">
        <f t="shared" si="18"/>
        <v>-0.64163515177521746</v>
      </c>
      <c r="L77">
        <v>1</v>
      </c>
      <c r="M77">
        <f t="shared" si="19"/>
        <v>0.55501716994203476</v>
      </c>
      <c r="N77">
        <f t="shared" si="20"/>
        <v>6.9145720800000005E-2</v>
      </c>
      <c r="O77">
        <f t="shared" si="21"/>
        <v>1.5557787180000001E-2</v>
      </c>
      <c r="P77">
        <f t="shared" si="22"/>
        <v>1.9144738531826945E-3</v>
      </c>
      <c r="V77">
        <v>1.2999999999999701</v>
      </c>
      <c r="W77">
        <f t="shared" si="23"/>
        <v>-0.62633899999999854</v>
      </c>
    </row>
    <row r="78" spans="1:23" x14ac:dyDescent="0.3">
      <c r="A78">
        <v>4.3809351999999997</v>
      </c>
      <c r="B78">
        <v>0.57777000000000001</v>
      </c>
      <c r="C78">
        <f t="shared" si="13"/>
        <v>2.5311729305039998</v>
      </c>
      <c r="D78">
        <v>1.6E-2</v>
      </c>
      <c r="E78">
        <v>3.5999999999999999E-3</v>
      </c>
      <c r="F78">
        <f t="shared" si="14"/>
        <v>876.18703999999991</v>
      </c>
      <c r="G78">
        <f t="shared" si="15"/>
        <v>-0.57777000000000001</v>
      </c>
      <c r="H78">
        <f t="shared" si="16"/>
        <v>-506.23458610079996</v>
      </c>
      <c r="I78">
        <v>1</v>
      </c>
      <c r="J78">
        <f t="shared" si="17"/>
        <v>-0.13217569485530364</v>
      </c>
      <c r="K78">
        <f t="shared" si="18"/>
        <v>-0.64395515177521745</v>
      </c>
      <c r="L78">
        <v>1</v>
      </c>
      <c r="M78">
        <f t="shared" si="19"/>
        <v>0.55568977297278788</v>
      </c>
      <c r="N78">
        <f t="shared" si="20"/>
        <v>7.0094963199999999E-2</v>
      </c>
      <c r="O78">
        <f t="shared" si="21"/>
        <v>1.5771366719999999E-2</v>
      </c>
      <c r="P78">
        <f t="shared" si="22"/>
        <v>2.3990488824295747E-3</v>
      </c>
      <c r="V78">
        <v>1.3999999999999699</v>
      </c>
      <c r="W78">
        <f t="shared" si="23"/>
        <v>-0.6312719999999985</v>
      </c>
    </row>
    <row r="79" spans="1:23" x14ac:dyDescent="0.3">
      <c r="A79">
        <v>4.4379585500000003</v>
      </c>
      <c r="B79">
        <v>0.57521</v>
      </c>
      <c r="C79">
        <f t="shared" si="13"/>
        <v>2.5527581375455002</v>
      </c>
      <c r="D79">
        <v>1.6E-2</v>
      </c>
      <c r="E79">
        <v>3.5999999999999999E-3</v>
      </c>
      <c r="F79">
        <f t="shared" si="14"/>
        <v>887.59171000000003</v>
      </c>
      <c r="G79">
        <f t="shared" si="15"/>
        <v>-0.57521</v>
      </c>
      <c r="H79">
        <f t="shared" si="16"/>
        <v>-510.55162750910006</v>
      </c>
      <c r="I79">
        <v>1</v>
      </c>
      <c r="J79">
        <f t="shared" si="17"/>
        <v>-0.1192434277600137</v>
      </c>
      <c r="K79">
        <f t="shared" si="18"/>
        <v>-0.64651515177521746</v>
      </c>
      <c r="L79">
        <v>1</v>
      </c>
      <c r="M79">
        <f t="shared" si="19"/>
        <v>0.55632772170859857</v>
      </c>
      <c r="N79">
        <f t="shared" si="20"/>
        <v>7.1007336800000001E-2</v>
      </c>
      <c r="O79">
        <f t="shared" si="21"/>
        <v>1.5976650780000001E-2</v>
      </c>
      <c r="P79">
        <f t="shared" si="22"/>
        <v>3.2034424866188883E-3</v>
      </c>
      <c r="V79">
        <v>1.49999999999997</v>
      </c>
      <c r="W79">
        <f t="shared" si="23"/>
        <v>-0.63620499999999847</v>
      </c>
    </row>
    <row r="80" spans="1:23" x14ac:dyDescent="0.3">
      <c r="A80">
        <v>4.4955575000000003</v>
      </c>
      <c r="B80">
        <v>0.57294999999999996</v>
      </c>
      <c r="C80">
        <f t="shared" si="13"/>
        <v>2.5757296696249998</v>
      </c>
      <c r="D80">
        <v>1.6E-2</v>
      </c>
      <c r="E80">
        <v>3.5999999999999999E-3</v>
      </c>
      <c r="F80">
        <f t="shared" si="14"/>
        <v>899.11150000000009</v>
      </c>
      <c r="G80">
        <f t="shared" si="15"/>
        <v>-0.57294999999999996</v>
      </c>
      <c r="H80">
        <f t="shared" si="16"/>
        <v>-515.14593392500001</v>
      </c>
      <c r="I80">
        <v>1</v>
      </c>
      <c r="J80">
        <f t="shared" si="17"/>
        <v>-0.10634822550486227</v>
      </c>
      <c r="K80">
        <f t="shared" si="18"/>
        <v>-0.6487751517752175</v>
      </c>
      <c r="L80">
        <v>1</v>
      </c>
      <c r="M80">
        <f t="shared" si="19"/>
        <v>0.55696384203584515</v>
      </c>
      <c r="N80">
        <f t="shared" si="20"/>
        <v>7.1928920000000007E-2</v>
      </c>
      <c r="O80">
        <f t="shared" si="21"/>
        <v>1.6184007E-2</v>
      </c>
      <c r="P80">
        <f t="shared" si="22"/>
        <v>3.6983827393723412E-3</v>
      </c>
      <c r="V80">
        <v>1.5999999999999699</v>
      </c>
      <c r="W80">
        <f t="shared" si="23"/>
        <v>-0.64113799999999854</v>
      </c>
    </row>
    <row r="81" spans="1:23" x14ac:dyDescent="0.3">
      <c r="A81">
        <v>4.5537327999999997</v>
      </c>
      <c r="B81">
        <v>0.57065999999999995</v>
      </c>
      <c r="C81">
        <f t="shared" si="13"/>
        <v>2.5986331596479997</v>
      </c>
      <c r="D81">
        <v>1.6E-2</v>
      </c>
      <c r="E81">
        <v>3.5999999999999999E-3</v>
      </c>
      <c r="F81">
        <f t="shared" si="14"/>
        <v>910.74655999999993</v>
      </c>
      <c r="G81">
        <f t="shared" si="15"/>
        <v>-0.57065999999999995</v>
      </c>
      <c r="H81">
        <f t="shared" si="16"/>
        <v>-519.72663192959999</v>
      </c>
      <c r="I81">
        <v>1</v>
      </c>
      <c r="J81">
        <f t="shared" si="17"/>
        <v>-9.3490620207377306E-2</v>
      </c>
      <c r="K81">
        <f t="shared" si="18"/>
        <v>-0.65106515177521751</v>
      </c>
      <c r="L81">
        <v>1</v>
      </c>
      <c r="M81">
        <f t="shared" si="19"/>
        <v>0.55759810770517004</v>
      </c>
      <c r="N81">
        <f t="shared" si="20"/>
        <v>7.2859724799999998E-2</v>
      </c>
      <c r="O81">
        <f t="shared" si="21"/>
        <v>1.6393438079999999E-2</v>
      </c>
      <c r="P81">
        <f t="shared" si="22"/>
        <v>4.21388119004747E-3</v>
      </c>
      <c r="V81">
        <v>1.69999999999997</v>
      </c>
      <c r="W81">
        <f t="shared" si="23"/>
        <v>-0.64607099999999851</v>
      </c>
    </row>
    <row r="82" spans="1:23" x14ac:dyDescent="0.3">
      <c r="A82">
        <v>4.6176681999999998</v>
      </c>
      <c r="B82">
        <v>0.56823000000000001</v>
      </c>
      <c r="C82">
        <f t="shared" si="13"/>
        <v>2.623897601286</v>
      </c>
      <c r="D82">
        <v>1.6E-2</v>
      </c>
      <c r="E82">
        <v>3.5999999999999999E-3</v>
      </c>
      <c r="F82">
        <f t="shared" si="14"/>
        <v>923.53363999999999</v>
      </c>
      <c r="G82">
        <f t="shared" si="15"/>
        <v>-0.56823000000000001</v>
      </c>
      <c r="H82">
        <f t="shared" si="16"/>
        <v>-524.77952025720003</v>
      </c>
      <c r="I82">
        <v>1</v>
      </c>
      <c r="J82">
        <f t="shared" si="17"/>
        <v>-7.9548053368485194E-2</v>
      </c>
      <c r="K82">
        <f t="shared" si="18"/>
        <v>-0.65349515177521744</v>
      </c>
      <c r="L82">
        <v>1</v>
      </c>
      <c r="M82">
        <f t="shared" si="19"/>
        <v>0.55828589452733257</v>
      </c>
      <c r="N82">
        <f t="shared" si="20"/>
        <v>7.3882691200000003E-2</v>
      </c>
      <c r="O82">
        <f t="shared" si="21"/>
        <v>1.6623605519999998E-2</v>
      </c>
      <c r="P82">
        <f t="shared" si="22"/>
        <v>4.7029605278848703E-3</v>
      </c>
      <c r="V82">
        <v>1.7999999999999701</v>
      </c>
      <c r="W82">
        <f t="shared" si="23"/>
        <v>-0.65100399999999847</v>
      </c>
    </row>
    <row r="83" spans="1:23" x14ac:dyDescent="0.3">
      <c r="A83">
        <v>4.6746916000000001</v>
      </c>
      <c r="B83">
        <v>0.56591000000000002</v>
      </c>
      <c r="C83">
        <f t="shared" si="13"/>
        <v>2.645454723356</v>
      </c>
      <c r="D83">
        <v>1.6E-2</v>
      </c>
      <c r="E83">
        <v>3.5999999999999999E-3</v>
      </c>
      <c r="F83">
        <f t="shared" si="14"/>
        <v>934.93831999999998</v>
      </c>
      <c r="G83">
        <f t="shared" si="15"/>
        <v>-0.56591000000000002</v>
      </c>
      <c r="H83">
        <f t="shared" si="16"/>
        <v>-529.09094467119996</v>
      </c>
      <c r="I83">
        <v>1</v>
      </c>
      <c r="J83">
        <f t="shared" si="17"/>
        <v>-6.7274719783867135E-2</v>
      </c>
      <c r="K83">
        <f t="shared" si="18"/>
        <v>-0.65581515177521743</v>
      </c>
      <c r="L83">
        <v>1</v>
      </c>
      <c r="M83">
        <f t="shared" si="19"/>
        <v>0.55889133807306179</v>
      </c>
      <c r="N83">
        <f t="shared" si="20"/>
        <v>7.4795065600000002E-2</v>
      </c>
      <c r="O83">
        <f t="shared" si="21"/>
        <v>1.682888976E-2</v>
      </c>
      <c r="P83">
        <f t="shared" si="22"/>
        <v>5.2998583421556347E-3</v>
      </c>
      <c r="V83">
        <v>1.8999999999999699</v>
      </c>
      <c r="W83">
        <f t="shared" si="23"/>
        <v>-0.65593699999999855</v>
      </c>
    </row>
    <row r="84" spans="1:23" x14ac:dyDescent="0.3">
      <c r="A84">
        <v>4.7328671</v>
      </c>
      <c r="B84">
        <v>0.56381999999999999</v>
      </c>
      <c r="C84">
        <f t="shared" si="13"/>
        <v>2.6684851283220001</v>
      </c>
      <c r="D84">
        <v>1.6E-2</v>
      </c>
      <c r="E84">
        <v>3.5999999999999999E-3</v>
      </c>
      <c r="F84">
        <f t="shared" si="14"/>
        <v>946.57341999999994</v>
      </c>
      <c r="G84">
        <f t="shared" si="15"/>
        <v>-0.56381999999999999</v>
      </c>
      <c r="H84">
        <f t="shared" si="16"/>
        <v>-533.69702566440003</v>
      </c>
      <c r="I84">
        <v>1</v>
      </c>
      <c r="J84">
        <f t="shared" si="17"/>
        <v>-5.490674134643872E-2</v>
      </c>
      <c r="K84">
        <f t="shared" si="18"/>
        <v>-0.65790515177521747</v>
      </c>
      <c r="L84">
        <v>1</v>
      </c>
      <c r="M84">
        <f t="shared" si="19"/>
        <v>0.55950145044938016</v>
      </c>
      <c r="N84">
        <f t="shared" si="20"/>
        <v>7.5725873600000007E-2</v>
      </c>
      <c r="O84">
        <f t="shared" si="21"/>
        <v>1.703832156E-2</v>
      </c>
      <c r="P84">
        <f t="shared" si="22"/>
        <v>5.6395061658373047E-3</v>
      </c>
      <c r="V84">
        <v>1.99999999999997</v>
      </c>
      <c r="W84">
        <f t="shared" si="23"/>
        <v>-0.66086999999999851</v>
      </c>
    </row>
    <row r="85" spans="1:23" x14ac:dyDescent="0.3">
      <c r="A85">
        <v>4.7898904499999997</v>
      </c>
      <c r="B85">
        <v>0.56128</v>
      </c>
      <c r="C85">
        <f t="shared" si="13"/>
        <v>2.6884697117759999</v>
      </c>
      <c r="D85">
        <v>1.6E-2</v>
      </c>
      <c r="E85">
        <v>3.5999999999999999E-3</v>
      </c>
      <c r="F85">
        <f t="shared" si="14"/>
        <v>957.97808999999995</v>
      </c>
      <c r="G85">
        <f t="shared" si="15"/>
        <v>-0.56128</v>
      </c>
      <c r="H85">
        <f t="shared" si="16"/>
        <v>-537.69394235519997</v>
      </c>
      <c r="I85">
        <v>1</v>
      </c>
      <c r="J85">
        <f t="shared" si="17"/>
        <v>-4.2930371836486153E-2</v>
      </c>
      <c r="K85">
        <f t="shared" si="18"/>
        <v>-0.66044515177521745</v>
      </c>
      <c r="L85">
        <v>1</v>
      </c>
      <c r="M85">
        <f t="shared" si="19"/>
        <v>0.56009224475730612</v>
      </c>
      <c r="N85">
        <f t="shared" si="20"/>
        <v>7.6638247199999995E-2</v>
      </c>
      <c r="O85">
        <f t="shared" si="21"/>
        <v>1.7243605619999998E-2</v>
      </c>
      <c r="P85">
        <f t="shared" si="22"/>
        <v>6.471054197911337E-3</v>
      </c>
      <c r="V85">
        <v>2.0999999999999699</v>
      </c>
      <c r="W85">
        <f t="shared" si="23"/>
        <v>-0.66580299999999848</v>
      </c>
    </row>
    <row r="86" spans="1:23" x14ac:dyDescent="0.3">
      <c r="A86">
        <v>4.84691385</v>
      </c>
      <c r="B86">
        <v>0.55898999999999999</v>
      </c>
      <c r="C86">
        <f t="shared" si="13"/>
        <v>2.7093763730115001</v>
      </c>
      <c r="D86">
        <v>1.6E-2</v>
      </c>
      <c r="E86">
        <v>3.5999999999999999E-3</v>
      </c>
      <c r="F86">
        <f t="shared" si="14"/>
        <v>969.38276999999994</v>
      </c>
      <c r="G86">
        <f t="shared" si="15"/>
        <v>-0.55898999999999999</v>
      </c>
      <c r="H86">
        <f t="shared" si="16"/>
        <v>-541.87527460230001</v>
      </c>
      <c r="I86">
        <v>1</v>
      </c>
      <c r="J86">
        <f t="shared" si="17"/>
        <v>-3.1095729609569762E-2</v>
      </c>
      <c r="K86">
        <f t="shared" si="18"/>
        <v>-0.66273515177521747</v>
      </c>
      <c r="L86">
        <v>1</v>
      </c>
      <c r="M86">
        <f t="shared" si="19"/>
        <v>0.56067604765835988</v>
      </c>
      <c r="N86">
        <f t="shared" si="20"/>
        <v>7.7550621599999994E-2</v>
      </c>
      <c r="O86">
        <f t="shared" si="21"/>
        <v>1.744888986E-2</v>
      </c>
      <c r="P86">
        <f t="shared" si="22"/>
        <v>7.059592656857596E-3</v>
      </c>
      <c r="V86">
        <v>2.19999999999997</v>
      </c>
      <c r="W86">
        <f t="shared" si="23"/>
        <v>-0.67073599999999844</v>
      </c>
    </row>
    <row r="87" spans="1:23" x14ac:dyDescent="0.3">
      <c r="A87">
        <v>4.9039371999999997</v>
      </c>
      <c r="B87">
        <v>0.55671000000000004</v>
      </c>
      <c r="C87">
        <f t="shared" si="13"/>
        <v>2.730070878612</v>
      </c>
      <c r="D87">
        <v>1.6E-2</v>
      </c>
      <c r="E87">
        <v>3.5999999999999999E-3</v>
      </c>
      <c r="F87">
        <f t="shared" si="14"/>
        <v>980.78743999999995</v>
      </c>
      <c r="G87">
        <f t="shared" si="15"/>
        <v>-0.55671000000000004</v>
      </c>
      <c r="H87">
        <f t="shared" si="16"/>
        <v>-546.01417572239995</v>
      </c>
      <c r="I87">
        <v>1</v>
      </c>
      <c r="J87">
        <f t="shared" si="17"/>
        <v>-1.9399519754942966E-2</v>
      </c>
      <c r="K87">
        <f t="shared" si="18"/>
        <v>-0.66501515177521742</v>
      </c>
      <c r="L87">
        <v>1</v>
      </c>
      <c r="M87">
        <f t="shared" si="19"/>
        <v>0.56125302169048863</v>
      </c>
      <c r="N87">
        <f t="shared" si="20"/>
        <v>7.8462995199999996E-2</v>
      </c>
      <c r="O87">
        <f t="shared" si="21"/>
        <v>1.7654173919999998E-2</v>
      </c>
      <c r="P87">
        <f t="shared" si="22"/>
        <v>7.6449609647287926E-3</v>
      </c>
      <c r="V87">
        <v>2.2999999999999701</v>
      </c>
      <c r="W87">
        <f t="shared" si="23"/>
        <v>-0.67566899999999852</v>
      </c>
    </row>
    <row r="88" spans="1:23" x14ac:dyDescent="0.3">
      <c r="A88">
        <v>4.9621121500000003</v>
      </c>
      <c r="B88">
        <v>0.55432000000000003</v>
      </c>
      <c r="C88">
        <f t="shared" si="13"/>
        <v>2.7505980069880005</v>
      </c>
      <c r="D88">
        <v>1.6E-2</v>
      </c>
      <c r="E88">
        <v>3.5999999999999999E-3</v>
      </c>
      <c r="F88">
        <f t="shared" si="14"/>
        <v>992.42243000000008</v>
      </c>
      <c r="G88">
        <f t="shared" si="15"/>
        <v>-0.55432000000000003</v>
      </c>
      <c r="H88">
        <f t="shared" si="16"/>
        <v>-550.11960139760015</v>
      </c>
      <c r="I88">
        <v>1</v>
      </c>
      <c r="J88">
        <f t="shared" si="17"/>
        <v>-7.6064256464288306E-3</v>
      </c>
      <c r="K88">
        <f t="shared" si="18"/>
        <v>-0.66740515177521742</v>
      </c>
      <c r="L88">
        <v>1</v>
      </c>
      <c r="M88">
        <f t="shared" si="19"/>
        <v>0.56183477502286161</v>
      </c>
      <c r="N88">
        <f t="shared" si="20"/>
        <v>7.9393794400000009E-2</v>
      </c>
      <c r="O88">
        <f t="shared" si="21"/>
        <v>1.7863603740000001E-2</v>
      </c>
      <c r="P88">
        <f t="shared" si="22"/>
        <v>8.3129786123558001E-3</v>
      </c>
      <c r="V88">
        <v>2.3999999999999702</v>
      </c>
      <c r="W88">
        <f t="shared" si="23"/>
        <v>-0.68060199999999849</v>
      </c>
    </row>
    <row r="89" spans="1:23" x14ac:dyDescent="0.3">
      <c r="A89">
        <v>5.0208632499999997</v>
      </c>
      <c r="B89">
        <v>0.55210000000000004</v>
      </c>
      <c r="C89">
        <f t="shared" si="13"/>
        <v>2.772018600325</v>
      </c>
      <c r="D89">
        <v>1.6E-2</v>
      </c>
      <c r="E89">
        <v>3.5999999999999999E-3</v>
      </c>
      <c r="F89">
        <f t="shared" si="14"/>
        <v>1004.17265</v>
      </c>
      <c r="G89">
        <f t="shared" si="15"/>
        <v>-0.55210000000000004</v>
      </c>
      <c r="H89">
        <f t="shared" si="16"/>
        <v>-554.40372006500002</v>
      </c>
      <c r="I89">
        <v>1</v>
      </c>
      <c r="J89">
        <f t="shared" si="17"/>
        <v>4.1639686371358203E-3</v>
      </c>
      <c r="K89">
        <f t="shared" si="18"/>
        <v>-0.66962515177521742</v>
      </c>
      <c r="L89">
        <v>1</v>
      </c>
      <c r="M89">
        <f t="shared" si="19"/>
        <v>0.56241540857286987</v>
      </c>
      <c r="N89">
        <f t="shared" si="20"/>
        <v>8.0333811999999991E-2</v>
      </c>
      <c r="O89">
        <f t="shared" si="21"/>
        <v>1.8075107699999999E-2</v>
      </c>
      <c r="P89">
        <f t="shared" si="22"/>
        <v>8.8008235023475621E-3</v>
      </c>
      <c r="V89">
        <v>2.4999999999999698</v>
      </c>
      <c r="W89">
        <f t="shared" si="23"/>
        <v>-0.68553499999999845</v>
      </c>
    </row>
    <row r="90" spans="1:23" x14ac:dyDescent="0.3">
      <c r="A90">
        <v>5.0790388499999999</v>
      </c>
      <c r="B90">
        <v>0.54981999999999998</v>
      </c>
      <c r="C90">
        <f t="shared" si="13"/>
        <v>2.7925571405069998</v>
      </c>
      <c r="D90">
        <v>1.6E-2</v>
      </c>
      <c r="E90">
        <v>3.5999999999999999E-3</v>
      </c>
      <c r="F90">
        <f t="shared" si="14"/>
        <v>1015.80777</v>
      </c>
      <c r="G90">
        <f t="shared" si="15"/>
        <v>-0.54981999999999998</v>
      </c>
      <c r="H90">
        <f t="shared" si="16"/>
        <v>-558.51142810139993</v>
      </c>
      <c r="I90">
        <v>1</v>
      </c>
      <c r="J90">
        <f t="shared" si="17"/>
        <v>1.568412849928533E-2</v>
      </c>
      <c r="K90">
        <f t="shared" si="18"/>
        <v>-0.67190515177521748</v>
      </c>
      <c r="L90">
        <v>1</v>
      </c>
      <c r="M90">
        <f t="shared" si="19"/>
        <v>0.56298369805886972</v>
      </c>
      <c r="N90">
        <f t="shared" si="20"/>
        <v>8.1264621600000003E-2</v>
      </c>
      <c r="O90">
        <f t="shared" si="21"/>
        <v>1.8284539860000001E-2</v>
      </c>
      <c r="P90">
        <f t="shared" si="22"/>
        <v>9.3722922563477563E-3</v>
      </c>
      <c r="V90">
        <v>2.5999999999999699</v>
      </c>
      <c r="W90">
        <f t="shared" si="23"/>
        <v>-0.69046799999999853</v>
      </c>
    </row>
    <row r="91" spans="1:23" x14ac:dyDescent="0.3">
      <c r="A91">
        <v>5.1400937500000001</v>
      </c>
      <c r="B91">
        <v>0.54762999999999995</v>
      </c>
      <c r="C91">
        <f t="shared" si="13"/>
        <v>2.8148695403124999</v>
      </c>
      <c r="D91">
        <v>1.6E-2</v>
      </c>
      <c r="E91">
        <v>3.5999999999999999E-3</v>
      </c>
      <c r="F91">
        <f t="shared" si="14"/>
        <v>1028.01875</v>
      </c>
      <c r="G91">
        <f t="shared" si="15"/>
        <v>-0.54762999999999995</v>
      </c>
      <c r="H91">
        <f t="shared" si="16"/>
        <v>-562.97390806249996</v>
      </c>
      <c r="I91">
        <v>1</v>
      </c>
      <c r="J91">
        <f t="shared" si="17"/>
        <v>2.7633406166250239E-2</v>
      </c>
      <c r="K91">
        <f t="shared" si="18"/>
        <v>-0.6740951517752175</v>
      </c>
      <c r="L91">
        <v>1</v>
      </c>
      <c r="M91">
        <f t="shared" si="19"/>
        <v>0.56357315592618107</v>
      </c>
      <c r="N91">
        <f t="shared" si="20"/>
        <v>8.2241500000000009E-2</v>
      </c>
      <c r="O91">
        <f t="shared" si="21"/>
        <v>1.8504337499999999E-2</v>
      </c>
      <c r="P91">
        <f t="shared" si="22"/>
        <v>9.7761583490364283E-3</v>
      </c>
      <c r="V91">
        <v>2.69999999999997</v>
      </c>
      <c r="W91">
        <f t="shared" si="23"/>
        <v>-0.69540099999999849</v>
      </c>
    </row>
    <row r="92" spans="1:23" x14ac:dyDescent="0.3">
      <c r="A92">
        <v>5.2005732</v>
      </c>
      <c r="B92">
        <v>0.54532999999999998</v>
      </c>
      <c r="C92">
        <f t="shared" si="13"/>
        <v>2.8360285831559997</v>
      </c>
      <c r="D92">
        <v>1.6E-2</v>
      </c>
      <c r="E92">
        <v>3.5999999999999999E-3</v>
      </c>
      <c r="F92">
        <f t="shared" si="14"/>
        <v>1040.11464</v>
      </c>
      <c r="G92">
        <f t="shared" si="15"/>
        <v>-0.54532999999999998</v>
      </c>
      <c r="H92">
        <f t="shared" si="16"/>
        <v>-567.20571663119995</v>
      </c>
      <c r="I92">
        <v>1</v>
      </c>
      <c r="J92">
        <f t="shared" si="17"/>
        <v>3.9330937847547334E-2</v>
      </c>
      <c r="K92">
        <f t="shared" si="18"/>
        <v>-0.67639515177521747</v>
      </c>
      <c r="L92">
        <v>1</v>
      </c>
      <c r="M92">
        <f t="shared" si="19"/>
        <v>0.56415019516401954</v>
      </c>
      <c r="N92">
        <f t="shared" si="20"/>
        <v>8.3209171200000001E-2</v>
      </c>
      <c r="O92">
        <f t="shared" si="21"/>
        <v>1.8722063519999999E-2</v>
      </c>
      <c r="P92">
        <f t="shared" si="22"/>
        <v>1.0313721891197933E-2</v>
      </c>
      <c r="V92">
        <v>2.7999999999999701</v>
      </c>
      <c r="W92">
        <f t="shared" si="23"/>
        <v>-0.70033399999999846</v>
      </c>
    </row>
    <row r="93" spans="1:23" x14ac:dyDescent="0.3">
      <c r="A93">
        <v>5.2593243000000003</v>
      </c>
      <c r="B93">
        <v>0.54274</v>
      </c>
      <c r="C93">
        <f t="shared" si="13"/>
        <v>2.8544456705820003</v>
      </c>
      <c r="D93">
        <v>1.6E-2</v>
      </c>
      <c r="E93">
        <v>3.5999999999999999E-3</v>
      </c>
      <c r="F93">
        <f t="shared" si="14"/>
        <v>1051.8648600000001</v>
      </c>
      <c r="G93">
        <f t="shared" si="15"/>
        <v>-0.54274</v>
      </c>
      <c r="H93">
        <f t="shared" si="16"/>
        <v>-570.8891341164001</v>
      </c>
      <c r="I93">
        <v>1</v>
      </c>
      <c r="J93">
        <f t="shared" si="17"/>
        <v>5.0564645987770461E-2</v>
      </c>
      <c r="K93">
        <f t="shared" si="18"/>
        <v>-0.67898515177521745</v>
      </c>
      <c r="L93">
        <v>1</v>
      </c>
      <c r="M93">
        <f t="shared" si="19"/>
        <v>0.5647043539865767</v>
      </c>
      <c r="N93">
        <f t="shared" si="20"/>
        <v>8.414918880000001E-2</v>
      </c>
      <c r="O93">
        <f t="shared" si="21"/>
        <v>1.893356748E-2</v>
      </c>
      <c r="P93">
        <f t="shared" si="22"/>
        <v>1.1198041508640743E-2</v>
      </c>
      <c r="V93">
        <v>2.8999999999999702</v>
      </c>
      <c r="W93">
        <f t="shared" si="23"/>
        <v>-0.70526699999999853</v>
      </c>
    </row>
    <row r="94" spans="1:23" x14ac:dyDescent="0.3">
      <c r="A94">
        <v>5.3192282000000004</v>
      </c>
      <c r="B94">
        <v>0.54001999999999994</v>
      </c>
      <c r="C94">
        <f t="shared" si="13"/>
        <v>2.8724896125639998</v>
      </c>
      <c r="D94">
        <v>1.6E-2</v>
      </c>
      <c r="E94">
        <v>3.5999999999999999E-3</v>
      </c>
      <c r="F94">
        <f t="shared" si="14"/>
        <v>1063.84564</v>
      </c>
      <c r="G94">
        <f t="shared" si="15"/>
        <v>-0.54001999999999994</v>
      </c>
      <c r="H94">
        <f t="shared" si="16"/>
        <v>-574.49792251279996</v>
      </c>
      <c r="I94">
        <v>1</v>
      </c>
      <c r="J94">
        <f t="shared" si="17"/>
        <v>6.1890305207059765E-2</v>
      </c>
      <c r="K94">
        <f t="shared" si="18"/>
        <v>-0.68170515177521751</v>
      </c>
      <c r="L94">
        <v>1</v>
      </c>
      <c r="M94">
        <f t="shared" si="19"/>
        <v>0.56526304875586419</v>
      </c>
      <c r="N94">
        <f t="shared" si="20"/>
        <v>8.5107651200000009E-2</v>
      </c>
      <c r="O94">
        <f t="shared" si="21"/>
        <v>1.9149221520000002E-2</v>
      </c>
      <c r="P94">
        <f t="shared" si="22"/>
        <v>1.2185230299353304E-2</v>
      </c>
      <c r="V94">
        <v>2.9999999999999698</v>
      </c>
      <c r="W94">
        <f t="shared" si="23"/>
        <v>-0.7101999999999985</v>
      </c>
    </row>
    <row r="95" spans="1:23" x14ac:dyDescent="0.3">
      <c r="A95">
        <v>5.3768269999999996</v>
      </c>
      <c r="B95">
        <v>0.53776000000000002</v>
      </c>
      <c r="C95">
        <f t="shared" si="13"/>
        <v>2.89144248752</v>
      </c>
      <c r="D95">
        <v>1.6E-2</v>
      </c>
      <c r="E95">
        <v>3.5999999999999999E-3</v>
      </c>
      <c r="F95">
        <f t="shared" si="14"/>
        <v>1075.3653999999999</v>
      </c>
      <c r="G95">
        <f t="shared" si="15"/>
        <v>-0.53776000000000002</v>
      </c>
      <c r="H95">
        <f t="shared" si="16"/>
        <v>-578.28849750400002</v>
      </c>
      <c r="I95">
        <v>1</v>
      </c>
      <c r="J95">
        <f t="shared" si="17"/>
        <v>7.266051080108106E-2</v>
      </c>
      <c r="K95">
        <f t="shared" si="18"/>
        <v>-0.68396515177521744</v>
      </c>
      <c r="L95">
        <v>1</v>
      </c>
      <c r="M95">
        <f t="shared" si="19"/>
        <v>0.56579434299781728</v>
      </c>
      <c r="N95">
        <f t="shared" si="20"/>
        <v>8.6029231999999997E-2</v>
      </c>
      <c r="O95">
        <f t="shared" si="21"/>
        <v>1.9356577199999999E-2</v>
      </c>
      <c r="P95">
        <f t="shared" si="22"/>
        <v>1.2784999577400164E-2</v>
      </c>
      <c r="V95">
        <v>3.0999999999999699</v>
      </c>
      <c r="W95">
        <f t="shared" si="23"/>
        <v>-0.71513299999999846</v>
      </c>
    </row>
    <row r="96" spans="1:23" x14ac:dyDescent="0.3">
      <c r="A96">
        <v>5.4350026500000004</v>
      </c>
      <c r="B96">
        <v>0.53554999999999997</v>
      </c>
      <c r="C96">
        <f t="shared" si="13"/>
        <v>2.9107156692075002</v>
      </c>
      <c r="D96">
        <v>1.6E-2</v>
      </c>
      <c r="E96">
        <v>3.5999999999999999E-3</v>
      </c>
      <c r="F96">
        <f t="shared" si="14"/>
        <v>1087.00053</v>
      </c>
      <c r="G96">
        <f t="shared" si="15"/>
        <v>-0.53554999999999997</v>
      </c>
      <c r="H96">
        <f t="shared" si="16"/>
        <v>-582.1431338415</v>
      </c>
      <c r="I96">
        <v>1</v>
      </c>
      <c r="J96">
        <f t="shared" si="17"/>
        <v>8.3422095719450376E-2</v>
      </c>
      <c r="K96">
        <f t="shared" si="18"/>
        <v>-0.68617515177521748</v>
      </c>
      <c r="L96">
        <v>1</v>
      </c>
      <c r="M96">
        <f t="shared" si="19"/>
        <v>0.56632521198184049</v>
      </c>
      <c r="N96">
        <f t="shared" si="20"/>
        <v>8.6960042400000007E-2</v>
      </c>
      <c r="O96">
        <f t="shared" si="21"/>
        <v>1.9566009540000002E-2</v>
      </c>
      <c r="P96">
        <f t="shared" si="22"/>
        <v>1.3323887853376983E-2</v>
      </c>
      <c r="V96">
        <v>3.19999999999997</v>
      </c>
      <c r="W96">
        <f t="shared" si="23"/>
        <v>-0.72006599999999854</v>
      </c>
    </row>
    <row r="97" spans="1:23" x14ac:dyDescent="0.3">
      <c r="A97">
        <v>5.4920258999999998</v>
      </c>
      <c r="B97">
        <v>0.53354999999999997</v>
      </c>
      <c r="C97">
        <f t="shared" si="13"/>
        <v>2.9302704189449997</v>
      </c>
      <c r="D97">
        <v>1.6E-2</v>
      </c>
      <c r="E97">
        <v>3.5999999999999999E-3</v>
      </c>
      <c r="F97">
        <f t="shared" si="14"/>
        <v>1098.40518</v>
      </c>
      <c r="G97">
        <f t="shared" si="15"/>
        <v>-0.53354999999999997</v>
      </c>
      <c r="H97">
        <f t="shared" si="16"/>
        <v>-586.05408378899995</v>
      </c>
      <c r="I97">
        <v>1</v>
      </c>
      <c r="J97">
        <f t="shared" si="17"/>
        <v>9.3859291410977486E-2</v>
      </c>
      <c r="K97">
        <f t="shared" si="18"/>
        <v>-0.68817515177521749</v>
      </c>
      <c r="L97">
        <v>1</v>
      </c>
      <c r="M97">
        <f t="shared" si="19"/>
        <v>0.56684007884530352</v>
      </c>
      <c r="N97">
        <f t="shared" si="20"/>
        <v>8.7872414400000001E-2</v>
      </c>
      <c r="O97">
        <f t="shared" si="21"/>
        <v>1.9771293239999998E-2</v>
      </c>
      <c r="P97">
        <f t="shared" si="22"/>
        <v>1.3691365289913968E-2</v>
      </c>
      <c r="V97">
        <v>3.2999999999999701</v>
      </c>
      <c r="W97">
        <f t="shared" si="23"/>
        <v>-0.72499899999999851</v>
      </c>
    </row>
    <row r="98" spans="1:23" x14ac:dyDescent="0.3">
      <c r="A98">
        <v>5.5507771000000004</v>
      </c>
      <c r="B98">
        <v>0.53110999999999997</v>
      </c>
      <c r="C98">
        <f t="shared" si="13"/>
        <v>2.948073225581</v>
      </c>
      <c r="D98">
        <v>1.6E-2</v>
      </c>
      <c r="E98">
        <v>3.5999999999999999E-3</v>
      </c>
      <c r="F98">
        <f t="shared" si="14"/>
        <v>1110.15542</v>
      </c>
      <c r="G98">
        <f t="shared" si="15"/>
        <v>-0.53110999999999997</v>
      </c>
      <c r="H98">
        <f t="shared" si="16"/>
        <v>-589.61464511619999</v>
      </c>
      <c r="I98">
        <v>1</v>
      </c>
      <c r="J98">
        <f t="shared" si="17"/>
        <v>0.10450002354065313</v>
      </c>
      <c r="K98">
        <f t="shared" si="18"/>
        <v>-0.69061515177521748</v>
      </c>
      <c r="L98">
        <v>1</v>
      </c>
      <c r="M98">
        <f t="shared" si="19"/>
        <v>0.56736498616126041</v>
      </c>
      <c r="N98">
        <f t="shared" si="20"/>
        <v>8.8812433600000004E-2</v>
      </c>
      <c r="O98">
        <f t="shared" si="21"/>
        <v>1.9982797560000001E-2</v>
      </c>
      <c r="P98">
        <f t="shared" si="22"/>
        <v>1.4454934453957069E-2</v>
      </c>
      <c r="V98">
        <v>3.3999999999999702</v>
      </c>
      <c r="W98">
        <f t="shared" si="23"/>
        <v>-0.72993199999999847</v>
      </c>
    </row>
    <row r="99" spans="1:23" x14ac:dyDescent="0.3">
      <c r="A99">
        <v>5.60952815</v>
      </c>
      <c r="B99">
        <v>0.52883000000000002</v>
      </c>
      <c r="C99">
        <f t="shared" si="13"/>
        <v>2.9664867715645</v>
      </c>
      <c r="D99">
        <v>1.6E-2</v>
      </c>
      <c r="E99">
        <v>3.5999999999999999E-3</v>
      </c>
      <c r="F99">
        <f t="shared" si="14"/>
        <v>1121.90563</v>
      </c>
      <c r="G99">
        <f t="shared" si="15"/>
        <v>-0.52883000000000002</v>
      </c>
      <c r="H99">
        <f t="shared" si="16"/>
        <v>-593.29735431289998</v>
      </c>
      <c r="I99">
        <v>1</v>
      </c>
      <c r="J99">
        <f t="shared" si="17"/>
        <v>0.11502869482876366</v>
      </c>
      <c r="K99">
        <f t="shared" si="18"/>
        <v>-0.69289515177521743</v>
      </c>
      <c r="L99">
        <v>1</v>
      </c>
      <c r="M99">
        <f t="shared" si="19"/>
        <v>0.56788436551590293</v>
      </c>
      <c r="N99">
        <f t="shared" si="20"/>
        <v>8.9752450400000003E-2</v>
      </c>
      <c r="O99">
        <f t="shared" si="21"/>
        <v>2.0194301339999998E-2</v>
      </c>
      <c r="P99">
        <f t="shared" si="22"/>
        <v>1.5064034519314498E-2</v>
      </c>
      <c r="V99">
        <v>3.4999999999999698</v>
      </c>
      <c r="W99">
        <f t="shared" si="23"/>
        <v>-0.73486499999999855</v>
      </c>
    </row>
    <row r="100" spans="1:23" x14ac:dyDescent="0.3">
      <c r="A100">
        <v>5.6677042499999999</v>
      </c>
      <c r="B100">
        <v>0.52647999999999995</v>
      </c>
      <c r="C100">
        <f t="shared" si="13"/>
        <v>2.9839329335399998</v>
      </c>
      <c r="D100">
        <v>1.6E-2</v>
      </c>
      <c r="E100">
        <v>3.5999999999999999E-3</v>
      </c>
      <c r="F100">
        <f t="shared" si="14"/>
        <v>1133.5408499999999</v>
      </c>
      <c r="G100">
        <f t="shared" si="15"/>
        <v>-0.52647999999999995</v>
      </c>
      <c r="H100">
        <f t="shared" si="16"/>
        <v>-596.78658670799996</v>
      </c>
      <c r="I100">
        <v>1</v>
      </c>
      <c r="J100">
        <f t="shared" si="17"/>
        <v>0.12534622913388488</v>
      </c>
      <c r="K100">
        <f t="shared" si="18"/>
        <v>-0.69524515177521751</v>
      </c>
      <c r="L100">
        <v>1</v>
      </c>
      <c r="M100">
        <f t="shared" si="19"/>
        <v>0.56839332948317456</v>
      </c>
      <c r="N100">
        <f t="shared" si="20"/>
        <v>9.0683267999999997E-2</v>
      </c>
      <c r="O100">
        <f t="shared" si="21"/>
        <v>2.04037353E-2</v>
      </c>
      <c r="P100">
        <f t="shared" si="22"/>
        <v>1.5764818992042951E-2</v>
      </c>
      <c r="V100">
        <v>3.5999999999999699</v>
      </c>
      <c r="W100">
        <f t="shared" ref="W100:W131" si="24">V100*$S$5+$S$4</f>
        <v>-0.73979799999999851</v>
      </c>
    </row>
    <row r="101" spans="1:23" x14ac:dyDescent="0.3">
      <c r="A101">
        <v>5.7287592500000004</v>
      </c>
      <c r="B101">
        <v>0.52415999999999996</v>
      </c>
      <c r="C101">
        <f t="shared" si="13"/>
        <v>3.0027864484800002</v>
      </c>
      <c r="D101">
        <v>1.6E-2</v>
      </c>
      <c r="E101">
        <v>3.5999999999999999E-3</v>
      </c>
      <c r="F101">
        <f t="shared" si="14"/>
        <v>1145.7518500000001</v>
      </c>
      <c r="G101">
        <f t="shared" si="15"/>
        <v>-0.52415999999999996</v>
      </c>
      <c r="H101">
        <f t="shared" si="16"/>
        <v>-600.557289696</v>
      </c>
      <c r="I101">
        <v>1</v>
      </c>
      <c r="J101">
        <f t="shared" si="17"/>
        <v>0.13606105906867749</v>
      </c>
      <c r="K101">
        <f t="shared" si="18"/>
        <v>-0.6975651517752175</v>
      </c>
      <c r="L101">
        <v>1</v>
      </c>
      <c r="M101">
        <f t="shared" si="19"/>
        <v>0.5689218920438579</v>
      </c>
      <c r="N101">
        <f t="shared" si="20"/>
        <v>9.1660148000000011E-2</v>
      </c>
      <c r="O101">
        <f t="shared" si="21"/>
        <v>2.06235333E-2</v>
      </c>
      <c r="P101">
        <f t="shared" si="22"/>
        <v>1.6359578431359583E-2</v>
      </c>
      <c r="V101">
        <v>3.69999999999997</v>
      </c>
      <c r="W101">
        <f t="shared" si="24"/>
        <v>-0.74473099999999848</v>
      </c>
    </row>
    <row r="102" spans="1:23" x14ac:dyDescent="0.3">
      <c r="A102">
        <v>5.7903902499999997</v>
      </c>
      <c r="B102">
        <v>0.52161999999999997</v>
      </c>
      <c r="C102">
        <f t="shared" si="13"/>
        <v>3.0203833622049996</v>
      </c>
      <c r="D102">
        <v>1.6E-2</v>
      </c>
      <c r="E102">
        <v>3.5999999999999999E-3</v>
      </c>
      <c r="F102">
        <f t="shared" si="14"/>
        <v>1158.0780499999998</v>
      </c>
      <c r="G102">
        <f t="shared" si="15"/>
        <v>-0.52161999999999997</v>
      </c>
      <c r="H102">
        <f t="shared" si="16"/>
        <v>-604.07667244099991</v>
      </c>
      <c r="I102">
        <v>1</v>
      </c>
      <c r="J102">
        <f t="shared" si="17"/>
        <v>0.14676177757032516</v>
      </c>
      <c r="K102">
        <f t="shared" si="18"/>
        <v>-0.70010515177521748</v>
      </c>
      <c r="L102">
        <v>1</v>
      </c>
      <c r="M102">
        <f t="shared" si="19"/>
        <v>0.56944975848754409</v>
      </c>
      <c r="N102">
        <f t="shared" si="20"/>
        <v>9.2646244000000003E-2</v>
      </c>
      <c r="O102">
        <f t="shared" si="21"/>
        <v>2.08454049E-2</v>
      </c>
      <c r="P102">
        <f t="shared" si="22"/>
        <v>1.7163744387673392E-2</v>
      </c>
      <c r="V102">
        <v>3.7999999999999701</v>
      </c>
      <c r="W102">
        <f t="shared" si="24"/>
        <v>-0.74966399999999855</v>
      </c>
    </row>
    <row r="103" spans="1:23" x14ac:dyDescent="0.3">
      <c r="A103">
        <v>5.8514457000000002</v>
      </c>
      <c r="B103">
        <v>0.51902999999999999</v>
      </c>
      <c r="C103">
        <f t="shared" si="13"/>
        <v>3.0370758616710001</v>
      </c>
      <c r="D103">
        <v>1.6E-2</v>
      </c>
      <c r="E103">
        <v>3.5999999999999999E-3</v>
      </c>
      <c r="F103">
        <f t="shared" si="14"/>
        <v>1170.2891400000001</v>
      </c>
      <c r="G103">
        <f t="shared" si="15"/>
        <v>-0.51902999999999999</v>
      </c>
      <c r="H103">
        <f t="shared" si="16"/>
        <v>-607.41517233420007</v>
      </c>
      <c r="I103">
        <v>1</v>
      </c>
      <c r="J103">
        <f t="shared" si="17"/>
        <v>0.15725084648364818</v>
      </c>
      <c r="K103">
        <f t="shared" si="18"/>
        <v>-0.70269515177521746</v>
      </c>
      <c r="L103">
        <v>1</v>
      </c>
      <c r="M103">
        <f t="shared" si="19"/>
        <v>0.56996718425703841</v>
      </c>
      <c r="N103">
        <f t="shared" si="20"/>
        <v>9.3623131200000001E-2</v>
      </c>
      <c r="O103">
        <f t="shared" si="21"/>
        <v>2.1065204519999998E-2</v>
      </c>
      <c r="P103">
        <f t="shared" si="22"/>
        <v>1.8039631798179058E-2</v>
      </c>
      <c r="V103">
        <v>3.8999999999999599</v>
      </c>
      <c r="W103">
        <f t="shared" si="24"/>
        <v>-0.75459699999999796</v>
      </c>
    </row>
    <row r="104" spans="1:23" x14ac:dyDescent="0.3">
      <c r="A104">
        <v>5.9084685500000003</v>
      </c>
      <c r="B104">
        <v>0.51680999999999999</v>
      </c>
      <c r="C104">
        <f t="shared" si="13"/>
        <v>3.0535556313255001</v>
      </c>
      <c r="D104">
        <v>1.6E-2</v>
      </c>
      <c r="E104">
        <v>3.5999999999999999E-3</v>
      </c>
      <c r="F104">
        <f t="shared" si="14"/>
        <v>1181.69371</v>
      </c>
      <c r="G104">
        <f t="shared" si="15"/>
        <v>-0.51680999999999999</v>
      </c>
      <c r="H104">
        <f t="shared" si="16"/>
        <v>-610.71112626510001</v>
      </c>
      <c r="I104">
        <v>1</v>
      </c>
      <c r="J104">
        <f t="shared" si="17"/>
        <v>0.16694875680869017</v>
      </c>
      <c r="K104">
        <f t="shared" si="18"/>
        <v>-0.70491515177521746</v>
      </c>
      <c r="L104">
        <v>1</v>
      </c>
      <c r="M104">
        <f t="shared" si="19"/>
        <v>0.57044558217337271</v>
      </c>
      <c r="N104">
        <f t="shared" si="20"/>
        <v>9.4535496800000007E-2</v>
      </c>
      <c r="O104">
        <f t="shared" si="21"/>
        <v>2.127048678E-2</v>
      </c>
      <c r="P104">
        <f t="shared" si="22"/>
        <v>1.8663586021844744E-2</v>
      </c>
      <c r="V104">
        <v>3.99999999999996</v>
      </c>
      <c r="W104">
        <f t="shared" si="24"/>
        <v>-0.75952999999999804</v>
      </c>
    </row>
    <row r="105" spans="1:23" x14ac:dyDescent="0.3">
      <c r="A105">
        <v>5.9677962999999998</v>
      </c>
      <c r="B105">
        <v>0.51458000000000004</v>
      </c>
      <c r="C105">
        <f t="shared" si="13"/>
        <v>3.0709086200540003</v>
      </c>
      <c r="D105">
        <v>1.6E-2</v>
      </c>
      <c r="E105">
        <v>3.5999999999999999E-3</v>
      </c>
      <c r="F105">
        <f t="shared" si="14"/>
        <v>1193.55926</v>
      </c>
      <c r="G105">
        <f t="shared" si="15"/>
        <v>-0.51458000000000004</v>
      </c>
      <c r="H105">
        <f t="shared" si="16"/>
        <v>-614.18172401080005</v>
      </c>
      <c r="I105">
        <v>1</v>
      </c>
      <c r="J105">
        <f t="shared" si="17"/>
        <v>0.17693981784731461</v>
      </c>
      <c r="K105">
        <f t="shared" si="18"/>
        <v>-0.70714515177521742</v>
      </c>
      <c r="L105">
        <v>1</v>
      </c>
      <c r="M105">
        <f t="shared" si="19"/>
        <v>0.57093844121440807</v>
      </c>
      <c r="N105">
        <f t="shared" si="20"/>
        <v>9.5484740799999995E-2</v>
      </c>
      <c r="O105">
        <f t="shared" si="21"/>
        <v>2.148406668E-2</v>
      </c>
      <c r="P105">
        <f t="shared" si="22"/>
        <v>1.9237903080809356E-2</v>
      </c>
      <c r="V105">
        <v>4.0999999999999996</v>
      </c>
      <c r="W105">
        <f t="shared" si="24"/>
        <v>-0.764463</v>
      </c>
    </row>
    <row r="106" spans="1:23" x14ac:dyDescent="0.3">
      <c r="A106">
        <v>6.0253956999999998</v>
      </c>
      <c r="B106">
        <v>0.51227</v>
      </c>
      <c r="C106">
        <f t="shared" si="13"/>
        <v>3.0866294552390001</v>
      </c>
      <c r="D106">
        <v>1.6E-2</v>
      </c>
      <c r="E106">
        <v>3.5999999999999999E-3</v>
      </c>
      <c r="F106">
        <f t="shared" si="14"/>
        <v>1205.0791400000001</v>
      </c>
      <c r="G106">
        <f t="shared" si="15"/>
        <v>-0.51227</v>
      </c>
      <c r="H106">
        <f t="shared" si="16"/>
        <v>-617.32589104780004</v>
      </c>
      <c r="I106">
        <v>1</v>
      </c>
      <c r="J106">
        <f t="shared" si="17"/>
        <v>0.18654524113456913</v>
      </c>
      <c r="K106">
        <f t="shared" si="18"/>
        <v>-0.70945515177521745</v>
      </c>
      <c r="L106">
        <v>1</v>
      </c>
      <c r="M106">
        <f t="shared" si="19"/>
        <v>0.57141227674516826</v>
      </c>
      <c r="N106">
        <f t="shared" si="20"/>
        <v>9.6406331200000001E-2</v>
      </c>
      <c r="O106">
        <f t="shared" si="21"/>
        <v>2.1691424519999999E-2</v>
      </c>
      <c r="P106">
        <f t="shared" si="22"/>
        <v>1.9945119310049195E-2</v>
      </c>
      <c r="V106">
        <v>4.2</v>
      </c>
      <c r="W106">
        <f t="shared" si="24"/>
        <v>-0.76939599999999997</v>
      </c>
    </row>
    <row r="107" spans="1:23" x14ac:dyDescent="0.3">
      <c r="A107">
        <v>6.0852984499999998</v>
      </c>
      <c r="B107">
        <v>0.50995000000000001</v>
      </c>
      <c r="C107">
        <f t="shared" si="13"/>
        <v>3.1031979445775</v>
      </c>
      <c r="D107">
        <v>1.6E-2</v>
      </c>
      <c r="E107">
        <v>3.5999999999999999E-3</v>
      </c>
      <c r="F107">
        <f t="shared" si="14"/>
        <v>1217.05969</v>
      </c>
      <c r="G107">
        <f t="shared" si="15"/>
        <v>-0.50995000000000001</v>
      </c>
      <c r="H107">
        <f t="shared" si="16"/>
        <v>-620.63958891549998</v>
      </c>
      <c r="I107">
        <v>1</v>
      </c>
      <c r="J107">
        <f t="shared" si="17"/>
        <v>0.19643785963911664</v>
      </c>
      <c r="K107">
        <f t="shared" si="18"/>
        <v>-0.71177515177521744</v>
      </c>
      <c r="L107">
        <v>1</v>
      </c>
      <c r="M107">
        <f t="shared" si="19"/>
        <v>0.57190027961599765</v>
      </c>
      <c r="N107">
        <f t="shared" si="20"/>
        <v>9.7364775200000003E-2</v>
      </c>
      <c r="O107">
        <f t="shared" si="21"/>
        <v>2.1907074419999999E-2</v>
      </c>
      <c r="P107">
        <f t="shared" si="22"/>
        <v>2.0603022539219785E-2</v>
      </c>
      <c r="V107">
        <v>4.3</v>
      </c>
      <c r="W107">
        <f t="shared" si="24"/>
        <v>-0.77432899999999993</v>
      </c>
    </row>
    <row r="108" spans="1:23" x14ac:dyDescent="0.3">
      <c r="A108">
        <v>6.14347405</v>
      </c>
      <c r="B108">
        <v>0.50766999999999995</v>
      </c>
      <c r="C108">
        <f t="shared" si="13"/>
        <v>3.1188574709634995</v>
      </c>
      <c r="D108">
        <v>1.6E-2</v>
      </c>
      <c r="E108">
        <v>3.5999999999999999E-3</v>
      </c>
      <c r="F108">
        <f t="shared" si="14"/>
        <v>1228.69481</v>
      </c>
      <c r="G108">
        <f t="shared" si="15"/>
        <v>-0.50766999999999995</v>
      </c>
      <c r="H108">
        <f t="shared" si="16"/>
        <v>-623.77149419269995</v>
      </c>
      <c r="I108">
        <v>1</v>
      </c>
      <c r="J108">
        <f t="shared" si="17"/>
        <v>0.20595247590590685</v>
      </c>
      <c r="K108">
        <f t="shared" si="18"/>
        <v>-0.7140551517752175</v>
      </c>
      <c r="L108">
        <v>1</v>
      </c>
      <c r="M108">
        <f t="shared" si="19"/>
        <v>0.57236963563643839</v>
      </c>
      <c r="N108">
        <f t="shared" si="20"/>
        <v>9.8295584800000002E-2</v>
      </c>
      <c r="O108">
        <f t="shared" si="21"/>
        <v>2.211650658E-2</v>
      </c>
      <c r="P108">
        <f t="shared" si="22"/>
        <v>2.1273424758779108E-2</v>
      </c>
      <c r="V108">
        <v>4.4000000000000004</v>
      </c>
      <c r="W108">
        <f t="shared" si="24"/>
        <v>-0.77926200000000001</v>
      </c>
    </row>
    <row r="109" spans="1:23" x14ac:dyDescent="0.3">
      <c r="A109">
        <v>6.2039533999999996</v>
      </c>
      <c r="B109">
        <v>0.50543000000000005</v>
      </c>
      <c r="C109">
        <f t="shared" si="13"/>
        <v>3.135664166962</v>
      </c>
      <c r="D109">
        <v>1.6E-2</v>
      </c>
      <c r="E109">
        <v>3.5999999999999999E-3</v>
      </c>
      <c r="F109">
        <f t="shared" si="14"/>
        <v>1240.7906799999998</v>
      </c>
      <c r="G109">
        <f t="shared" si="15"/>
        <v>-0.50543000000000005</v>
      </c>
      <c r="H109">
        <f t="shared" si="16"/>
        <v>-627.13283339240002</v>
      </c>
      <c r="I109">
        <v>1</v>
      </c>
      <c r="J109">
        <f t="shared" si="17"/>
        <v>0.21574882156893893</v>
      </c>
      <c r="K109">
        <f t="shared" si="18"/>
        <v>-0.71629515177521741</v>
      </c>
      <c r="L109">
        <v>1</v>
      </c>
      <c r="M109">
        <f t="shared" si="19"/>
        <v>0.57285288936799572</v>
      </c>
      <c r="N109">
        <f t="shared" si="20"/>
        <v>9.9263254400000001E-2</v>
      </c>
      <c r="O109">
        <f t="shared" si="21"/>
        <v>2.2334232239999998E-2</v>
      </c>
      <c r="P109">
        <f t="shared" si="22"/>
        <v>2.1844775767221689E-2</v>
      </c>
      <c r="V109">
        <v>4.5</v>
      </c>
      <c r="W109">
        <f t="shared" si="24"/>
        <v>-0.78419499999999998</v>
      </c>
    </row>
    <row r="110" spans="1:23" x14ac:dyDescent="0.3">
      <c r="A110">
        <v>6.2627046000000002</v>
      </c>
      <c r="B110">
        <v>0.50290999999999997</v>
      </c>
      <c r="C110">
        <f t="shared" si="13"/>
        <v>3.149576770386</v>
      </c>
      <c r="D110">
        <v>1.6E-2</v>
      </c>
      <c r="E110">
        <v>3.5999999999999999E-3</v>
      </c>
      <c r="F110">
        <f t="shared" si="14"/>
        <v>1252.5409200000001</v>
      </c>
      <c r="G110">
        <f t="shared" si="15"/>
        <v>-0.50290999999999997</v>
      </c>
      <c r="H110">
        <f t="shared" si="16"/>
        <v>-629.91535407720005</v>
      </c>
      <c r="I110">
        <v>1</v>
      </c>
      <c r="J110">
        <f t="shared" si="17"/>
        <v>0.22517422410189122</v>
      </c>
      <c r="K110">
        <f t="shared" si="18"/>
        <v>-0.71881515177521749</v>
      </c>
      <c r="L110">
        <v>1</v>
      </c>
      <c r="M110">
        <f t="shared" si="19"/>
        <v>0.57331784447494627</v>
      </c>
      <c r="N110">
        <f t="shared" si="20"/>
        <v>0.1002032736</v>
      </c>
      <c r="O110">
        <f t="shared" si="21"/>
        <v>2.2545736560000001E-2</v>
      </c>
      <c r="P110">
        <f t="shared" si="22"/>
        <v>2.2748297140271212E-2</v>
      </c>
      <c r="V110">
        <v>4.5999999999999996</v>
      </c>
      <c r="W110">
        <f t="shared" si="24"/>
        <v>-0.78912799999999994</v>
      </c>
    </row>
    <row r="111" spans="1:23" x14ac:dyDescent="0.3">
      <c r="A111">
        <v>6.3203040000000001</v>
      </c>
      <c r="B111">
        <v>0.50056</v>
      </c>
      <c r="C111">
        <f t="shared" si="13"/>
        <v>3.16369137024</v>
      </c>
      <c r="D111">
        <v>1.6E-2</v>
      </c>
      <c r="E111">
        <v>3.5999999999999999E-3</v>
      </c>
      <c r="F111">
        <f t="shared" si="14"/>
        <v>1264.0608</v>
      </c>
      <c r="G111">
        <f t="shared" si="15"/>
        <v>-0.50056</v>
      </c>
      <c r="H111">
        <f t="shared" si="16"/>
        <v>-632.73827404799999</v>
      </c>
      <c r="I111">
        <v>1</v>
      </c>
      <c r="J111">
        <f t="shared" si="17"/>
        <v>0.23432939583365966</v>
      </c>
      <c r="K111">
        <f t="shared" si="18"/>
        <v>-0.72116515177521745</v>
      </c>
      <c r="L111">
        <v>1</v>
      </c>
      <c r="M111">
        <f t="shared" si="19"/>
        <v>0.57376946909647442</v>
      </c>
      <c r="N111">
        <f t="shared" si="20"/>
        <v>0.10112486400000001</v>
      </c>
      <c r="O111">
        <f t="shared" si="21"/>
        <v>2.27530944E-2</v>
      </c>
      <c r="P111">
        <f t="shared" si="22"/>
        <v>2.3517724278743025E-2</v>
      </c>
      <c r="V111">
        <v>4.7</v>
      </c>
      <c r="W111">
        <f t="shared" si="24"/>
        <v>-0.79406100000000002</v>
      </c>
    </row>
    <row r="112" spans="1:23" x14ac:dyDescent="0.3">
      <c r="A112">
        <v>6.3796312000000004</v>
      </c>
      <c r="B112">
        <v>0.49825000000000003</v>
      </c>
      <c r="C112">
        <f t="shared" si="13"/>
        <v>3.1786512454000002</v>
      </c>
      <c r="D112">
        <v>1.6E-2</v>
      </c>
      <c r="E112">
        <v>3.5999999999999999E-3</v>
      </c>
      <c r="F112">
        <f t="shared" si="14"/>
        <v>1275.92624</v>
      </c>
      <c r="G112">
        <f t="shared" si="15"/>
        <v>-0.49825000000000003</v>
      </c>
      <c r="H112">
        <f t="shared" si="16"/>
        <v>-635.73024908000002</v>
      </c>
      <c r="I112">
        <v>1</v>
      </c>
      <c r="J112">
        <f t="shared" si="17"/>
        <v>0.24367237760915436</v>
      </c>
      <c r="K112">
        <f t="shared" si="18"/>
        <v>-0.72347515177521737</v>
      </c>
      <c r="L112">
        <v>1</v>
      </c>
      <c r="M112">
        <f t="shared" si="19"/>
        <v>0.57423035838745962</v>
      </c>
      <c r="N112">
        <f t="shared" si="20"/>
        <v>0.1020740992</v>
      </c>
      <c r="O112">
        <f t="shared" si="21"/>
        <v>2.2966672319999999E-2</v>
      </c>
      <c r="P112">
        <f t="shared" si="22"/>
        <v>2.4204021867757754E-2</v>
      </c>
      <c r="V112">
        <v>4.8</v>
      </c>
      <c r="W112">
        <f t="shared" si="24"/>
        <v>-0.79899399999999998</v>
      </c>
    </row>
    <row r="113" spans="1:23" x14ac:dyDescent="0.3">
      <c r="A113">
        <v>6.44068665</v>
      </c>
      <c r="B113">
        <v>0.49580000000000002</v>
      </c>
      <c r="C113">
        <f t="shared" si="13"/>
        <v>3.1932924410700001</v>
      </c>
      <c r="D113">
        <v>1.6E-2</v>
      </c>
      <c r="E113">
        <v>3.5999999999999999E-3</v>
      </c>
      <c r="F113">
        <f t="shared" si="14"/>
        <v>1288.13733</v>
      </c>
      <c r="G113">
        <f t="shared" si="15"/>
        <v>-0.49580000000000002</v>
      </c>
      <c r="H113">
        <f t="shared" si="16"/>
        <v>-638.65848821400004</v>
      </c>
      <c r="I113">
        <v>1</v>
      </c>
      <c r="J113">
        <f t="shared" si="17"/>
        <v>0.25319724466917642</v>
      </c>
      <c r="K113">
        <f t="shared" si="18"/>
        <v>-0.72592515177521744</v>
      </c>
      <c r="L113">
        <v>1</v>
      </c>
      <c r="M113">
        <f t="shared" si="19"/>
        <v>0.57470022007953048</v>
      </c>
      <c r="N113">
        <f t="shared" si="20"/>
        <v>0.1030509864</v>
      </c>
      <c r="O113">
        <f t="shared" si="21"/>
        <v>2.3186471939999998E-2</v>
      </c>
      <c r="P113">
        <f t="shared" si="22"/>
        <v>2.4987473355686959E-2</v>
      </c>
      <c r="V113">
        <v>4.9000000000000004</v>
      </c>
      <c r="W113">
        <f t="shared" si="24"/>
        <v>-0.80392700000000006</v>
      </c>
    </row>
    <row r="114" spans="1:23" x14ac:dyDescent="0.3">
      <c r="A114">
        <v>6.5005899500000002</v>
      </c>
      <c r="B114">
        <v>0.49336000000000002</v>
      </c>
      <c r="C114">
        <f t="shared" si="13"/>
        <v>3.207131057732</v>
      </c>
      <c r="D114">
        <v>1.6E-2</v>
      </c>
      <c r="E114">
        <v>3.5999999999999999E-3</v>
      </c>
      <c r="F114">
        <f t="shared" si="14"/>
        <v>1300.11799</v>
      </c>
      <c r="G114">
        <f t="shared" si="15"/>
        <v>-0.49336000000000002</v>
      </c>
      <c r="H114">
        <f t="shared" si="16"/>
        <v>-641.42621154640005</v>
      </c>
      <c r="I114">
        <v>1</v>
      </c>
      <c r="J114">
        <f t="shared" si="17"/>
        <v>0.2624550218873733</v>
      </c>
      <c r="K114">
        <f t="shared" si="18"/>
        <v>-0.72836515177521743</v>
      </c>
      <c r="L114">
        <v>1</v>
      </c>
      <c r="M114">
        <f t="shared" si="19"/>
        <v>0.57515690622970417</v>
      </c>
      <c r="N114">
        <f t="shared" si="20"/>
        <v>0.10400943920000001</v>
      </c>
      <c r="O114">
        <f t="shared" si="21"/>
        <v>2.3402123819999999E-2</v>
      </c>
      <c r="P114">
        <f t="shared" si="22"/>
        <v>2.5796682525513256E-2</v>
      </c>
      <c r="V114">
        <v>5</v>
      </c>
      <c r="W114">
        <f t="shared" si="24"/>
        <v>-0.80885999999999991</v>
      </c>
    </row>
    <row r="115" spans="1:23" x14ac:dyDescent="0.3">
      <c r="A115">
        <v>6.5616449499999998</v>
      </c>
      <c r="B115">
        <v>0.49117</v>
      </c>
      <c r="C115">
        <f t="shared" si="13"/>
        <v>3.2228831500915001</v>
      </c>
      <c r="D115">
        <v>1.6E-2</v>
      </c>
      <c r="E115">
        <v>3.5999999999999999E-3</v>
      </c>
      <c r="F115">
        <f t="shared" si="14"/>
        <v>1312.32899</v>
      </c>
      <c r="G115">
        <f t="shared" si="15"/>
        <v>-0.49117</v>
      </c>
      <c r="H115">
        <f t="shared" si="16"/>
        <v>-644.57663001829997</v>
      </c>
      <c r="I115">
        <v>1</v>
      </c>
      <c r="J115">
        <f t="shared" si="17"/>
        <v>0.27180341366139465</v>
      </c>
      <c r="K115">
        <f t="shared" si="18"/>
        <v>-0.73055515177521746</v>
      </c>
      <c r="L115">
        <v>1</v>
      </c>
      <c r="M115">
        <f t="shared" si="19"/>
        <v>0.57561806239591662</v>
      </c>
      <c r="N115">
        <f t="shared" si="20"/>
        <v>0.1049863192</v>
      </c>
      <c r="O115">
        <f t="shared" si="21"/>
        <v>2.3621921819999999E-2</v>
      </c>
      <c r="P115">
        <f t="shared" si="22"/>
        <v>2.6328848359300844E-2</v>
      </c>
      <c r="V115">
        <v>5.0999999999999996</v>
      </c>
      <c r="W115">
        <f t="shared" si="24"/>
        <v>-0.81379299999999999</v>
      </c>
    </row>
    <row r="116" spans="1:23" x14ac:dyDescent="0.3">
      <c r="A116">
        <v>6.6203960500000001</v>
      </c>
      <c r="B116">
        <v>0.48885000000000001</v>
      </c>
      <c r="C116">
        <f t="shared" si="13"/>
        <v>3.2363806090425</v>
      </c>
      <c r="D116">
        <v>1.6E-2</v>
      </c>
      <c r="E116">
        <v>3.5999999999999999E-3</v>
      </c>
      <c r="F116">
        <f t="shared" si="14"/>
        <v>1324.0792100000001</v>
      </c>
      <c r="G116">
        <f t="shared" si="15"/>
        <v>-0.48885000000000001</v>
      </c>
      <c r="H116">
        <f t="shared" si="16"/>
        <v>-647.27612180849997</v>
      </c>
      <c r="I116">
        <v>1</v>
      </c>
      <c r="J116">
        <f t="shared" si="17"/>
        <v>0.2807172820092837</v>
      </c>
      <c r="K116">
        <f t="shared" si="18"/>
        <v>-0.73287515177521745</v>
      </c>
      <c r="L116">
        <v>1</v>
      </c>
      <c r="M116">
        <f t="shared" si="19"/>
        <v>0.57605778352151793</v>
      </c>
      <c r="N116">
        <f t="shared" si="20"/>
        <v>0.10592633680000001</v>
      </c>
      <c r="O116">
        <f t="shared" si="21"/>
        <v>2.383342578E-2</v>
      </c>
      <c r="P116">
        <f t="shared" si="22"/>
        <v>2.7057605673699511E-2</v>
      </c>
      <c r="V116">
        <v>5.2</v>
      </c>
      <c r="W116">
        <f t="shared" si="24"/>
        <v>-0.81872600000000006</v>
      </c>
    </row>
    <row r="117" spans="1:23" x14ac:dyDescent="0.3">
      <c r="A117">
        <v>6.6791476999999997</v>
      </c>
      <c r="B117">
        <v>0.48619000000000001</v>
      </c>
      <c r="C117">
        <f t="shared" si="13"/>
        <v>3.2473348202630001</v>
      </c>
      <c r="D117">
        <v>1.6E-2</v>
      </c>
      <c r="E117">
        <v>3.5999999999999999E-3</v>
      </c>
      <c r="F117">
        <f t="shared" si="14"/>
        <v>1335.82954</v>
      </c>
      <c r="G117">
        <f t="shared" si="15"/>
        <v>-0.48619000000000001</v>
      </c>
      <c r="H117">
        <f t="shared" si="16"/>
        <v>-649.46696405260002</v>
      </c>
      <c r="I117">
        <v>1</v>
      </c>
      <c r="J117">
        <f t="shared" si="17"/>
        <v>0.28955247715382115</v>
      </c>
      <c r="K117">
        <f t="shared" si="18"/>
        <v>-0.73553515177521744</v>
      </c>
      <c r="L117">
        <v>1</v>
      </c>
      <c r="M117">
        <f t="shared" si="19"/>
        <v>0.57649362369799795</v>
      </c>
      <c r="N117">
        <f t="shared" si="20"/>
        <v>0.10686636319999999</v>
      </c>
      <c r="O117">
        <f t="shared" si="21"/>
        <v>2.4044931719999999E-2</v>
      </c>
      <c r="P117">
        <f t="shared" si="22"/>
        <v>2.8130233157219502E-2</v>
      </c>
      <c r="V117">
        <v>5.3</v>
      </c>
      <c r="W117">
        <f t="shared" si="24"/>
        <v>-0.82365899999999992</v>
      </c>
    </row>
    <row r="118" spans="1:23" x14ac:dyDescent="0.3">
      <c r="A118">
        <v>6.7361705000000001</v>
      </c>
      <c r="B118">
        <v>0.48405999999999999</v>
      </c>
      <c r="C118">
        <f t="shared" si="13"/>
        <v>3.26071069223</v>
      </c>
      <c r="D118">
        <v>1.6E-2</v>
      </c>
      <c r="E118">
        <v>3.5999999999999999E-3</v>
      </c>
      <c r="F118">
        <f t="shared" si="14"/>
        <v>1347.2341000000001</v>
      </c>
      <c r="G118">
        <f t="shared" si="15"/>
        <v>-0.48405999999999999</v>
      </c>
      <c r="H118">
        <f t="shared" si="16"/>
        <v>-652.14213844599999</v>
      </c>
      <c r="I118">
        <v>1</v>
      </c>
      <c r="J118">
        <f t="shared" si="17"/>
        <v>0.29805367594330789</v>
      </c>
      <c r="K118">
        <f t="shared" si="18"/>
        <v>-0.73766515177521752</v>
      </c>
      <c r="L118">
        <v>1</v>
      </c>
      <c r="M118">
        <f t="shared" si="19"/>
        <v>0.57691298783428335</v>
      </c>
      <c r="N118">
        <f t="shared" si="20"/>
        <v>0.107778728</v>
      </c>
      <c r="O118">
        <f t="shared" si="21"/>
        <v>2.42502138E-2</v>
      </c>
      <c r="P118">
        <f t="shared" si="22"/>
        <v>2.8723222140934163E-2</v>
      </c>
      <c r="V118">
        <v>5.4</v>
      </c>
      <c r="W118">
        <f t="shared" si="24"/>
        <v>-0.828592</v>
      </c>
    </row>
    <row r="119" spans="1:23" x14ac:dyDescent="0.3">
      <c r="A119">
        <v>6.7937699</v>
      </c>
      <c r="B119">
        <v>0.48176000000000002</v>
      </c>
      <c r="C119">
        <f t="shared" si="13"/>
        <v>3.2729665870240003</v>
      </c>
      <c r="D119">
        <v>1.6E-2</v>
      </c>
      <c r="E119">
        <v>3.5999999999999999E-3</v>
      </c>
      <c r="F119">
        <f t="shared" si="14"/>
        <v>1358.75398</v>
      </c>
      <c r="G119">
        <f t="shared" si="15"/>
        <v>-0.48176000000000002</v>
      </c>
      <c r="H119">
        <f t="shared" si="16"/>
        <v>-654.59331740480002</v>
      </c>
      <c r="I119">
        <v>1</v>
      </c>
      <c r="J119">
        <f t="shared" si="17"/>
        <v>0.30656808861182561</v>
      </c>
      <c r="K119">
        <f t="shared" si="18"/>
        <v>-0.73996515177521749</v>
      </c>
      <c r="L119">
        <v>1</v>
      </c>
      <c r="M119">
        <f t="shared" si="19"/>
        <v>0.57733300381122132</v>
      </c>
      <c r="N119">
        <f t="shared" si="20"/>
        <v>0.10870031840000001</v>
      </c>
      <c r="O119">
        <f t="shared" si="21"/>
        <v>2.4457571639999998E-2</v>
      </c>
      <c r="P119">
        <f t="shared" si="22"/>
        <v>2.9474257923996158E-2</v>
      </c>
      <c r="V119">
        <v>5.5</v>
      </c>
      <c r="W119">
        <f t="shared" si="24"/>
        <v>-0.83352499999999996</v>
      </c>
    </row>
    <row r="120" spans="1:23" x14ac:dyDescent="0.3">
      <c r="A120">
        <v>6.8530976499999996</v>
      </c>
      <c r="B120">
        <v>0.47965000000000002</v>
      </c>
      <c r="C120">
        <f t="shared" si="13"/>
        <v>3.2870882878224998</v>
      </c>
      <c r="D120">
        <v>1.6E-2</v>
      </c>
      <c r="E120">
        <v>3.5999999999999999E-3</v>
      </c>
      <c r="F120">
        <f t="shared" si="14"/>
        <v>1370.6195299999999</v>
      </c>
      <c r="G120">
        <f t="shared" si="15"/>
        <v>-0.47965000000000002</v>
      </c>
      <c r="H120">
        <f t="shared" si="16"/>
        <v>-657.41765756450002</v>
      </c>
      <c r="I120">
        <v>1</v>
      </c>
      <c r="J120">
        <f t="shared" si="17"/>
        <v>0.31526284930197901</v>
      </c>
      <c r="K120">
        <f t="shared" si="18"/>
        <v>-0.74207515177521743</v>
      </c>
      <c r="L120">
        <v>1</v>
      </c>
      <c r="M120">
        <f t="shared" si="19"/>
        <v>0.57776191635606666</v>
      </c>
      <c r="N120">
        <f t="shared" si="20"/>
        <v>0.1096495624</v>
      </c>
      <c r="O120">
        <f t="shared" si="21"/>
        <v>2.4671151539999998E-2</v>
      </c>
      <c r="P120">
        <f t="shared" si="22"/>
        <v>2.9992521479150776E-2</v>
      </c>
      <c r="V120">
        <v>5.6</v>
      </c>
      <c r="W120">
        <f t="shared" si="24"/>
        <v>-0.83845799999999993</v>
      </c>
    </row>
    <row r="121" spans="1:23" x14ac:dyDescent="0.3">
      <c r="A121">
        <v>6.9118488500000002</v>
      </c>
      <c r="B121">
        <v>0.47692000000000001</v>
      </c>
      <c r="C121">
        <f t="shared" si="13"/>
        <v>3.296398953542</v>
      </c>
      <c r="D121">
        <v>1.6E-2</v>
      </c>
      <c r="E121">
        <v>3.5999999999999999E-3</v>
      </c>
      <c r="F121">
        <f t="shared" si="14"/>
        <v>1382.36977</v>
      </c>
      <c r="G121">
        <f t="shared" si="15"/>
        <v>-0.47692000000000001</v>
      </c>
      <c r="H121">
        <f t="shared" si="16"/>
        <v>-659.27979070840001</v>
      </c>
      <c r="I121">
        <v>1</v>
      </c>
      <c r="J121">
        <f t="shared" si="17"/>
        <v>0.3237992510623473</v>
      </c>
      <c r="K121">
        <f t="shared" si="18"/>
        <v>-0.74480515177521744</v>
      </c>
      <c r="L121">
        <v>1</v>
      </c>
      <c r="M121">
        <f t="shared" si="19"/>
        <v>0.5781830170549056</v>
      </c>
      <c r="N121">
        <f t="shared" si="20"/>
        <v>0.1105895816</v>
      </c>
      <c r="O121">
        <f t="shared" si="21"/>
        <v>2.4882655859999998E-2</v>
      </c>
      <c r="P121">
        <f t="shared" si="22"/>
        <v>3.1149897260311844E-2</v>
      </c>
      <c r="V121">
        <v>5.7</v>
      </c>
      <c r="W121">
        <f t="shared" si="24"/>
        <v>-0.843391</v>
      </c>
    </row>
    <row r="122" spans="1:23" x14ac:dyDescent="0.3">
      <c r="A122">
        <v>6.9729037500000004</v>
      </c>
      <c r="B122">
        <v>0.47465000000000002</v>
      </c>
      <c r="C122">
        <f t="shared" si="13"/>
        <v>3.3096887649375004</v>
      </c>
      <c r="D122">
        <v>1.6E-2</v>
      </c>
      <c r="E122">
        <v>3.5999999999999999E-3</v>
      </c>
      <c r="F122">
        <f t="shared" si="14"/>
        <v>1394.5807500000001</v>
      </c>
      <c r="G122">
        <f t="shared" si="15"/>
        <v>-0.47465000000000002</v>
      </c>
      <c r="H122">
        <f t="shared" si="16"/>
        <v>-661.93775298750006</v>
      </c>
      <c r="I122">
        <v>1</v>
      </c>
      <c r="J122">
        <f t="shared" si="17"/>
        <v>0.33259383246843499</v>
      </c>
      <c r="K122">
        <f t="shared" si="18"/>
        <v>-0.74707515177521744</v>
      </c>
      <c r="L122">
        <v>1</v>
      </c>
      <c r="M122">
        <f t="shared" si="19"/>
        <v>0.57861685375566785</v>
      </c>
      <c r="N122">
        <f t="shared" si="20"/>
        <v>0.11156646000000001</v>
      </c>
      <c r="O122">
        <f t="shared" si="21"/>
        <v>2.51024535E-2</v>
      </c>
      <c r="P122">
        <f t="shared" si="22"/>
        <v>3.1789384519549588E-2</v>
      </c>
      <c r="V122">
        <v>5.8</v>
      </c>
      <c r="W122">
        <f t="shared" si="24"/>
        <v>-0.84832399999999997</v>
      </c>
    </row>
    <row r="123" spans="1:23" x14ac:dyDescent="0.3">
      <c r="A123">
        <v>7.0305032499999998</v>
      </c>
      <c r="B123">
        <v>0.47252</v>
      </c>
      <c r="C123">
        <f t="shared" si="13"/>
        <v>3.3220533956899998</v>
      </c>
      <c r="D123">
        <v>1.6E-2</v>
      </c>
      <c r="E123">
        <v>3.5999999999999999E-3</v>
      </c>
      <c r="F123">
        <f t="shared" si="14"/>
        <v>1406.1006499999999</v>
      </c>
      <c r="G123">
        <f t="shared" si="15"/>
        <v>-0.47252</v>
      </c>
      <c r="H123">
        <f t="shared" si="16"/>
        <v>-664.41067913799998</v>
      </c>
      <c r="I123">
        <v>1</v>
      </c>
      <c r="J123">
        <f t="shared" si="17"/>
        <v>0.34082037688605737</v>
      </c>
      <c r="K123">
        <f t="shared" si="18"/>
        <v>-0.7492051517752174</v>
      </c>
      <c r="L123">
        <v>1</v>
      </c>
      <c r="M123">
        <f t="shared" si="19"/>
        <v>0.57902266919178924</v>
      </c>
      <c r="N123">
        <f t="shared" si="20"/>
        <v>0.11248805200000001</v>
      </c>
      <c r="O123">
        <f t="shared" si="21"/>
        <v>2.5309811699999997E-2</v>
      </c>
      <c r="P123">
        <f t="shared" si="22"/>
        <v>3.2384618883428161E-2</v>
      </c>
      <c r="V123">
        <v>5.9</v>
      </c>
      <c r="W123">
        <f t="shared" si="24"/>
        <v>-0.85325699999999993</v>
      </c>
    </row>
    <row r="124" spans="1:23" x14ac:dyDescent="0.3">
      <c r="A124">
        <v>7.0881020499999998</v>
      </c>
      <c r="B124">
        <v>0.46989999999999998</v>
      </c>
      <c r="C124">
        <f t="shared" si="13"/>
        <v>3.3306991532949999</v>
      </c>
      <c r="D124">
        <v>1.6E-2</v>
      </c>
      <c r="E124">
        <v>3.5999999999999999E-3</v>
      </c>
      <c r="F124">
        <f t="shared" si="14"/>
        <v>1417.62041</v>
      </c>
      <c r="G124">
        <f t="shared" si="15"/>
        <v>-0.46989999999999998</v>
      </c>
      <c r="H124">
        <f t="shared" si="16"/>
        <v>-666.13983065899993</v>
      </c>
      <c r="I124">
        <v>1</v>
      </c>
      <c r="J124">
        <f t="shared" si="17"/>
        <v>0.34897969833839887</v>
      </c>
      <c r="K124">
        <f t="shared" si="18"/>
        <v>-0.75182515177521747</v>
      </c>
      <c r="L124">
        <v>1</v>
      </c>
      <c r="M124">
        <f t="shared" si="19"/>
        <v>0.57942516851903325</v>
      </c>
      <c r="N124">
        <f t="shared" si="20"/>
        <v>0.11340963279999999</v>
      </c>
      <c r="O124">
        <f t="shared" si="21"/>
        <v>2.5517167379999997E-2</v>
      </c>
      <c r="P124">
        <f t="shared" si="22"/>
        <v>3.3473183076184229E-2</v>
      </c>
      <c r="V124">
        <v>6</v>
      </c>
      <c r="W124">
        <f t="shared" si="24"/>
        <v>-0.85819000000000001</v>
      </c>
    </row>
    <row r="125" spans="1:23" x14ac:dyDescent="0.3">
      <c r="A125">
        <v>7.1474298000000003</v>
      </c>
      <c r="B125">
        <v>0.46753</v>
      </c>
      <c r="C125">
        <f t="shared" si="13"/>
        <v>3.341637854394</v>
      </c>
      <c r="D125">
        <v>1.6E-2</v>
      </c>
      <c r="E125">
        <v>3.5999999999999999E-3</v>
      </c>
      <c r="F125">
        <f t="shared" si="14"/>
        <v>1429.48596</v>
      </c>
      <c r="G125">
        <f t="shared" si="15"/>
        <v>-0.46753</v>
      </c>
      <c r="H125">
        <f t="shared" si="16"/>
        <v>-668.32757087879997</v>
      </c>
      <c r="I125">
        <v>1</v>
      </c>
      <c r="J125">
        <f t="shared" si="17"/>
        <v>0.35731491111604746</v>
      </c>
      <c r="K125">
        <f t="shared" si="18"/>
        <v>-0.75419515177521745</v>
      </c>
      <c r="L125">
        <v>1</v>
      </c>
      <c r="M125">
        <f t="shared" si="19"/>
        <v>0.5798363445653546</v>
      </c>
      <c r="N125">
        <f t="shared" si="20"/>
        <v>0.11435887680000001</v>
      </c>
      <c r="O125">
        <f t="shared" si="21"/>
        <v>2.5730747280000001E-2</v>
      </c>
      <c r="P125">
        <f t="shared" si="22"/>
        <v>3.4269183129862844E-2</v>
      </c>
      <c r="V125">
        <v>6.1</v>
      </c>
      <c r="W125">
        <f t="shared" si="24"/>
        <v>-0.86312299999999997</v>
      </c>
    </row>
    <row r="126" spans="1:23" x14ac:dyDescent="0.3">
      <c r="A126">
        <v>7.2084848499999996</v>
      </c>
      <c r="B126">
        <v>0.46517999999999998</v>
      </c>
      <c r="C126">
        <f t="shared" si="13"/>
        <v>3.3532429825229997</v>
      </c>
      <c r="D126">
        <v>1.6E-2</v>
      </c>
      <c r="E126">
        <v>3.5999999999999999E-3</v>
      </c>
      <c r="F126">
        <f t="shared" si="14"/>
        <v>1441.69697</v>
      </c>
      <c r="G126">
        <f t="shared" si="15"/>
        <v>-0.46517999999999998</v>
      </c>
      <c r="H126">
        <f t="shared" si="16"/>
        <v>-670.64859650459994</v>
      </c>
      <c r="I126">
        <v>1</v>
      </c>
      <c r="J126">
        <f t="shared" si="17"/>
        <v>0.36582087114800232</v>
      </c>
      <c r="K126">
        <f t="shared" si="18"/>
        <v>-0.75654515177521753</v>
      </c>
      <c r="L126">
        <v>1</v>
      </c>
      <c r="M126">
        <f t="shared" si="19"/>
        <v>0.58025594357373089</v>
      </c>
      <c r="N126">
        <f t="shared" si="20"/>
        <v>0.11533575759999999</v>
      </c>
      <c r="O126">
        <f t="shared" si="21"/>
        <v>2.5950545459999998E-2</v>
      </c>
      <c r="P126">
        <f t="shared" si="22"/>
        <v>3.5002905141486643E-2</v>
      </c>
      <c r="V126">
        <v>6.2</v>
      </c>
      <c r="W126">
        <f t="shared" si="24"/>
        <v>-0.86805599999999994</v>
      </c>
    </row>
    <row r="127" spans="1:23" x14ac:dyDescent="0.3">
      <c r="A127">
        <v>7.2672359000000002</v>
      </c>
      <c r="B127">
        <v>0.46278999999999998</v>
      </c>
      <c r="C127">
        <f t="shared" si="13"/>
        <v>3.3632041021609997</v>
      </c>
      <c r="D127">
        <v>1.6E-2</v>
      </c>
      <c r="E127">
        <v>3.5999999999999999E-3</v>
      </c>
      <c r="F127">
        <f t="shared" si="14"/>
        <v>1453.4471800000001</v>
      </c>
      <c r="G127">
        <f t="shared" si="15"/>
        <v>-0.46278999999999998</v>
      </c>
      <c r="H127">
        <f t="shared" si="16"/>
        <v>-672.64082043219992</v>
      </c>
      <c r="I127">
        <v>1</v>
      </c>
      <c r="J127">
        <f t="shared" si="17"/>
        <v>0.37393810048720361</v>
      </c>
      <c r="K127">
        <f t="shared" si="18"/>
        <v>-0.75893515177521742</v>
      </c>
      <c r="L127">
        <v>1</v>
      </c>
      <c r="M127">
        <f t="shared" si="19"/>
        <v>0.58065636649703378</v>
      </c>
      <c r="N127">
        <f t="shared" si="20"/>
        <v>0.1162757744</v>
      </c>
      <c r="O127">
        <f t="shared" si="21"/>
        <v>2.6162049239999999E-2</v>
      </c>
      <c r="P127">
        <f t="shared" si="22"/>
        <v>3.5840961638183635E-2</v>
      </c>
      <c r="V127">
        <v>6.3</v>
      </c>
      <c r="W127">
        <f t="shared" si="24"/>
        <v>-0.87298900000000001</v>
      </c>
    </row>
    <row r="128" spans="1:23" x14ac:dyDescent="0.3">
      <c r="A128">
        <v>7.3288680499999996</v>
      </c>
      <c r="B128">
        <v>0.46044000000000002</v>
      </c>
      <c r="C128">
        <f t="shared" si="13"/>
        <v>3.3745040049420001</v>
      </c>
      <c r="D128">
        <v>1.6E-2</v>
      </c>
      <c r="E128">
        <v>3.5999999999999999E-3</v>
      </c>
      <c r="F128">
        <f t="shared" si="14"/>
        <v>1465.77361</v>
      </c>
      <c r="G128">
        <f t="shared" si="15"/>
        <v>-0.46044000000000002</v>
      </c>
      <c r="H128">
        <f t="shared" si="16"/>
        <v>-674.90080098839996</v>
      </c>
      <c r="I128">
        <v>1</v>
      </c>
      <c r="J128">
        <f t="shared" si="17"/>
        <v>0.38238316452710269</v>
      </c>
      <c r="K128">
        <f t="shared" si="18"/>
        <v>-0.76128515177521749</v>
      </c>
      <c r="L128">
        <v>1</v>
      </c>
      <c r="M128">
        <f t="shared" si="19"/>
        <v>0.58107296150612198</v>
      </c>
      <c r="N128">
        <f t="shared" si="20"/>
        <v>0.11726188879999999</v>
      </c>
      <c r="O128">
        <f t="shared" si="21"/>
        <v>2.6383924979999997E-2</v>
      </c>
      <c r="P128">
        <f t="shared" si="22"/>
        <v>3.6566376489095526E-2</v>
      </c>
      <c r="V128">
        <v>6.4</v>
      </c>
      <c r="W128">
        <f t="shared" si="24"/>
        <v>-0.87792199999999998</v>
      </c>
    </row>
    <row r="129" spans="1:23" x14ac:dyDescent="0.3">
      <c r="A129">
        <v>7.38589085</v>
      </c>
      <c r="B129">
        <v>0.45807999999999999</v>
      </c>
      <c r="C129">
        <f t="shared" si="13"/>
        <v>3.383328880568</v>
      </c>
      <c r="D129">
        <v>1.6E-2</v>
      </c>
      <c r="E129">
        <v>3.5999999999999999E-3</v>
      </c>
      <c r="F129">
        <f t="shared" si="14"/>
        <v>1477.1781699999999</v>
      </c>
      <c r="G129">
        <f t="shared" si="15"/>
        <v>-0.45807999999999999</v>
      </c>
      <c r="H129">
        <f t="shared" si="16"/>
        <v>-676.66577611360003</v>
      </c>
      <c r="I129">
        <v>1</v>
      </c>
      <c r="J129">
        <f t="shared" si="17"/>
        <v>0.39013362592877648</v>
      </c>
      <c r="K129">
        <f t="shared" si="18"/>
        <v>-0.76364515177521741</v>
      </c>
      <c r="L129">
        <v>1</v>
      </c>
      <c r="M129">
        <f t="shared" si="19"/>
        <v>0.58145529176706656</v>
      </c>
      <c r="N129">
        <f t="shared" si="20"/>
        <v>0.1181742536</v>
      </c>
      <c r="O129">
        <f t="shared" si="21"/>
        <v>2.6589207059999998E-2</v>
      </c>
      <c r="P129">
        <f t="shared" si="22"/>
        <v>3.7426399348150854E-2</v>
      </c>
      <c r="V129">
        <v>6.5</v>
      </c>
      <c r="W129">
        <f t="shared" si="24"/>
        <v>-0.88285499999999995</v>
      </c>
    </row>
    <row r="130" spans="1:23" x14ac:dyDescent="0.3">
      <c r="A130">
        <v>7.4434896999999998</v>
      </c>
      <c r="B130">
        <v>0.45569999999999999</v>
      </c>
      <c r="C130">
        <f t="shared" si="13"/>
        <v>3.39199825629</v>
      </c>
      <c r="D130">
        <v>1.6E-2</v>
      </c>
      <c r="E130">
        <v>3.5999999999999999E-3</v>
      </c>
      <c r="F130">
        <f t="shared" si="14"/>
        <v>1488.69794</v>
      </c>
      <c r="G130">
        <f t="shared" si="15"/>
        <v>-0.45569999999999999</v>
      </c>
      <c r="H130">
        <f t="shared" si="16"/>
        <v>-678.39965125799995</v>
      </c>
      <c r="I130">
        <v>1</v>
      </c>
      <c r="J130">
        <f t="shared" si="17"/>
        <v>0.39790187214227618</v>
      </c>
      <c r="K130">
        <f t="shared" si="18"/>
        <v>-0.76602515177521746</v>
      </c>
      <c r="L130">
        <v>1</v>
      </c>
      <c r="M130">
        <f t="shared" si="19"/>
        <v>0.58183849935277843</v>
      </c>
      <c r="N130">
        <f t="shared" si="20"/>
        <v>0.1190958352</v>
      </c>
      <c r="O130">
        <f t="shared" si="21"/>
        <v>2.6796562919999999E-2</v>
      </c>
      <c r="P130">
        <f t="shared" si="22"/>
        <v>3.8294254302439032E-2</v>
      </c>
      <c r="V130">
        <v>6.6</v>
      </c>
      <c r="W130">
        <f t="shared" si="24"/>
        <v>-0.88778800000000002</v>
      </c>
    </row>
    <row r="131" spans="1:23" x14ac:dyDescent="0.3">
      <c r="A131">
        <v>7.5005130500000003</v>
      </c>
      <c r="B131">
        <v>0.45345000000000002</v>
      </c>
      <c r="C131">
        <f t="shared" si="13"/>
        <v>3.4011076425225002</v>
      </c>
      <c r="D131">
        <v>1.6E-2</v>
      </c>
      <c r="E131">
        <v>3.5999999999999999E-3</v>
      </c>
      <c r="F131">
        <f t="shared" si="14"/>
        <v>1500.1026100000001</v>
      </c>
      <c r="G131">
        <f t="shared" si="15"/>
        <v>-0.45345000000000002</v>
      </c>
      <c r="H131">
        <f t="shared" si="16"/>
        <v>-680.22152850450004</v>
      </c>
      <c r="I131">
        <v>1</v>
      </c>
      <c r="J131">
        <f t="shared" si="17"/>
        <v>0.4055335124352018</v>
      </c>
      <c r="K131">
        <f t="shared" si="18"/>
        <v>-0.76827515177521744</v>
      </c>
      <c r="L131">
        <v>1</v>
      </c>
      <c r="M131">
        <f t="shared" si="19"/>
        <v>0.58221496816842855</v>
      </c>
      <c r="N131">
        <f t="shared" si="20"/>
        <v>0.1200082088</v>
      </c>
      <c r="O131">
        <f t="shared" si="21"/>
        <v>2.7001846980000001E-2</v>
      </c>
      <c r="P131">
        <f t="shared" si="22"/>
        <v>3.9050127826788884E-2</v>
      </c>
      <c r="V131">
        <v>6.7</v>
      </c>
      <c r="W131">
        <f t="shared" si="24"/>
        <v>-0.89272099999999999</v>
      </c>
    </row>
    <row r="132" spans="1:23" x14ac:dyDescent="0.3">
      <c r="A132">
        <v>7.5575364499999997</v>
      </c>
      <c r="B132">
        <v>0.45085999999999998</v>
      </c>
      <c r="C132">
        <f t="shared" ref="C132:C195" si="25">A132*B132</f>
        <v>3.407390883847</v>
      </c>
      <c r="D132">
        <v>1.6E-2</v>
      </c>
      <c r="E132">
        <v>3.5999999999999999E-3</v>
      </c>
      <c r="F132">
        <f t="shared" ref="F132:F195" si="26">A132*200</f>
        <v>1511.50729</v>
      </c>
      <c r="G132">
        <f t="shared" ref="G132:G195" si="27">-B132</f>
        <v>-0.45085999999999998</v>
      </c>
      <c r="H132">
        <f t="shared" ref="H132:H195" si="28">-C132*200</f>
        <v>-681.47817676939997</v>
      </c>
      <c r="I132">
        <v>1</v>
      </c>
      <c r="J132">
        <f t="shared" ref="J132:J195" si="29">LN(F132/1000)</f>
        <v>0.4131073582492315</v>
      </c>
      <c r="K132">
        <f t="shared" ref="K132:K195" si="30">((-G132)-$N$2)</f>
        <v>-0.77086515177521742</v>
      </c>
      <c r="L132">
        <v>1</v>
      </c>
      <c r="M132">
        <f t="shared" ref="M132:M195" si="31">-1*($S$4+($S$5*J132))</f>
        <v>0.58258858598243457</v>
      </c>
      <c r="N132">
        <f t="shared" ref="N132:N195" si="32">D132*A132</f>
        <v>0.1209205832</v>
      </c>
      <c r="O132">
        <f t="shared" ref="O132:O195" si="33">E132*A132</f>
        <v>2.720713122E-2</v>
      </c>
      <c r="P132">
        <f t="shared" ref="P132:P195" si="34">-K132-M132-N132-O132</f>
        <v>4.0148851372782846E-2</v>
      </c>
      <c r="V132">
        <v>6.8</v>
      </c>
      <c r="W132">
        <f t="shared" ref="W132:W163" si="35">V132*$S$5+$S$4</f>
        <v>-0.89765399999999995</v>
      </c>
    </row>
    <row r="133" spans="1:23" x14ac:dyDescent="0.3">
      <c r="A133">
        <v>7.6145598000000003</v>
      </c>
      <c r="B133">
        <v>0.44873000000000002</v>
      </c>
      <c r="C133">
        <f t="shared" si="25"/>
        <v>3.4168814190540004</v>
      </c>
      <c r="D133">
        <v>1.6E-2</v>
      </c>
      <c r="E133">
        <v>3.5999999999999999E-3</v>
      </c>
      <c r="F133">
        <f t="shared" si="26"/>
        <v>1522.9119600000001</v>
      </c>
      <c r="G133">
        <f t="shared" si="27"/>
        <v>-0.44873000000000002</v>
      </c>
      <c r="H133">
        <f t="shared" si="28"/>
        <v>-683.37628381080003</v>
      </c>
      <c r="I133">
        <v>1</v>
      </c>
      <c r="J133">
        <f t="shared" si="29"/>
        <v>0.4206242652821906</v>
      </c>
      <c r="K133">
        <f t="shared" si="30"/>
        <v>-0.77299515177521738</v>
      </c>
      <c r="L133">
        <v>1</v>
      </c>
      <c r="M133">
        <f t="shared" si="31"/>
        <v>0.58295939500637051</v>
      </c>
      <c r="N133">
        <f t="shared" si="32"/>
        <v>0.1218329568</v>
      </c>
      <c r="O133">
        <f t="shared" si="33"/>
        <v>2.7412415280000001E-2</v>
      </c>
      <c r="P133">
        <f t="shared" si="34"/>
        <v>4.0790384688846867E-2</v>
      </c>
      <c r="V133">
        <v>6.9</v>
      </c>
      <c r="W133">
        <f t="shared" si="35"/>
        <v>-0.90258700000000003</v>
      </c>
    </row>
    <row r="134" spans="1:23" x14ac:dyDescent="0.3">
      <c r="A134">
        <v>7.6738875999999996</v>
      </c>
      <c r="B134">
        <v>0.44640000000000002</v>
      </c>
      <c r="C134">
        <f t="shared" si="25"/>
        <v>3.4256234246399999</v>
      </c>
      <c r="D134">
        <v>1.6E-2</v>
      </c>
      <c r="E134">
        <v>3.5999999999999999E-3</v>
      </c>
      <c r="F134">
        <f t="shared" si="26"/>
        <v>1534.7775199999999</v>
      </c>
      <c r="G134">
        <f t="shared" si="27"/>
        <v>-0.44640000000000002</v>
      </c>
      <c r="H134">
        <f t="shared" si="28"/>
        <v>-685.12468492799997</v>
      </c>
      <c r="I134">
        <v>1</v>
      </c>
      <c r="J134">
        <f t="shared" si="29"/>
        <v>0.42838543242386817</v>
      </c>
      <c r="K134">
        <f t="shared" si="30"/>
        <v>-0.77532515177521744</v>
      </c>
      <c r="L134">
        <v>1</v>
      </c>
      <c r="M134">
        <f t="shared" si="31"/>
        <v>0.58334225338146939</v>
      </c>
      <c r="N134">
        <f t="shared" si="32"/>
        <v>0.1227822016</v>
      </c>
      <c r="O134">
        <f t="shared" si="33"/>
        <v>2.7625995359999999E-2</v>
      </c>
      <c r="P134">
        <f t="shared" si="34"/>
        <v>4.1574701433748043E-2</v>
      </c>
      <c r="V134">
        <v>7</v>
      </c>
      <c r="W134">
        <f t="shared" si="35"/>
        <v>-0.90751999999999999</v>
      </c>
    </row>
    <row r="135" spans="1:23" x14ac:dyDescent="0.3">
      <c r="A135">
        <v>7.7309104</v>
      </c>
      <c r="B135">
        <v>0.44403999999999999</v>
      </c>
      <c r="C135">
        <f t="shared" si="25"/>
        <v>3.4328334540159999</v>
      </c>
      <c r="D135">
        <v>1.6E-2</v>
      </c>
      <c r="E135">
        <v>3.5999999999999999E-3</v>
      </c>
      <c r="F135">
        <f t="shared" si="26"/>
        <v>1546.18208</v>
      </c>
      <c r="G135">
        <f t="shared" si="27"/>
        <v>-0.44403999999999999</v>
      </c>
      <c r="H135">
        <f t="shared" si="28"/>
        <v>-686.5666908032</v>
      </c>
      <c r="I135">
        <v>1</v>
      </c>
      <c r="J135">
        <f t="shared" si="29"/>
        <v>0.43578871813328635</v>
      </c>
      <c r="K135">
        <f t="shared" si="30"/>
        <v>-0.77768515177521746</v>
      </c>
      <c r="L135">
        <v>1</v>
      </c>
      <c r="M135">
        <f t="shared" si="31"/>
        <v>0.583707457465515</v>
      </c>
      <c r="N135">
        <f t="shared" si="32"/>
        <v>0.1236945664</v>
      </c>
      <c r="O135">
        <f t="shared" si="33"/>
        <v>2.783127744E-2</v>
      </c>
      <c r="P135">
        <f t="shared" si="34"/>
        <v>4.2451850469702471E-2</v>
      </c>
      <c r="V135">
        <v>7.1</v>
      </c>
      <c r="W135">
        <f t="shared" si="35"/>
        <v>-0.91245299999999996</v>
      </c>
    </row>
    <row r="136" spans="1:23" x14ac:dyDescent="0.3">
      <c r="A136">
        <v>7.7885097999999999</v>
      </c>
      <c r="B136">
        <v>0.44152000000000002</v>
      </c>
      <c r="C136">
        <f t="shared" si="25"/>
        <v>3.4387828468960002</v>
      </c>
      <c r="D136">
        <v>1.6E-2</v>
      </c>
      <c r="E136">
        <v>3.5999999999999999E-3</v>
      </c>
      <c r="F136">
        <f t="shared" si="26"/>
        <v>1557.7019599999999</v>
      </c>
      <c r="G136">
        <f t="shared" si="27"/>
        <v>-0.44152000000000002</v>
      </c>
      <c r="H136">
        <f t="shared" si="28"/>
        <v>-687.75656937920007</v>
      </c>
      <c r="I136">
        <v>1</v>
      </c>
      <c r="J136">
        <f t="shared" si="29"/>
        <v>0.44321163261502278</v>
      </c>
      <c r="K136">
        <f t="shared" si="30"/>
        <v>-0.78020515177521743</v>
      </c>
      <c r="L136">
        <v>1</v>
      </c>
      <c r="M136">
        <f t="shared" si="31"/>
        <v>0.58407362983689903</v>
      </c>
      <c r="N136">
        <f t="shared" si="32"/>
        <v>0.1246161568</v>
      </c>
      <c r="O136">
        <f t="shared" si="33"/>
        <v>2.8038635279999998E-2</v>
      </c>
      <c r="P136">
        <f t="shared" si="34"/>
        <v>4.3476729858318394E-2</v>
      </c>
      <c r="V136">
        <v>7.2</v>
      </c>
      <c r="W136">
        <f t="shared" si="35"/>
        <v>-0.91738600000000003</v>
      </c>
    </row>
    <row r="137" spans="1:23" x14ac:dyDescent="0.3">
      <c r="A137">
        <v>7.8461087000000003</v>
      </c>
      <c r="B137">
        <v>0.43935999999999997</v>
      </c>
      <c r="C137">
        <f t="shared" si="25"/>
        <v>3.4472663184319998</v>
      </c>
      <c r="D137">
        <v>1.6E-2</v>
      </c>
      <c r="E137">
        <v>3.5999999999999999E-3</v>
      </c>
      <c r="F137">
        <f t="shared" si="26"/>
        <v>1569.22174</v>
      </c>
      <c r="G137">
        <f t="shared" si="27"/>
        <v>-0.43935999999999997</v>
      </c>
      <c r="H137">
        <f t="shared" si="28"/>
        <v>-689.45326368639996</v>
      </c>
      <c r="I137">
        <v>1</v>
      </c>
      <c r="J137">
        <f t="shared" si="29"/>
        <v>0.45057978945051141</v>
      </c>
      <c r="K137">
        <f t="shared" si="30"/>
        <v>-0.78236515177521748</v>
      </c>
      <c r="L137">
        <v>1</v>
      </c>
      <c r="M137">
        <f t="shared" si="31"/>
        <v>0.5844371010135937</v>
      </c>
      <c r="N137">
        <f t="shared" si="32"/>
        <v>0.1255377392</v>
      </c>
      <c r="O137">
        <f t="shared" si="33"/>
        <v>2.824599132E-2</v>
      </c>
      <c r="P137">
        <f t="shared" si="34"/>
        <v>4.4144320241623791E-2</v>
      </c>
      <c r="V137">
        <v>7.3</v>
      </c>
      <c r="W137">
        <f t="shared" si="35"/>
        <v>-0.92231899999999989</v>
      </c>
    </row>
    <row r="138" spans="1:23" x14ac:dyDescent="0.3">
      <c r="A138">
        <v>7.9071642000000004</v>
      </c>
      <c r="B138">
        <v>0.43686000000000003</v>
      </c>
      <c r="C138">
        <f t="shared" si="25"/>
        <v>3.4543237524120003</v>
      </c>
      <c r="D138">
        <v>1.6E-2</v>
      </c>
      <c r="E138">
        <v>3.5999999999999999E-3</v>
      </c>
      <c r="F138">
        <f t="shared" si="26"/>
        <v>1581.4328400000002</v>
      </c>
      <c r="G138">
        <f t="shared" si="27"/>
        <v>-0.43686000000000003</v>
      </c>
      <c r="H138">
        <f t="shared" si="28"/>
        <v>-690.86475048240004</v>
      </c>
      <c r="I138">
        <v>1</v>
      </c>
      <c r="J138">
        <f t="shared" si="29"/>
        <v>0.45833129684858137</v>
      </c>
      <c r="K138">
        <f t="shared" si="30"/>
        <v>-0.78486515177521743</v>
      </c>
      <c r="L138">
        <v>1</v>
      </c>
      <c r="M138">
        <f t="shared" si="31"/>
        <v>0.58481948287354046</v>
      </c>
      <c r="N138">
        <f t="shared" si="32"/>
        <v>0.12651462720000001</v>
      </c>
      <c r="O138">
        <f t="shared" si="33"/>
        <v>2.846579112E-2</v>
      </c>
      <c r="P138">
        <f t="shared" si="34"/>
        <v>4.5065250581676958E-2</v>
      </c>
      <c r="V138">
        <v>7.4</v>
      </c>
      <c r="W138">
        <f t="shared" si="35"/>
        <v>-0.92725199999999997</v>
      </c>
    </row>
    <row r="139" spans="1:23" x14ac:dyDescent="0.3">
      <c r="A139">
        <v>7.9659158000000003</v>
      </c>
      <c r="B139">
        <v>0.43434</v>
      </c>
      <c r="C139">
        <f t="shared" si="25"/>
        <v>3.4599158685720002</v>
      </c>
      <c r="D139">
        <v>1.6E-2</v>
      </c>
      <c r="E139">
        <v>3.5999999999999999E-3</v>
      </c>
      <c r="F139">
        <f t="shared" si="26"/>
        <v>1593.18316</v>
      </c>
      <c r="G139">
        <f t="shared" si="27"/>
        <v>-0.43434</v>
      </c>
      <c r="H139">
        <f t="shared" si="28"/>
        <v>-691.98317371439998</v>
      </c>
      <c r="I139">
        <v>1</v>
      </c>
      <c r="J139">
        <f t="shared" si="29"/>
        <v>0.46573400234732099</v>
      </c>
      <c r="K139">
        <f t="shared" si="30"/>
        <v>-0.78738515177521751</v>
      </c>
      <c r="L139">
        <v>1</v>
      </c>
      <c r="M139">
        <f t="shared" si="31"/>
        <v>0.58518465833579336</v>
      </c>
      <c r="N139">
        <f t="shared" si="32"/>
        <v>0.12745465280000001</v>
      </c>
      <c r="O139">
        <f t="shared" si="33"/>
        <v>2.8677296880000001E-2</v>
      </c>
      <c r="P139">
        <f t="shared" si="34"/>
        <v>4.6068543759424131E-2</v>
      </c>
      <c r="V139">
        <v>7.5</v>
      </c>
      <c r="W139">
        <f t="shared" si="35"/>
        <v>-0.93218500000000004</v>
      </c>
    </row>
    <row r="140" spans="1:23" x14ac:dyDescent="0.3">
      <c r="A140">
        <v>8.0240908999999991</v>
      </c>
      <c r="B140">
        <v>0.43181999999999998</v>
      </c>
      <c r="C140">
        <f t="shared" si="25"/>
        <v>3.4649629324379996</v>
      </c>
      <c r="D140">
        <v>1.6E-2</v>
      </c>
      <c r="E140">
        <v>3.5999999999999999E-3</v>
      </c>
      <c r="F140">
        <f t="shared" si="26"/>
        <v>1604.8181799999998</v>
      </c>
      <c r="G140">
        <f t="shared" si="27"/>
        <v>-0.43181999999999998</v>
      </c>
      <c r="H140">
        <f t="shared" si="28"/>
        <v>-692.99258648759997</v>
      </c>
      <c r="I140">
        <v>1</v>
      </c>
      <c r="J140">
        <f t="shared" si="29"/>
        <v>0.4730104666758233</v>
      </c>
      <c r="K140">
        <f t="shared" si="30"/>
        <v>-0.78990515177521747</v>
      </c>
      <c r="L140">
        <v>1</v>
      </c>
      <c r="M140">
        <f t="shared" si="31"/>
        <v>0.58554360632111835</v>
      </c>
      <c r="N140">
        <f t="shared" si="32"/>
        <v>0.12838545439999999</v>
      </c>
      <c r="O140">
        <f t="shared" si="33"/>
        <v>2.8886727239999997E-2</v>
      </c>
      <c r="P140">
        <f t="shared" si="34"/>
        <v>4.7089363814099144E-2</v>
      </c>
    </row>
    <row r="141" spans="1:23" x14ac:dyDescent="0.3">
      <c r="A141">
        <v>8.0816902499999994</v>
      </c>
      <c r="B141">
        <v>0.42969000000000002</v>
      </c>
      <c r="C141">
        <f t="shared" si="25"/>
        <v>3.4726214835225</v>
      </c>
      <c r="D141">
        <v>1.6E-2</v>
      </c>
      <c r="E141">
        <v>3.5999999999999999E-3</v>
      </c>
      <c r="F141">
        <f t="shared" si="26"/>
        <v>1616.3380499999998</v>
      </c>
      <c r="G141">
        <f t="shared" si="27"/>
        <v>-0.42969000000000002</v>
      </c>
      <c r="H141">
        <f t="shared" si="28"/>
        <v>-694.52429670449999</v>
      </c>
      <c r="I141">
        <v>1</v>
      </c>
      <c r="J141">
        <f t="shared" si="29"/>
        <v>0.4801631275782966</v>
      </c>
      <c r="K141">
        <f t="shared" si="30"/>
        <v>-0.79203515177521744</v>
      </c>
      <c r="L141">
        <v>1</v>
      </c>
      <c r="M141">
        <f t="shared" si="31"/>
        <v>0.58589644708343736</v>
      </c>
      <c r="N141">
        <f t="shared" si="32"/>
        <v>0.12930704399999998</v>
      </c>
      <c r="O141">
        <f t="shared" si="33"/>
        <v>2.9094084899999997E-2</v>
      </c>
      <c r="P141">
        <f t="shared" si="34"/>
        <v>4.7737575791780104E-2</v>
      </c>
    </row>
    <row r="142" spans="1:23" x14ac:dyDescent="0.3">
      <c r="A142">
        <v>8.1415936000000002</v>
      </c>
      <c r="B142">
        <v>0.42735000000000001</v>
      </c>
      <c r="C142">
        <f t="shared" si="25"/>
        <v>3.4793100249600002</v>
      </c>
      <c r="D142">
        <v>1.6E-2</v>
      </c>
      <c r="E142">
        <v>3.5999999999999999E-3</v>
      </c>
      <c r="F142">
        <f t="shared" si="26"/>
        <v>1628.31872</v>
      </c>
      <c r="G142">
        <f t="shared" si="27"/>
        <v>-0.42735000000000001</v>
      </c>
      <c r="H142">
        <f t="shared" si="28"/>
        <v>-695.86200499200004</v>
      </c>
      <c r="I142">
        <v>1</v>
      </c>
      <c r="J142">
        <f t="shared" si="29"/>
        <v>0.48754802237490241</v>
      </c>
      <c r="K142">
        <f t="shared" si="30"/>
        <v>-0.79437515177521745</v>
      </c>
      <c r="L142">
        <v>1</v>
      </c>
      <c r="M142">
        <f t="shared" si="31"/>
        <v>0.58626074394375394</v>
      </c>
      <c r="N142">
        <f t="shared" si="32"/>
        <v>0.1302654976</v>
      </c>
      <c r="O142">
        <f t="shared" si="33"/>
        <v>2.9309736959999999E-2</v>
      </c>
      <c r="P142">
        <f t="shared" si="34"/>
        <v>4.8539173271463509E-2</v>
      </c>
    </row>
    <row r="143" spans="1:23" x14ac:dyDescent="0.3">
      <c r="A143">
        <v>8.1991931000000005</v>
      </c>
      <c r="B143">
        <v>0.42465000000000003</v>
      </c>
      <c r="C143">
        <f t="shared" si="25"/>
        <v>3.4817873499150003</v>
      </c>
      <c r="D143">
        <v>1.6E-2</v>
      </c>
      <c r="E143">
        <v>3.5999999999999999E-3</v>
      </c>
      <c r="F143">
        <f t="shared" si="26"/>
        <v>1639.83862</v>
      </c>
      <c r="G143">
        <f t="shared" si="27"/>
        <v>-0.42465000000000003</v>
      </c>
      <c r="H143">
        <f t="shared" si="28"/>
        <v>-696.3574699830001</v>
      </c>
      <c r="I143">
        <v>1</v>
      </c>
      <c r="J143">
        <f t="shared" si="29"/>
        <v>0.49459783455524498</v>
      </c>
      <c r="K143">
        <f t="shared" si="30"/>
        <v>-0.79707515177521748</v>
      </c>
      <c r="L143">
        <v>1</v>
      </c>
      <c r="M143">
        <f t="shared" si="31"/>
        <v>0.58660851117861024</v>
      </c>
      <c r="N143">
        <f t="shared" si="32"/>
        <v>0.1311870896</v>
      </c>
      <c r="O143">
        <f t="shared" si="33"/>
        <v>2.9517095159999999E-2</v>
      </c>
      <c r="P143">
        <f t="shared" si="34"/>
        <v>4.9762455836607246E-2</v>
      </c>
    </row>
    <row r="144" spans="1:23" x14ac:dyDescent="0.3">
      <c r="A144">
        <v>8.2562164500000002</v>
      </c>
      <c r="B144">
        <v>0.42243999999999998</v>
      </c>
      <c r="C144">
        <f t="shared" si="25"/>
        <v>3.4877560771380001</v>
      </c>
      <c r="D144">
        <v>1.6E-2</v>
      </c>
      <c r="E144">
        <v>3.5999999999999999E-3</v>
      </c>
      <c r="F144">
        <f t="shared" si="26"/>
        <v>1651.2432900000001</v>
      </c>
      <c r="G144">
        <f t="shared" si="27"/>
        <v>-0.42243999999999998</v>
      </c>
      <c r="H144">
        <f t="shared" si="28"/>
        <v>-697.55121542760003</v>
      </c>
      <c r="I144">
        <v>1</v>
      </c>
      <c r="J144">
        <f t="shared" si="29"/>
        <v>0.50152851325795089</v>
      </c>
      <c r="K144">
        <f t="shared" si="30"/>
        <v>-0.79928515177521753</v>
      </c>
      <c r="L144">
        <v>1</v>
      </c>
      <c r="M144">
        <f t="shared" si="31"/>
        <v>0.58695040155901468</v>
      </c>
      <c r="N144">
        <f t="shared" si="32"/>
        <v>0.13209946320000002</v>
      </c>
      <c r="O144">
        <f t="shared" si="33"/>
        <v>2.9722379220000001E-2</v>
      </c>
      <c r="P144">
        <f t="shared" si="34"/>
        <v>5.0512907796202836E-2</v>
      </c>
    </row>
    <row r="145" spans="1:16" x14ac:dyDescent="0.3">
      <c r="A145">
        <v>8.3138158499999992</v>
      </c>
      <c r="B145">
        <v>0.42027999999999999</v>
      </c>
      <c r="C145">
        <f t="shared" si="25"/>
        <v>3.4941305254379995</v>
      </c>
      <c r="D145">
        <v>1.6E-2</v>
      </c>
      <c r="E145">
        <v>3.5999999999999999E-3</v>
      </c>
      <c r="F145">
        <f t="shared" si="26"/>
        <v>1662.7631699999999</v>
      </c>
      <c r="G145">
        <f t="shared" si="27"/>
        <v>-0.42027999999999999</v>
      </c>
      <c r="H145">
        <f t="shared" si="28"/>
        <v>-698.8261050875999</v>
      </c>
      <c r="I145">
        <v>1</v>
      </c>
      <c r="J145">
        <f t="shared" si="29"/>
        <v>0.50848077876446707</v>
      </c>
      <c r="K145">
        <f t="shared" si="30"/>
        <v>-0.80144515177521747</v>
      </c>
      <c r="L145">
        <v>1</v>
      </c>
      <c r="M145">
        <f t="shared" si="31"/>
        <v>0.58729335681645112</v>
      </c>
      <c r="N145">
        <f t="shared" si="32"/>
        <v>0.13302105359999999</v>
      </c>
      <c r="O145">
        <f t="shared" si="33"/>
        <v>2.9929737059999996E-2</v>
      </c>
      <c r="P145">
        <f t="shared" si="34"/>
        <v>5.120100429876636E-2</v>
      </c>
    </row>
    <row r="146" spans="1:16" x14ac:dyDescent="0.3">
      <c r="A146">
        <v>8.3731425000000002</v>
      </c>
      <c r="B146">
        <v>0.41760999999999998</v>
      </c>
      <c r="C146">
        <f t="shared" si="25"/>
        <v>3.4967080394250001</v>
      </c>
      <c r="D146">
        <v>1.6E-2</v>
      </c>
      <c r="E146">
        <v>3.5999999999999999E-3</v>
      </c>
      <c r="F146">
        <f t="shared" si="26"/>
        <v>1674.6285</v>
      </c>
      <c r="G146">
        <f t="shared" si="27"/>
        <v>-0.41760999999999998</v>
      </c>
      <c r="H146">
        <f t="shared" si="28"/>
        <v>-699.34160788500003</v>
      </c>
      <c r="I146">
        <v>1</v>
      </c>
      <c r="J146">
        <f t="shared" si="29"/>
        <v>0.51559134963298259</v>
      </c>
      <c r="K146">
        <f t="shared" si="30"/>
        <v>-0.80411515177521742</v>
      </c>
      <c r="L146">
        <v>1</v>
      </c>
      <c r="M146">
        <f t="shared" si="31"/>
        <v>0.58764412127739507</v>
      </c>
      <c r="N146">
        <f t="shared" si="32"/>
        <v>0.13397028</v>
      </c>
      <c r="O146">
        <f t="shared" si="33"/>
        <v>3.0143313000000001E-2</v>
      </c>
      <c r="P146">
        <f t="shared" si="34"/>
        <v>5.2357437497822346E-2</v>
      </c>
    </row>
    <row r="147" spans="1:16" x14ac:dyDescent="0.3">
      <c r="A147">
        <v>8.4318941499999998</v>
      </c>
      <c r="B147">
        <v>0.41527999999999998</v>
      </c>
      <c r="C147">
        <f t="shared" si="25"/>
        <v>3.5015970026119998</v>
      </c>
      <c r="D147">
        <v>1.6E-2</v>
      </c>
      <c r="E147">
        <v>3.5999999999999999E-3</v>
      </c>
      <c r="F147">
        <f t="shared" si="26"/>
        <v>1686.3788299999999</v>
      </c>
      <c r="G147">
        <f t="shared" si="27"/>
        <v>-0.41527999999999998</v>
      </c>
      <c r="H147">
        <f t="shared" si="28"/>
        <v>-700.31940052239997</v>
      </c>
      <c r="I147">
        <v>1</v>
      </c>
      <c r="J147">
        <f t="shared" si="29"/>
        <v>0.5225835259179904</v>
      </c>
      <c r="K147">
        <f t="shared" si="30"/>
        <v>-0.80644515177521747</v>
      </c>
      <c r="L147">
        <v>1</v>
      </c>
      <c r="M147">
        <f t="shared" si="31"/>
        <v>0.58798904533353447</v>
      </c>
      <c r="N147">
        <f t="shared" si="32"/>
        <v>0.13491030639999999</v>
      </c>
      <c r="O147">
        <f t="shared" si="33"/>
        <v>3.0354818939999997E-2</v>
      </c>
      <c r="P147">
        <f t="shared" si="34"/>
        <v>5.3190981101683021E-2</v>
      </c>
    </row>
    <row r="148" spans="1:16" x14ac:dyDescent="0.3">
      <c r="A148">
        <v>8.48949365</v>
      </c>
      <c r="B148">
        <v>0.41278999999999999</v>
      </c>
      <c r="C148">
        <f t="shared" si="25"/>
        <v>3.5043780837835001</v>
      </c>
      <c r="D148">
        <v>1.6E-2</v>
      </c>
      <c r="E148">
        <v>3.5999999999999999E-3</v>
      </c>
      <c r="F148">
        <f t="shared" si="26"/>
        <v>1697.8987299999999</v>
      </c>
      <c r="G148">
        <f t="shared" si="27"/>
        <v>-0.41278999999999999</v>
      </c>
      <c r="H148">
        <f t="shared" si="28"/>
        <v>-700.87561675670008</v>
      </c>
      <c r="I148">
        <v>1</v>
      </c>
      <c r="J148">
        <f t="shared" si="29"/>
        <v>0.52939144535674698</v>
      </c>
      <c r="K148">
        <f t="shared" si="30"/>
        <v>-0.80893515177521746</v>
      </c>
      <c r="L148">
        <v>1</v>
      </c>
      <c r="M148">
        <f t="shared" si="31"/>
        <v>0.58832487999944827</v>
      </c>
      <c r="N148">
        <f t="shared" si="32"/>
        <v>0.13583189840000001</v>
      </c>
      <c r="O148">
        <f t="shared" si="33"/>
        <v>3.0562177140000001E-2</v>
      </c>
      <c r="P148">
        <f t="shared" si="34"/>
        <v>5.4216196235769183E-2</v>
      </c>
    </row>
    <row r="149" spans="1:16" x14ac:dyDescent="0.3">
      <c r="A149">
        <v>8.5482446999999997</v>
      </c>
      <c r="B149">
        <v>0.41009000000000001</v>
      </c>
      <c r="C149">
        <f t="shared" si="25"/>
        <v>3.5055496690229999</v>
      </c>
      <c r="D149">
        <v>1.6E-2</v>
      </c>
      <c r="E149">
        <v>3.5999999999999999E-3</v>
      </c>
      <c r="F149">
        <f t="shared" si="26"/>
        <v>1709.64894</v>
      </c>
      <c r="G149">
        <f t="shared" si="27"/>
        <v>-0.41009000000000001</v>
      </c>
      <c r="H149">
        <f t="shared" si="28"/>
        <v>-701.10993380460002</v>
      </c>
      <c r="I149">
        <v>1</v>
      </c>
      <c r="J149">
        <f t="shared" si="29"/>
        <v>0.53628805119238498</v>
      </c>
      <c r="K149">
        <f t="shared" si="30"/>
        <v>-0.81163515177521739</v>
      </c>
      <c r="L149">
        <v>1</v>
      </c>
      <c r="M149">
        <f t="shared" si="31"/>
        <v>0.58866508956532038</v>
      </c>
      <c r="N149">
        <f t="shared" si="32"/>
        <v>0.13677191520000001</v>
      </c>
      <c r="O149">
        <f t="shared" si="33"/>
        <v>3.0773680919999997E-2</v>
      </c>
      <c r="P149">
        <f t="shared" si="34"/>
        <v>5.5424466089897005E-2</v>
      </c>
    </row>
    <row r="150" spans="1:16" x14ac:dyDescent="0.3">
      <c r="A150">
        <v>8.6064197500000006</v>
      </c>
      <c r="B150">
        <v>0.40792</v>
      </c>
      <c r="C150">
        <f t="shared" si="25"/>
        <v>3.5107307444200004</v>
      </c>
      <c r="D150">
        <v>1.6E-2</v>
      </c>
      <c r="E150">
        <v>3.5999999999999999E-3</v>
      </c>
      <c r="F150">
        <f t="shared" si="26"/>
        <v>1721.28395</v>
      </c>
      <c r="G150">
        <f t="shared" si="27"/>
        <v>-0.40792</v>
      </c>
      <c r="H150">
        <f t="shared" si="28"/>
        <v>-702.14614888400013</v>
      </c>
      <c r="I150">
        <v>1</v>
      </c>
      <c r="J150">
        <f t="shared" si="29"/>
        <v>0.54307049490397452</v>
      </c>
      <c r="K150">
        <f t="shared" si="30"/>
        <v>-0.81380515177521739</v>
      </c>
      <c r="L150">
        <v>1</v>
      </c>
      <c r="M150">
        <f t="shared" si="31"/>
        <v>0.5889996675136131</v>
      </c>
      <c r="N150">
        <f t="shared" si="32"/>
        <v>0.137702716</v>
      </c>
      <c r="O150">
        <f t="shared" si="33"/>
        <v>3.0983111100000002E-2</v>
      </c>
      <c r="P150">
        <f t="shared" si="34"/>
        <v>5.6119657161604289E-2</v>
      </c>
    </row>
    <row r="151" spans="1:16" x14ac:dyDescent="0.3">
      <c r="A151">
        <v>8.6692035000000001</v>
      </c>
      <c r="B151">
        <v>0.40531</v>
      </c>
      <c r="C151">
        <f t="shared" si="25"/>
        <v>3.5137148705849999</v>
      </c>
      <c r="D151">
        <v>1.6E-2</v>
      </c>
      <c r="E151">
        <v>3.5999999999999999E-3</v>
      </c>
      <c r="F151">
        <f t="shared" si="26"/>
        <v>1733.8407</v>
      </c>
      <c r="G151">
        <f t="shared" si="27"/>
        <v>-0.40531</v>
      </c>
      <c r="H151">
        <f t="shared" si="28"/>
        <v>-702.74297411700002</v>
      </c>
      <c r="I151">
        <v>1</v>
      </c>
      <c r="J151">
        <f t="shared" si="29"/>
        <v>0.55033900562606919</v>
      </c>
      <c r="K151">
        <f t="shared" si="30"/>
        <v>-0.8164151517752174</v>
      </c>
      <c r="L151">
        <v>1</v>
      </c>
      <c r="M151">
        <f t="shared" si="31"/>
        <v>0.58935822314753394</v>
      </c>
      <c r="N151">
        <f t="shared" si="32"/>
        <v>0.138707256</v>
      </c>
      <c r="O151">
        <f t="shared" si="33"/>
        <v>3.1209132599999998E-2</v>
      </c>
      <c r="P151">
        <f t="shared" si="34"/>
        <v>5.7140540027683456E-2</v>
      </c>
    </row>
    <row r="152" spans="1:16" x14ac:dyDescent="0.3">
      <c r="A152">
        <v>8.7279546999999997</v>
      </c>
      <c r="B152">
        <v>0.40272999999999998</v>
      </c>
      <c r="C152">
        <f t="shared" si="25"/>
        <v>3.5150091963309995</v>
      </c>
      <c r="D152">
        <v>1.6E-2</v>
      </c>
      <c r="E152">
        <v>3.5999999999999999E-3</v>
      </c>
      <c r="F152">
        <f t="shared" si="26"/>
        <v>1745.59094</v>
      </c>
      <c r="G152">
        <f t="shared" si="27"/>
        <v>-0.40272999999999998</v>
      </c>
      <c r="H152">
        <f t="shared" si="28"/>
        <v>-703.00183926619991</v>
      </c>
      <c r="I152">
        <v>1</v>
      </c>
      <c r="J152">
        <f t="shared" si="29"/>
        <v>0.55709314589071623</v>
      </c>
      <c r="K152">
        <f t="shared" si="30"/>
        <v>-0.81899515177521742</v>
      </c>
      <c r="L152">
        <v>1</v>
      </c>
      <c r="M152">
        <f t="shared" si="31"/>
        <v>0.58969140488678906</v>
      </c>
      <c r="N152">
        <f t="shared" si="32"/>
        <v>0.1396472752</v>
      </c>
      <c r="O152">
        <f t="shared" si="33"/>
        <v>3.1420636920000002E-2</v>
      </c>
      <c r="P152">
        <f t="shared" si="34"/>
        <v>5.8235834768428356E-2</v>
      </c>
    </row>
    <row r="153" spans="1:16" x14ac:dyDescent="0.3">
      <c r="A153">
        <v>8.7849774000000007</v>
      </c>
      <c r="B153">
        <v>0.40027000000000001</v>
      </c>
      <c r="C153">
        <f t="shared" si="25"/>
        <v>3.5163629038980004</v>
      </c>
      <c r="D153">
        <v>1.6E-2</v>
      </c>
      <c r="E153">
        <v>3.5999999999999999E-3</v>
      </c>
      <c r="F153">
        <f t="shared" si="26"/>
        <v>1756.99548</v>
      </c>
      <c r="G153">
        <f t="shared" si="27"/>
        <v>-0.40027000000000001</v>
      </c>
      <c r="H153">
        <f t="shared" si="28"/>
        <v>-703.27258077960005</v>
      </c>
      <c r="I153">
        <v>1</v>
      </c>
      <c r="J153">
        <f t="shared" si="29"/>
        <v>0.5636052366347758</v>
      </c>
      <c r="K153">
        <f t="shared" si="30"/>
        <v>-0.82145515177521744</v>
      </c>
      <c r="L153">
        <v>1</v>
      </c>
      <c r="M153">
        <f t="shared" si="31"/>
        <v>0.5900126463231935</v>
      </c>
      <c r="N153">
        <f t="shared" si="32"/>
        <v>0.14055963840000002</v>
      </c>
      <c r="O153">
        <f t="shared" si="33"/>
        <v>3.162591864E-2</v>
      </c>
      <c r="P153">
        <f t="shared" si="34"/>
        <v>5.9256948412023919E-2</v>
      </c>
    </row>
    <row r="154" spans="1:16" x14ac:dyDescent="0.3">
      <c r="A154">
        <v>8.8425779999999996</v>
      </c>
      <c r="B154">
        <v>0.3977</v>
      </c>
      <c r="C154">
        <f t="shared" si="25"/>
        <v>3.5166932705999998</v>
      </c>
      <c r="D154">
        <v>1.6E-2</v>
      </c>
      <c r="E154">
        <v>3.5999999999999999E-3</v>
      </c>
      <c r="F154">
        <f t="shared" si="26"/>
        <v>1768.5155999999999</v>
      </c>
      <c r="G154">
        <f t="shared" si="27"/>
        <v>-0.3977</v>
      </c>
      <c r="H154">
        <f t="shared" si="28"/>
        <v>-703.33865412</v>
      </c>
      <c r="I154">
        <v>1</v>
      </c>
      <c r="J154">
        <f t="shared" si="29"/>
        <v>0.57014055065926839</v>
      </c>
      <c r="K154">
        <f t="shared" si="30"/>
        <v>-0.82402515177521751</v>
      </c>
      <c r="L154">
        <v>1</v>
      </c>
      <c r="M154">
        <f t="shared" si="31"/>
        <v>0.59033503336402171</v>
      </c>
      <c r="N154">
        <f t="shared" si="32"/>
        <v>0.141481248</v>
      </c>
      <c r="O154">
        <f t="shared" si="33"/>
        <v>3.1833280799999995E-2</v>
      </c>
      <c r="P154">
        <f t="shared" si="34"/>
        <v>6.0375589611195803E-2</v>
      </c>
    </row>
    <row r="155" spans="1:16" x14ac:dyDescent="0.3">
      <c r="A155">
        <v>8.9013290999999999</v>
      </c>
      <c r="B155">
        <v>0.39530999999999999</v>
      </c>
      <c r="C155">
        <f t="shared" si="25"/>
        <v>3.5187844065210001</v>
      </c>
      <c r="D155">
        <v>1.6E-2</v>
      </c>
      <c r="E155">
        <v>3.5999999999999999E-3</v>
      </c>
      <c r="F155">
        <f t="shared" si="26"/>
        <v>1780.2658200000001</v>
      </c>
      <c r="G155">
        <f t="shared" si="27"/>
        <v>-0.39530999999999999</v>
      </c>
      <c r="H155">
        <f t="shared" si="28"/>
        <v>-703.75688130420008</v>
      </c>
      <c r="I155">
        <v>1</v>
      </c>
      <c r="J155">
        <f t="shared" si="29"/>
        <v>0.576762690232974</v>
      </c>
      <c r="K155">
        <f t="shared" si="30"/>
        <v>-0.8264151517752174</v>
      </c>
      <c r="L155">
        <v>1</v>
      </c>
      <c r="M155">
        <f t="shared" si="31"/>
        <v>0.59066170350919256</v>
      </c>
      <c r="N155">
        <f t="shared" si="32"/>
        <v>0.14242126560000001</v>
      </c>
      <c r="O155">
        <f t="shared" si="33"/>
        <v>3.204478476E-2</v>
      </c>
      <c r="P155">
        <f t="shared" si="34"/>
        <v>6.1287397906024832E-2</v>
      </c>
    </row>
    <row r="156" spans="1:16" x14ac:dyDescent="0.3">
      <c r="A156">
        <v>8.9618079500000007</v>
      </c>
      <c r="B156">
        <v>0.39321</v>
      </c>
      <c r="C156">
        <f t="shared" si="25"/>
        <v>3.5238725040195003</v>
      </c>
      <c r="D156">
        <v>1.6E-2</v>
      </c>
      <c r="E156">
        <v>3.5999999999999999E-3</v>
      </c>
      <c r="F156">
        <f t="shared" si="26"/>
        <v>1792.3615900000002</v>
      </c>
      <c r="G156">
        <f t="shared" si="27"/>
        <v>-0.39321</v>
      </c>
      <c r="H156">
        <f t="shared" si="28"/>
        <v>-704.77450080390008</v>
      </c>
      <c r="I156">
        <v>1</v>
      </c>
      <c r="J156">
        <f t="shared" si="29"/>
        <v>0.58353407433179427</v>
      </c>
      <c r="K156">
        <f t="shared" si="30"/>
        <v>-0.8285151517752174</v>
      </c>
      <c r="L156">
        <v>1</v>
      </c>
      <c r="M156">
        <f t="shared" si="31"/>
        <v>0.59099573588678744</v>
      </c>
      <c r="N156">
        <f t="shared" si="32"/>
        <v>0.14338892720000002</v>
      </c>
      <c r="O156">
        <f t="shared" si="33"/>
        <v>3.2262508620000005E-2</v>
      </c>
      <c r="P156">
        <f t="shared" si="34"/>
        <v>6.1867980068429931E-2</v>
      </c>
    </row>
    <row r="157" spans="1:16" x14ac:dyDescent="0.3">
      <c r="A157">
        <v>9.0234389999999998</v>
      </c>
      <c r="B157">
        <v>0.39032</v>
      </c>
      <c r="C157">
        <f t="shared" si="25"/>
        <v>3.5220287104799999</v>
      </c>
      <c r="D157">
        <v>1.6E-2</v>
      </c>
      <c r="E157">
        <v>3.5999999999999999E-3</v>
      </c>
      <c r="F157">
        <f t="shared" si="26"/>
        <v>1804.6877999999999</v>
      </c>
      <c r="G157">
        <f t="shared" si="27"/>
        <v>-0.39032</v>
      </c>
      <c r="H157">
        <f t="shared" si="28"/>
        <v>-704.40574209599993</v>
      </c>
      <c r="I157">
        <v>1</v>
      </c>
      <c r="J157">
        <f t="shared" si="29"/>
        <v>0.59038761283592878</v>
      </c>
      <c r="K157">
        <f t="shared" si="30"/>
        <v>-0.83140515177521745</v>
      </c>
      <c r="L157">
        <v>1</v>
      </c>
      <c r="M157">
        <f t="shared" si="31"/>
        <v>0.59133382094119635</v>
      </c>
      <c r="N157">
        <f t="shared" si="32"/>
        <v>0.14437502399999999</v>
      </c>
      <c r="O157">
        <f t="shared" si="33"/>
        <v>3.2484380399999999E-2</v>
      </c>
      <c r="P157">
        <f t="shared" si="34"/>
        <v>6.3211926434021112E-2</v>
      </c>
    </row>
    <row r="158" spans="1:16" x14ac:dyDescent="0.3">
      <c r="A158">
        <v>9.0850694500000007</v>
      </c>
      <c r="B158">
        <v>0.38785999999999998</v>
      </c>
      <c r="C158">
        <f t="shared" si="25"/>
        <v>3.523735036877</v>
      </c>
      <c r="D158">
        <v>1.6E-2</v>
      </c>
      <c r="E158">
        <v>3.5999999999999999E-3</v>
      </c>
      <c r="F158">
        <f t="shared" si="26"/>
        <v>1817.0138900000002</v>
      </c>
      <c r="G158">
        <f t="shared" si="27"/>
        <v>-0.38785999999999998</v>
      </c>
      <c r="H158">
        <f t="shared" si="28"/>
        <v>-704.74700737540002</v>
      </c>
      <c r="I158">
        <v>1</v>
      </c>
      <c r="J158">
        <f t="shared" si="29"/>
        <v>0.59719443385372017</v>
      </c>
      <c r="K158">
        <f t="shared" si="30"/>
        <v>-0.83386515177521747</v>
      </c>
      <c r="L158">
        <v>1</v>
      </c>
      <c r="M158">
        <f t="shared" si="31"/>
        <v>0.59166960142200398</v>
      </c>
      <c r="N158">
        <f t="shared" si="32"/>
        <v>0.1453611112</v>
      </c>
      <c r="O158">
        <f t="shared" si="33"/>
        <v>3.2706250020000001E-2</v>
      </c>
      <c r="P158">
        <f t="shared" si="34"/>
        <v>6.4128189133213498E-2</v>
      </c>
    </row>
    <row r="159" spans="1:16" x14ac:dyDescent="0.3">
      <c r="A159">
        <v>9.1478532999999995</v>
      </c>
      <c r="B159">
        <v>0.38499</v>
      </c>
      <c r="C159">
        <f t="shared" si="25"/>
        <v>3.5218320419669999</v>
      </c>
      <c r="D159">
        <v>1.6E-2</v>
      </c>
      <c r="E159">
        <v>3.5999999999999999E-3</v>
      </c>
      <c r="F159">
        <f t="shared" si="26"/>
        <v>1829.5706599999999</v>
      </c>
      <c r="G159">
        <f t="shared" si="27"/>
        <v>-0.38499</v>
      </c>
      <c r="H159">
        <f t="shared" si="28"/>
        <v>-704.36640839339998</v>
      </c>
      <c r="I159">
        <v>1</v>
      </c>
      <c r="J159">
        <f t="shared" si="29"/>
        <v>0.60408132730576591</v>
      </c>
      <c r="K159">
        <f t="shared" si="30"/>
        <v>-0.83673515177521751</v>
      </c>
      <c r="L159">
        <v>1</v>
      </c>
      <c r="M159">
        <f t="shared" si="31"/>
        <v>0.59200933187599347</v>
      </c>
      <c r="N159">
        <f t="shared" si="32"/>
        <v>0.1463656528</v>
      </c>
      <c r="O159">
        <f t="shared" si="33"/>
        <v>3.2932271879999996E-2</v>
      </c>
      <c r="P159">
        <f t="shared" si="34"/>
        <v>6.5427895219224042E-2</v>
      </c>
    </row>
    <row r="160" spans="1:16" x14ac:dyDescent="0.3">
      <c r="A160">
        <v>9.2077571500000008</v>
      </c>
      <c r="B160">
        <v>0.38229999999999997</v>
      </c>
      <c r="C160">
        <f t="shared" si="25"/>
        <v>3.5201255584450002</v>
      </c>
      <c r="D160">
        <v>1.6E-2</v>
      </c>
      <c r="E160">
        <v>3.5999999999999999E-3</v>
      </c>
      <c r="F160">
        <f t="shared" si="26"/>
        <v>1841.5514300000002</v>
      </c>
      <c r="G160">
        <f t="shared" si="27"/>
        <v>-0.38229999999999997</v>
      </c>
      <c r="H160">
        <f t="shared" si="28"/>
        <v>-704.02511168900003</v>
      </c>
      <c r="I160">
        <v>1</v>
      </c>
      <c r="J160">
        <f t="shared" si="29"/>
        <v>0.61060838483229973</v>
      </c>
      <c r="K160">
        <f t="shared" si="30"/>
        <v>-0.83942515177521748</v>
      </c>
      <c r="L160">
        <v>1</v>
      </c>
      <c r="M160">
        <f t="shared" si="31"/>
        <v>0.59233131162377728</v>
      </c>
      <c r="N160">
        <f t="shared" si="32"/>
        <v>0.14732411440000001</v>
      </c>
      <c r="O160">
        <f t="shared" si="33"/>
        <v>3.314792574E-2</v>
      </c>
      <c r="P160">
        <f t="shared" si="34"/>
        <v>6.6621800011440191E-2</v>
      </c>
    </row>
    <row r="161" spans="1:16" x14ac:dyDescent="0.3">
      <c r="A161">
        <v>9.2682365000000004</v>
      </c>
      <c r="B161">
        <v>0.37989000000000001</v>
      </c>
      <c r="C161">
        <f t="shared" si="25"/>
        <v>3.5209103639850001</v>
      </c>
      <c r="D161">
        <v>1.6E-2</v>
      </c>
      <c r="E161">
        <v>3.5999999999999999E-3</v>
      </c>
      <c r="F161">
        <f t="shared" si="26"/>
        <v>1853.6473000000001</v>
      </c>
      <c r="G161">
        <f t="shared" si="27"/>
        <v>-0.37989000000000001</v>
      </c>
      <c r="H161">
        <f t="shared" si="28"/>
        <v>-704.18207279700005</v>
      </c>
      <c r="I161">
        <v>1</v>
      </c>
      <c r="J161">
        <f t="shared" si="29"/>
        <v>0.61715521172154497</v>
      </c>
      <c r="K161">
        <f t="shared" si="30"/>
        <v>-0.84183515177521739</v>
      </c>
      <c r="L161">
        <v>1</v>
      </c>
      <c r="M161">
        <f t="shared" si="31"/>
        <v>0.59265426659422382</v>
      </c>
      <c r="N161">
        <f t="shared" si="32"/>
        <v>0.14829178400000001</v>
      </c>
      <c r="O161">
        <f t="shared" si="33"/>
        <v>3.3365651400000002E-2</v>
      </c>
      <c r="P161">
        <f t="shared" si="34"/>
        <v>6.7523449780993561E-2</v>
      </c>
    </row>
    <row r="162" spans="1:16" x14ac:dyDescent="0.3">
      <c r="A162">
        <v>9.3269876000000007</v>
      </c>
      <c r="B162">
        <v>0.37720999999999999</v>
      </c>
      <c r="C162">
        <f t="shared" si="25"/>
        <v>3.5182329925960003</v>
      </c>
      <c r="D162">
        <v>1.6E-2</v>
      </c>
      <c r="E162">
        <v>3.5999999999999999E-3</v>
      </c>
      <c r="F162">
        <f t="shared" si="26"/>
        <v>1865.3975200000002</v>
      </c>
      <c r="G162">
        <f t="shared" si="27"/>
        <v>-0.37720999999999999</v>
      </c>
      <c r="H162">
        <f t="shared" si="28"/>
        <v>-703.6465985192001</v>
      </c>
      <c r="I162">
        <v>1</v>
      </c>
      <c r="J162">
        <f t="shared" si="29"/>
        <v>0.6234741778361711</v>
      </c>
      <c r="K162">
        <f t="shared" si="30"/>
        <v>-0.84451515177521741</v>
      </c>
      <c r="L162">
        <v>1</v>
      </c>
      <c r="M162">
        <f t="shared" si="31"/>
        <v>0.59296598119265831</v>
      </c>
      <c r="N162">
        <f t="shared" si="32"/>
        <v>0.14923180160000002</v>
      </c>
      <c r="O162">
        <f t="shared" si="33"/>
        <v>3.3577155359999999E-2</v>
      </c>
      <c r="P162">
        <f t="shared" si="34"/>
        <v>6.8740213622559082E-2</v>
      </c>
    </row>
    <row r="163" spans="1:16" x14ac:dyDescent="0.3">
      <c r="A163">
        <v>9.3840097999999994</v>
      </c>
      <c r="B163">
        <v>0.37484000000000001</v>
      </c>
      <c r="C163">
        <f t="shared" si="25"/>
        <v>3.5175022334319999</v>
      </c>
      <c r="D163">
        <v>1.6E-2</v>
      </c>
      <c r="E163">
        <v>3.5999999999999999E-3</v>
      </c>
      <c r="F163">
        <f t="shared" si="26"/>
        <v>1876.8019599999998</v>
      </c>
      <c r="G163">
        <f t="shared" si="27"/>
        <v>-0.37484000000000001</v>
      </c>
      <c r="H163">
        <f t="shared" si="28"/>
        <v>-703.50044668639998</v>
      </c>
      <c r="I163">
        <v>1</v>
      </c>
      <c r="J163">
        <f t="shared" si="29"/>
        <v>0.62956924324730434</v>
      </c>
      <c r="K163">
        <f t="shared" si="30"/>
        <v>-0.84688515177521739</v>
      </c>
      <c r="L163">
        <v>1</v>
      </c>
      <c r="M163">
        <f t="shared" si="31"/>
        <v>0.59326665076938956</v>
      </c>
      <c r="N163">
        <f t="shared" si="32"/>
        <v>0.15014415679999998</v>
      </c>
      <c r="O163">
        <f t="shared" si="33"/>
        <v>3.3782435279999995E-2</v>
      </c>
      <c r="P163">
        <f t="shared" si="34"/>
        <v>6.9691908925827856E-2</v>
      </c>
    </row>
    <row r="164" spans="1:16" x14ac:dyDescent="0.3">
      <c r="A164">
        <v>9.441611</v>
      </c>
      <c r="B164">
        <v>0.37213000000000002</v>
      </c>
      <c r="C164">
        <f t="shared" si="25"/>
        <v>3.5135067014300003</v>
      </c>
      <c r="D164">
        <v>1.6E-2</v>
      </c>
      <c r="E164">
        <v>3.5999999999999999E-3</v>
      </c>
      <c r="F164">
        <f t="shared" si="26"/>
        <v>1888.3222000000001</v>
      </c>
      <c r="G164">
        <f t="shared" si="27"/>
        <v>-0.37213000000000002</v>
      </c>
      <c r="H164">
        <f t="shared" si="28"/>
        <v>-702.70134028600012</v>
      </c>
      <c r="I164">
        <v>1</v>
      </c>
      <c r="J164">
        <f t="shared" si="29"/>
        <v>0.63568870994275839</v>
      </c>
      <c r="K164">
        <f t="shared" si="30"/>
        <v>-0.84959515177521738</v>
      </c>
      <c r="L164">
        <v>1</v>
      </c>
      <c r="M164">
        <f t="shared" si="31"/>
        <v>0.59356852406147631</v>
      </c>
      <c r="N164">
        <f t="shared" si="32"/>
        <v>0.15106577600000001</v>
      </c>
      <c r="O164">
        <f t="shared" si="33"/>
        <v>3.3989799600000002E-2</v>
      </c>
      <c r="P164">
        <f t="shared" si="34"/>
        <v>7.0971052113741051E-2</v>
      </c>
    </row>
    <row r="165" spans="1:16" x14ac:dyDescent="0.3">
      <c r="A165">
        <v>9.5020898000000003</v>
      </c>
      <c r="B165">
        <v>0.36960999999999999</v>
      </c>
      <c r="C165">
        <f t="shared" si="25"/>
        <v>3.5120674109780001</v>
      </c>
      <c r="D165">
        <v>1.6E-2</v>
      </c>
      <c r="E165">
        <v>3.5999999999999999E-3</v>
      </c>
      <c r="F165">
        <f t="shared" si="26"/>
        <v>1900.41796</v>
      </c>
      <c r="G165">
        <f t="shared" si="27"/>
        <v>-0.36960999999999999</v>
      </c>
      <c r="H165">
        <f t="shared" si="28"/>
        <v>-702.41348219560007</v>
      </c>
      <c r="I165">
        <v>1</v>
      </c>
      <c r="J165">
        <f t="shared" si="29"/>
        <v>0.64207384092794229</v>
      </c>
      <c r="K165">
        <f t="shared" si="30"/>
        <v>-0.85211515177521746</v>
      </c>
      <c r="L165">
        <v>1</v>
      </c>
      <c r="M165">
        <f t="shared" si="31"/>
        <v>0.5938835025729754</v>
      </c>
      <c r="N165">
        <f t="shared" si="32"/>
        <v>0.1520334368</v>
      </c>
      <c r="O165">
        <f t="shared" si="33"/>
        <v>3.4207523279999999E-2</v>
      </c>
      <c r="P165">
        <f t="shared" si="34"/>
        <v>7.199068912224206E-2</v>
      </c>
    </row>
    <row r="166" spans="1:16" x14ac:dyDescent="0.3">
      <c r="A166">
        <v>9.5619931000000005</v>
      </c>
      <c r="B166">
        <v>0.36710999999999999</v>
      </c>
      <c r="C166">
        <f t="shared" si="25"/>
        <v>3.5103032869410002</v>
      </c>
      <c r="D166">
        <v>1.6E-2</v>
      </c>
      <c r="E166">
        <v>3.5999999999999999E-3</v>
      </c>
      <c r="F166">
        <f t="shared" si="26"/>
        <v>1912.3986200000002</v>
      </c>
      <c r="G166">
        <f t="shared" si="27"/>
        <v>-0.36710999999999999</v>
      </c>
      <c r="H166">
        <f t="shared" si="28"/>
        <v>-702.06065738820007</v>
      </c>
      <c r="I166">
        <v>1</v>
      </c>
      <c r="J166">
        <f t="shared" si="29"/>
        <v>0.64835827616319253</v>
      </c>
      <c r="K166">
        <f t="shared" si="30"/>
        <v>-0.85461515177521741</v>
      </c>
      <c r="L166">
        <v>1</v>
      </c>
      <c r="M166">
        <f t="shared" si="31"/>
        <v>0.59419351376313023</v>
      </c>
      <c r="N166">
        <f t="shared" si="32"/>
        <v>0.15299188960000001</v>
      </c>
      <c r="O166">
        <f t="shared" si="33"/>
        <v>3.442317516E-2</v>
      </c>
      <c r="P166">
        <f t="shared" si="34"/>
        <v>7.3006573252087162E-2</v>
      </c>
    </row>
    <row r="167" spans="1:16" x14ac:dyDescent="0.3">
      <c r="A167">
        <v>9.6190165000000007</v>
      </c>
      <c r="B167">
        <v>0.36432999999999999</v>
      </c>
      <c r="C167">
        <f t="shared" si="25"/>
        <v>3.5044962814450002</v>
      </c>
      <c r="D167">
        <v>1.6E-2</v>
      </c>
      <c r="E167">
        <v>3.5999999999999999E-3</v>
      </c>
      <c r="F167">
        <f t="shared" si="26"/>
        <v>1923.8033</v>
      </c>
      <c r="G167">
        <f t="shared" si="27"/>
        <v>-0.36432999999999999</v>
      </c>
      <c r="H167">
        <f t="shared" si="28"/>
        <v>-700.89925628900005</v>
      </c>
      <c r="I167">
        <v>1</v>
      </c>
      <c r="J167">
        <f t="shared" si="29"/>
        <v>0.65430411208993344</v>
      </c>
      <c r="K167">
        <f t="shared" si="30"/>
        <v>-0.85739515177521741</v>
      </c>
      <c r="L167">
        <v>1</v>
      </c>
      <c r="M167">
        <f t="shared" si="31"/>
        <v>0.59448682184939639</v>
      </c>
      <c r="N167">
        <f t="shared" si="32"/>
        <v>0.15390426400000001</v>
      </c>
      <c r="O167">
        <f t="shared" si="33"/>
        <v>3.4628459399999999E-2</v>
      </c>
      <c r="P167">
        <f t="shared" si="34"/>
        <v>7.4375606525821009E-2</v>
      </c>
    </row>
    <row r="168" spans="1:16" x14ac:dyDescent="0.3">
      <c r="A168">
        <v>9.6760409000000003</v>
      </c>
      <c r="B168">
        <v>0.36213000000000001</v>
      </c>
      <c r="C168">
        <f t="shared" si="25"/>
        <v>3.5039846911170001</v>
      </c>
      <c r="D168">
        <v>1.6E-2</v>
      </c>
      <c r="E168">
        <v>3.5999999999999999E-3</v>
      </c>
      <c r="F168">
        <f t="shared" si="26"/>
        <v>1935.2081800000001</v>
      </c>
      <c r="G168">
        <f t="shared" si="27"/>
        <v>-0.36213000000000001</v>
      </c>
      <c r="H168">
        <f t="shared" si="28"/>
        <v>-700.79693822340005</v>
      </c>
      <c r="I168">
        <v>1</v>
      </c>
      <c r="J168">
        <f t="shared" si="29"/>
        <v>0.66021490725803345</v>
      </c>
      <c r="K168">
        <f t="shared" si="30"/>
        <v>-0.85959515177521739</v>
      </c>
      <c r="L168">
        <v>1</v>
      </c>
      <c r="M168">
        <f t="shared" si="31"/>
        <v>0.59477840137503879</v>
      </c>
      <c r="N168">
        <f t="shared" si="32"/>
        <v>0.1548166544</v>
      </c>
      <c r="O168">
        <f t="shared" si="33"/>
        <v>3.4833747239999997E-2</v>
      </c>
      <c r="P168">
        <f t="shared" si="34"/>
        <v>7.5166348760178608E-2</v>
      </c>
    </row>
    <row r="169" spans="1:16" x14ac:dyDescent="0.3">
      <c r="A169">
        <v>9.7353664999999996</v>
      </c>
      <c r="B169">
        <v>0.35960999999999999</v>
      </c>
      <c r="C169">
        <f t="shared" si="25"/>
        <v>3.5009351470649999</v>
      </c>
      <c r="D169">
        <v>1.6E-2</v>
      </c>
      <c r="E169">
        <v>3.5999999999999999E-3</v>
      </c>
      <c r="F169">
        <f t="shared" si="26"/>
        <v>1947.0733</v>
      </c>
      <c r="G169">
        <f t="shared" si="27"/>
        <v>-0.35960999999999999</v>
      </c>
      <c r="H169">
        <f t="shared" si="28"/>
        <v>-700.187029413</v>
      </c>
      <c r="I169">
        <v>1</v>
      </c>
      <c r="J169">
        <f t="shared" si="29"/>
        <v>0.66632737334447856</v>
      </c>
      <c r="K169">
        <f t="shared" si="30"/>
        <v>-0.86211515177521747</v>
      </c>
      <c r="L169">
        <v>1</v>
      </c>
      <c r="M169">
        <f t="shared" si="31"/>
        <v>0.59507992932708309</v>
      </c>
      <c r="N169">
        <f t="shared" si="32"/>
        <v>0.155765864</v>
      </c>
      <c r="O169">
        <f t="shared" si="33"/>
        <v>3.5047319399999999E-2</v>
      </c>
      <c r="P169">
        <f t="shared" si="34"/>
        <v>7.6222039048134377E-2</v>
      </c>
    </row>
    <row r="170" spans="1:16" x14ac:dyDescent="0.3">
      <c r="A170">
        <v>9.7923898999999999</v>
      </c>
      <c r="B170">
        <v>0.35691000000000001</v>
      </c>
      <c r="C170">
        <f t="shared" si="25"/>
        <v>3.4950018792090001</v>
      </c>
      <c r="D170">
        <v>1.6E-2</v>
      </c>
      <c r="E170">
        <v>3.5999999999999999E-3</v>
      </c>
      <c r="F170">
        <f t="shared" si="26"/>
        <v>1958.4779799999999</v>
      </c>
      <c r="G170">
        <f t="shared" si="27"/>
        <v>-0.35691000000000001</v>
      </c>
      <c r="H170">
        <f t="shared" si="28"/>
        <v>-699.00037584180006</v>
      </c>
      <c r="I170">
        <v>1</v>
      </c>
      <c r="J170">
        <f t="shared" si="29"/>
        <v>0.67216763076209984</v>
      </c>
      <c r="K170">
        <f t="shared" si="30"/>
        <v>-0.86481515177521739</v>
      </c>
      <c r="L170">
        <v>1</v>
      </c>
      <c r="M170">
        <f t="shared" si="31"/>
        <v>0.59536802922549437</v>
      </c>
      <c r="N170">
        <f t="shared" si="32"/>
        <v>0.1566782384</v>
      </c>
      <c r="O170">
        <f t="shared" si="33"/>
        <v>3.5252603639999998E-2</v>
      </c>
      <c r="P170">
        <f t="shared" si="34"/>
        <v>7.7516280509723035E-2</v>
      </c>
    </row>
    <row r="171" spans="1:16" x14ac:dyDescent="0.3">
      <c r="A171">
        <v>9.84998985</v>
      </c>
      <c r="B171">
        <v>0.35442000000000001</v>
      </c>
      <c r="C171">
        <f t="shared" si="25"/>
        <v>3.491033402637</v>
      </c>
      <c r="D171">
        <v>1.6E-2</v>
      </c>
      <c r="E171">
        <v>3.5999999999999999E-3</v>
      </c>
      <c r="F171">
        <f t="shared" si="26"/>
        <v>1969.9979699999999</v>
      </c>
      <c r="G171">
        <f t="shared" si="27"/>
        <v>-0.35442000000000001</v>
      </c>
      <c r="H171">
        <f t="shared" si="28"/>
        <v>-698.20668052739995</v>
      </c>
      <c r="I171">
        <v>1</v>
      </c>
      <c r="J171">
        <f t="shared" si="29"/>
        <v>0.67803251229251338</v>
      </c>
      <c r="K171">
        <f t="shared" si="30"/>
        <v>-0.8673051517752175</v>
      </c>
      <c r="L171">
        <v>1</v>
      </c>
      <c r="M171">
        <f t="shared" si="31"/>
        <v>0.59565734383138969</v>
      </c>
      <c r="N171">
        <f t="shared" si="32"/>
        <v>0.15759983760000001</v>
      </c>
      <c r="O171">
        <f t="shared" si="33"/>
        <v>3.545996346E-2</v>
      </c>
      <c r="P171">
        <f t="shared" si="34"/>
        <v>7.8588006883827805E-2</v>
      </c>
    </row>
    <row r="172" spans="1:16" x14ac:dyDescent="0.3">
      <c r="A172">
        <v>9.9081653500000009</v>
      </c>
      <c r="B172">
        <v>0.35198000000000002</v>
      </c>
      <c r="C172">
        <f t="shared" si="25"/>
        <v>3.4874760398930005</v>
      </c>
      <c r="D172">
        <v>1.6E-2</v>
      </c>
      <c r="E172">
        <v>3.5999999999999999E-3</v>
      </c>
      <c r="F172">
        <f t="shared" si="26"/>
        <v>1981.6330700000001</v>
      </c>
      <c r="G172">
        <f t="shared" si="27"/>
        <v>-0.35198000000000002</v>
      </c>
      <c r="H172">
        <f t="shared" si="28"/>
        <v>-697.49520797860009</v>
      </c>
      <c r="I172">
        <v>1</v>
      </c>
      <c r="J172">
        <f t="shared" si="29"/>
        <v>0.6839212875882783</v>
      </c>
      <c r="K172">
        <f t="shared" si="30"/>
        <v>-0.8697451517752175</v>
      </c>
      <c r="L172">
        <v>1</v>
      </c>
      <c r="M172">
        <f t="shared" si="31"/>
        <v>0.59594783711672972</v>
      </c>
      <c r="N172">
        <f t="shared" si="32"/>
        <v>0.15853064560000002</v>
      </c>
      <c r="O172">
        <f t="shared" si="33"/>
        <v>3.566939526E-2</v>
      </c>
      <c r="P172">
        <f t="shared" si="34"/>
        <v>7.9597273798487758E-2</v>
      </c>
    </row>
    <row r="173" spans="1:16" x14ac:dyDescent="0.3">
      <c r="A173">
        <v>9.9657643</v>
      </c>
      <c r="B173">
        <v>0.34932999999999997</v>
      </c>
      <c r="C173">
        <f t="shared" si="25"/>
        <v>3.4813404429189996</v>
      </c>
      <c r="D173">
        <v>1.6E-2</v>
      </c>
      <c r="E173">
        <v>3.5999999999999999E-3</v>
      </c>
      <c r="F173">
        <f t="shared" si="26"/>
        <v>1993.1528599999999</v>
      </c>
      <c r="G173">
        <f t="shared" si="27"/>
        <v>-0.34932999999999997</v>
      </c>
      <c r="H173">
        <f t="shared" si="28"/>
        <v>-696.26808858379991</v>
      </c>
      <c r="I173">
        <v>1</v>
      </c>
      <c r="J173">
        <f t="shared" si="29"/>
        <v>0.68971773673403824</v>
      </c>
      <c r="K173">
        <f t="shared" si="30"/>
        <v>-0.87239515177521754</v>
      </c>
      <c r="L173">
        <v>1</v>
      </c>
      <c r="M173">
        <f t="shared" si="31"/>
        <v>0.59623377595309013</v>
      </c>
      <c r="N173">
        <f t="shared" si="32"/>
        <v>0.15945222880000001</v>
      </c>
      <c r="O173">
        <f t="shared" si="33"/>
        <v>3.5876751479999996E-2</v>
      </c>
      <c r="P173">
        <f t="shared" si="34"/>
        <v>8.08323955421274E-2</v>
      </c>
    </row>
    <row r="174" spans="1:16" x14ac:dyDescent="0.3">
      <c r="A174">
        <v>10.0273953</v>
      </c>
      <c r="B174">
        <v>0.34637000000000001</v>
      </c>
      <c r="C174">
        <f t="shared" si="25"/>
        <v>3.4731889100610003</v>
      </c>
      <c r="D174">
        <v>1.6E-2</v>
      </c>
      <c r="E174">
        <v>3.5999999999999999E-3</v>
      </c>
      <c r="F174">
        <f t="shared" si="26"/>
        <v>2005.4790600000001</v>
      </c>
      <c r="G174">
        <f t="shared" si="27"/>
        <v>-0.34637000000000001</v>
      </c>
      <c r="H174">
        <f t="shared" si="28"/>
        <v>-694.63778201220009</v>
      </c>
      <c r="I174">
        <v>1</v>
      </c>
      <c r="J174">
        <f t="shared" si="29"/>
        <v>0.69588296488699786</v>
      </c>
      <c r="K174">
        <f t="shared" si="30"/>
        <v>-0.87535515177521739</v>
      </c>
      <c r="L174">
        <v>1</v>
      </c>
      <c r="M174">
        <f t="shared" si="31"/>
        <v>0.59653790665787554</v>
      </c>
      <c r="N174">
        <f t="shared" si="32"/>
        <v>0.1604383248</v>
      </c>
      <c r="O174">
        <f t="shared" si="33"/>
        <v>3.6098623080000003E-2</v>
      </c>
      <c r="P174">
        <f t="shared" si="34"/>
        <v>8.2280297237341843E-2</v>
      </c>
    </row>
    <row r="175" spans="1:16" x14ac:dyDescent="0.3">
      <c r="A175">
        <v>10.084418700000001</v>
      </c>
      <c r="B175">
        <v>0.34381</v>
      </c>
      <c r="C175">
        <f t="shared" si="25"/>
        <v>3.4671239932470002</v>
      </c>
      <c r="D175">
        <v>1.6E-2</v>
      </c>
      <c r="E175">
        <v>3.5999999999999999E-3</v>
      </c>
      <c r="F175">
        <f t="shared" si="26"/>
        <v>2016.8837400000002</v>
      </c>
      <c r="G175">
        <f t="shared" si="27"/>
        <v>-0.34381</v>
      </c>
      <c r="H175">
        <f t="shared" si="28"/>
        <v>-693.42479864940003</v>
      </c>
      <c r="I175">
        <v>1</v>
      </c>
      <c r="J175">
        <f t="shared" si="29"/>
        <v>0.70155361725132859</v>
      </c>
      <c r="K175">
        <f t="shared" si="30"/>
        <v>-0.87791515177521751</v>
      </c>
      <c r="L175">
        <v>1</v>
      </c>
      <c r="M175">
        <f t="shared" si="31"/>
        <v>0.59681763993900805</v>
      </c>
      <c r="N175">
        <f t="shared" si="32"/>
        <v>0.1613506992</v>
      </c>
      <c r="O175">
        <f t="shared" si="33"/>
        <v>3.6303907320000002E-2</v>
      </c>
      <c r="P175">
        <f t="shared" si="34"/>
        <v>8.3442905316209459E-2</v>
      </c>
    </row>
    <row r="176" spans="1:16" x14ac:dyDescent="0.3">
      <c r="A176">
        <v>10.14316975</v>
      </c>
      <c r="B176">
        <v>0.34164</v>
      </c>
      <c r="C176">
        <f t="shared" si="25"/>
        <v>3.4653125133900002</v>
      </c>
      <c r="D176">
        <v>1.6E-2</v>
      </c>
      <c r="E176">
        <v>3.5999999999999999E-3</v>
      </c>
      <c r="F176">
        <f t="shared" si="26"/>
        <v>2028.6339500000001</v>
      </c>
      <c r="G176">
        <f t="shared" si="27"/>
        <v>-0.34164</v>
      </c>
      <c r="H176">
        <f t="shared" si="28"/>
        <v>-693.0625026780001</v>
      </c>
      <c r="I176">
        <v>1</v>
      </c>
      <c r="J176">
        <f t="shared" si="29"/>
        <v>0.70736263549949752</v>
      </c>
      <c r="K176">
        <f t="shared" si="30"/>
        <v>-0.88008515177521751</v>
      </c>
      <c r="L176">
        <v>1</v>
      </c>
      <c r="M176">
        <f t="shared" si="31"/>
        <v>0.59710419880919019</v>
      </c>
      <c r="N176">
        <f t="shared" si="32"/>
        <v>0.162290716</v>
      </c>
      <c r="O176">
        <f t="shared" si="33"/>
        <v>3.6515411099999999E-2</v>
      </c>
      <c r="P176">
        <f t="shared" si="34"/>
        <v>8.4174825866027314E-2</v>
      </c>
    </row>
    <row r="177" spans="1:16" x14ac:dyDescent="0.3">
      <c r="A177">
        <v>10.2007698</v>
      </c>
      <c r="B177">
        <v>0.33875</v>
      </c>
      <c r="C177">
        <f t="shared" si="25"/>
        <v>3.45551076975</v>
      </c>
      <c r="D177">
        <v>1.6E-2</v>
      </c>
      <c r="E177">
        <v>3.5999999999999999E-3</v>
      </c>
      <c r="F177">
        <f t="shared" si="26"/>
        <v>2040.1539599999999</v>
      </c>
      <c r="G177">
        <f t="shared" si="27"/>
        <v>-0.33875</v>
      </c>
      <c r="H177">
        <f t="shared" si="28"/>
        <v>-691.10215395</v>
      </c>
      <c r="I177">
        <v>1</v>
      </c>
      <c r="J177">
        <f t="shared" si="29"/>
        <v>0.71302527559659878</v>
      </c>
      <c r="K177">
        <f t="shared" si="30"/>
        <v>-0.88297515177521746</v>
      </c>
      <c r="L177">
        <v>1</v>
      </c>
      <c r="M177">
        <f t="shared" si="31"/>
        <v>0.5973835368451802</v>
      </c>
      <c r="N177">
        <f t="shared" si="32"/>
        <v>0.16321231680000001</v>
      </c>
      <c r="O177">
        <f t="shared" si="33"/>
        <v>3.6722771279999997E-2</v>
      </c>
      <c r="P177">
        <f t="shared" si="34"/>
        <v>8.565652685003726E-2</v>
      </c>
    </row>
    <row r="178" spans="1:16" x14ac:dyDescent="0.3">
      <c r="A178">
        <v>10.2589442</v>
      </c>
      <c r="B178">
        <v>0.33627000000000001</v>
      </c>
      <c r="C178">
        <f t="shared" si="25"/>
        <v>3.4497751661340001</v>
      </c>
      <c r="D178">
        <v>1.6E-2</v>
      </c>
      <c r="E178">
        <v>3.5999999999999999E-3</v>
      </c>
      <c r="F178">
        <f t="shared" si="26"/>
        <v>2051.7888400000002</v>
      </c>
      <c r="G178">
        <f t="shared" si="27"/>
        <v>-0.33627000000000001</v>
      </c>
      <c r="H178">
        <f t="shared" si="28"/>
        <v>-689.95503322680008</v>
      </c>
      <c r="I178">
        <v>1</v>
      </c>
      <c r="J178">
        <f t="shared" si="29"/>
        <v>0.71871201753006264</v>
      </c>
      <c r="K178">
        <f t="shared" si="30"/>
        <v>-0.88545515177521739</v>
      </c>
      <c r="L178">
        <v>1</v>
      </c>
      <c r="M178">
        <f t="shared" si="31"/>
        <v>0.59766406382475801</v>
      </c>
      <c r="N178">
        <f t="shared" si="32"/>
        <v>0.1641431072</v>
      </c>
      <c r="O178">
        <f t="shared" si="33"/>
        <v>3.6932199120000002E-2</v>
      </c>
      <c r="P178">
        <f t="shared" si="34"/>
        <v>8.6715781630459371E-2</v>
      </c>
    </row>
    <row r="179" spans="1:16" x14ac:dyDescent="0.3">
      <c r="A179">
        <v>10.3159676</v>
      </c>
      <c r="B179">
        <v>0.33341999999999999</v>
      </c>
      <c r="C179">
        <f t="shared" si="25"/>
        <v>3.4395499171920001</v>
      </c>
      <c r="D179">
        <v>1.6E-2</v>
      </c>
      <c r="E179">
        <v>3.5999999999999999E-3</v>
      </c>
      <c r="F179">
        <f t="shared" si="26"/>
        <v>2063.1935200000003</v>
      </c>
      <c r="G179">
        <f t="shared" si="27"/>
        <v>-0.33341999999999999</v>
      </c>
      <c r="H179">
        <f t="shared" si="28"/>
        <v>-687.90998343839999</v>
      </c>
      <c r="I179">
        <v>1</v>
      </c>
      <c r="J179">
        <f t="shared" si="29"/>
        <v>0.72425503482783649</v>
      </c>
      <c r="K179">
        <f t="shared" si="30"/>
        <v>-0.88830515177521741</v>
      </c>
      <c r="L179">
        <v>1</v>
      </c>
      <c r="M179">
        <f t="shared" si="31"/>
        <v>0.59793750086805719</v>
      </c>
      <c r="N179">
        <f t="shared" si="32"/>
        <v>0.1650554816</v>
      </c>
      <c r="O179">
        <f t="shared" si="33"/>
        <v>3.7137483360000001E-2</v>
      </c>
      <c r="P179">
        <f t="shared" si="34"/>
        <v>8.8174685947160214E-2</v>
      </c>
    </row>
    <row r="180" spans="1:16" x14ac:dyDescent="0.3">
      <c r="A180">
        <v>10.37299095</v>
      </c>
      <c r="B180">
        <v>0.33096999999999999</v>
      </c>
      <c r="C180">
        <f t="shared" si="25"/>
        <v>3.4331488147215001</v>
      </c>
      <c r="D180">
        <v>1.6E-2</v>
      </c>
      <c r="E180">
        <v>3.5999999999999999E-3</v>
      </c>
      <c r="F180">
        <f t="shared" si="26"/>
        <v>2074.5981900000002</v>
      </c>
      <c r="G180">
        <f t="shared" si="27"/>
        <v>-0.33096999999999999</v>
      </c>
      <c r="H180">
        <f t="shared" si="28"/>
        <v>-686.62976294430007</v>
      </c>
      <c r="I180">
        <v>1</v>
      </c>
      <c r="J180">
        <f t="shared" si="29"/>
        <v>0.72976749155786891</v>
      </c>
      <c r="K180">
        <f t="shared" si="30"/>
        <v>-0.89075515177521747</v>
      </c>
      <c r="L180">
        <v>1</v>
      </c>
      <c r="M180">
        <f t="shared" si="31"/>
        <v>0.59820943035854968</v>
      </c>
      <c r="N180">
        <f t="shared" si="32"/>
        <v>0.16596785520000001</v>
      </c>
      <c r="O180">
        <f t="shared" si="33"/>
        <v>3.7342767419999999E-2</v>
      </c>
      <c r="P180">
        <f t="shared" si="34"/>
        <v>8.9235098796667772E-2</v>
      </c>
    </row>
    <row r="181" spans="1:16" x14ac:dyDescent="0.3">
      <c r="A181">
        <v>10.43001435</v>
      </c>
      <c r="B181">
        <v>0.32849</v>
      </c>
      <c r="C181">
        <f t="shared" si="25"/>
        <v>3.4261554138315002</v>
      </c>
      <c r="D181">
        <v>1.6E-2</v>
      </c>
      <c r="E181">
        <v>3.5999999999999999E-3</v>
      </c>
      <c r="F181">
        <f t="shared" si="26"/>
        <v>2086.0028700000003</v>
      </c>
      <c r="G181">
        <f t="shared" si="27"/>
        <v>-0.32849</v>
      </c>
      <c r="H181">
        <f t="shared" si="28"/>
        <v>-685.23108276630001</v>
      </c>
      <c r="I181">
        <v>1</v>
      </c>
      <c r="J181">
        <f t="shared" si="29"/>
        <v>0.73524973241656044</v>
      </c>
      <c r="K181">
        <f t="shared" si="30"/>
        <v>-0.89323515177521751</v>
      </c>
      <c r="L181">
        <v>1</v>
      </c>
      <c r="M181">
        <f t="shared" si="31"/>
        <v>0.59847986930010888</v>
      </c>
      <c r="N181">
        <f t="shared" si="32"/>
        <v>0.16688022960000001</v>
      </c>
      <c r="O181">
        <f t="shared" si="33"/>
        <v>3.7548051659999998E-2</v>
      </c>
      <c r="P181">
        <f t="shared" si="34"/>
        <v>9.0327001215108615E-2</v>
      </c>
    </row>
    <row r="182" spans="1:16" x14ac:dyDescent="0.3">
      <c r="A182">
        <v>10.487037600000001</v>
      </c>
      <c r="B182">
        <v>0.32579999999999998</v>
      </c>
      <c r="C182">
        <f t="shared" si="25"/>
        <v>3.41667685008</v>
      </c>
      <c r="D182">
        <v>1.6E-2</v>
      </c>
      <c r="E182">
        <v>3.5999999999999999E-3</v>
      </c>
      <c r="F182">
        <f t="shared" si="26"/>
        <v>2097.4075200000002</v>
      </c>
      <c r="G182">
        <f t="shared" si="27"/>
        <v>-0.32579999999999998</v>
      </c>
      <c r="H182">
        <f t="shared" si="28"/>
        <v>-683.33537001599996</v>
      </c>
      <c r="I182">
        <v>1</v>
      </c>
      <c r="J182">
        <f t="shared" si="29"/>
        <v>0.74070206780317738</v>
      </c>
      <c r="K182">
        <f t="shared" si="30"/>
        <v>-0.89592515177521748</v>
      </c>
      <c r="L182">
        <v>1</v>
      </c>
      <c r="M182">
        <f t="shared" si="31"/>
        <v>0.5987488330047307</v>
      </c>
      <c r="N182">
        <f t="shared" si="32"/>
        <v>0.16779260160000001</v>
      </c>
      <c r="O182">
        <f t="shared" si="33"/>
        <v>3.7753335360000001E-2</v>
      </c>
      <c r="P182">
        <f t="shared" si="34"/>
        <v>9.1630381810486772E-2</v>
      </c>
    </row>
    <row r="183" spans="1:16" x14ac:dyDescent="0.3">
      <c r="A183">
        <v>10.547517600000001</v>
      </c>
      <c r="B183">
        <v>0.32301999999999997</v>
      </c>
      <c r="C183">
        <f t="shared" si="25"/>
        <v>3.4070591351520001</v>
      </c>
      <c r="D183">
        <v>1.6E-2</v>
      </c>
      <c r="E183">
        <v>3.5999999999999999E-3</v>
      </c>
      <c r="F183">
        <f t="shared" si="26"/>
        <v>2109.5035200000002</v>
      </c>
      <c r="G183">
        <f t="shared" si="27"/>
        <v>-0.32301999999999997</v>
      </c>
      <c r="H183">
        <f t="shared" si="28"/>
        <v>-681.41182703039999</v>
      </c>
      <c r="I183">
        <v>1</v>
      </c>
      <c r="J183">
        <f t="shared" si="29"/>
        <v>0.74645262122272238</v>
      </c>
      <c r="K183">
        <f t="shared" si="30"/>
        <v>-0.89870515177521748</v>
      </c>
      <c r="L183">
        <v>1</v>
      </c>
      <c r="M183">
        <f t="shared" si="31"/>
        <v>0.5990325078049169</v>
      </c>
      <c r="N183">
        <f t="shared" si="32"/>
        <v>0.16876028160000001</v>
      </c>
      <c r="O183">
        <f t="shared" si="33"/>
        <v>3.7971063360000001E-2</v>
      </c>
      <c r="P183">
        <f t="shared" si="34"/>
        <v>9.2941299010300571E-2</v>
      </c>
    </row>
    <row r="184" spans="1:16" x14ac:dyDescent="0.3">
      <c r="C184">
        <f t="shared" si="25"/>
        <v>0</v>
      </c>
      <c r="F184">
        <f t="shared" si="26"/>
        <v>0</v>
      </c>
      <c r="G184">
        <f t="shared" si="2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2"/>
        <v>0</v>
      </c>
      <c r="O184">
        <f t="shared" si="33"/>
        <v>0</v>
      </c>
      <c r="P184" t="e">
        <f t="shared" si="34"/>
        <v>#NUM!</v>
      </c>
    </row>
    <row r="185" spans="1:16" x14ac:dyDescent="0.3">
      <c r="C185">
        <f t="shared" si="25"/>
        <v>0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2"/>
        <v>0</v>
      </c>
      <c r="O185">
        <f t="shared" si="33"/>
        <v>0</v>
      </c>
      <c r="P185" t="e">
        <f t="shared" si="34"/>
        <v>#NUM!</v>
      </c>
    </row>
    <row r="186" spans="1:16" x14ac:dyDescent="0.3">
      <c r="C186">
        <f t="shared" si="25"/>
        <v>0</v>
      </c>
      <c r="F186">
        <f t="shared" si="26"/>
        <v>0</v>
      </c>
      <c r="G186">
        <f t="shared" si="2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2"/>
        <v>0</v>
      </c>
      <c r="O186">
        <f t="shared" si="33"/>
        <v>0</v>
      </c>
      <c r="P186" t="e">
        <f t="shared" si="34"/>
        <v>#NUM!</v>
      </c>
    </row>
    <row r="187" spans="1:16" x14ac:dyDescent="0.3">
      <c r="C187">
        <f t="shared" si="25"/>
        <v>0</v>
      </c>
      <c r="F187">
        <f t="shared" si="26"/>
        <v>0</v>
      </c>
      <c r="G187">
        <f t="shared" si="2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2"/>
        <v>0</v>
      </c>
      <c r="O187">
        <f t="shared" si="33"/>
        <v>0</v>
      </c>
      <c r="P187" t="e">
        <f t="shared" si="34"/>
        <v>#NUM!</v>
      </c>
    </row>
    <row r="188" spans="1:16" x14ac:dyDescent="0.3">
      <c r="C188">
        <f t="shared" si="25"/>
        <v>0</v>
      </c>
      <c r="F188">
        <f t="shared" si="26"/>
        <v>0</v>
      </c>
      <c r="G188">
        <f t="shared" si="27"/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si="30"/>
        <v>-1.2217251517752175</v>
      </c>
      <c r="L188">
        <v>1</v>
      </c>
      <c r="M188" t="e">
        <f t="shared" si="31"/>
        <v>#NUM!</v>
      </c>
      <c r="N188">
        <f t="shared" si="32"/>
        <v>0</v>
      </c>
      <c r="O188">
        <f t="shared" si="33"/>
        <v>0</v>
      </c>
      <c r="P188" t="e">
        <f t="shared" si="34"/>
        <v>#NUM!</v>
      </c>
    </row>
    <row r="189" spans="1:16" x14ac:dyDescent="0.3">
      <c r="C189">
        <f t="shared" si="25"/>
        <v>0</v>
      </c>
      <c r="F189">
        <f t="shared" si="26"/>
        <v>0</v>
      </c>
      <c r="G189">
        <f t="shared" si="27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30"/>
        <v>-1.2217251517752175</v>
      </c>
      <c r="L189">
        <v>1</v>
      </c>
      <c r="M189" t="e">
        <f t="shared" si="31"/>
        <v>#NUM!</v>
      </c>
      <c r="N189">
        <f t="shared" si="32"/>
        <v>0</v>
      </c>
      <c r="O189">
        <f t="shared" si="33"/>
        <v>0</v>
      </c>
      <c r="P189" t="e">
        <f t="shared" si="34"/>
        <v>#NUM!</v>
      </c>
    </row>
    <row r="190" spans="1:16" x14ac:dyDescent="0.3">
      <c r="C190">
        <f t="shared" si="25"/>
        <v>0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30"/>
        <v>-1.2217251517752175</v>
      </c>
      <c r="L190">
        <v>1</v>
      </c>
      <c r="M190" t="e">
        <f t="shared" si="31"/>
        <v>#NUM!</v>
      </c>
      <c r="N190">
        <f t="shared" si="32"/>
        <v>0</v>
      </c>
      <c r="O190">
        <f t="shared" si="33"/>
        <v>0</v>
      </c>
      <c r="P190" t="e">
        <f t="shared" si="34"/>
        <v>#NUM!</v>
      </c>
    </row>
    <row r="191" spans="1:16" x14ac:dyDescent="0.3">
      <c r="C191">
        <f t="shared" si="25"/>
        <v>0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30"/>
        <v>-1.2217251517752175</v>
      </c>
      <c r="L191">
        <v>1</v>
      </c>
      <c r="M191" t="e">
        <f t="shared" si="31"/>
        <v>#NUM!</v>
      </c>
      <c r="N191">
        <f t="shared" si="32"/>
        <v>0</v>
      </c>
      <c r="O191">
        <f t="shared" si="33"/>
        <v>0</v>
      </c>
      <c r="P191" t="e">
        <f t="shared" si="34"/>
        <v>#NUM!</v>
      </c>
    </row>
    <row r="192" spans="1:16" x14ac:dyDescent="0.3">
      <c r="C192">
        <f t="shared" si="25"/>
        <v>0</v>
      </c>
      <c r="F192">
        <f t="shared" si="26"/>
        <v>0</v>
      </c>
      <c r="G192">
        <f t="shared" si="27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30"/>
        <v>-1.2217251517752175</v>
      </c>
      <c r="L192">
        <v>1</v>
      </c>
      <c r="M192" t="e">
        <f t="shared" si="31"/>
        <v>#NUM!</v>
      </c>
      <c r="N192">
        <f t="shared" si="32"/>
        <v>0</v>
      </c>
      <c r="O192">
        <f t="shared" si="33"/>
        <v>0</v>
      </c>
      <c r="P192" t="e">
        <f t="shared" si="34"/>
        <v>#NUM!</v>
      </c>
    </row>
    <row r="193" spans="3:16" x14ac:dyDescent="0.3">
      <c r="C193">
        <f t="shared" si="25"/>
        <v>0</v>
      </c>
      <c r="F193">
        <f t="shared" si="26"/>
        <v>0</v>
      </c>
      <c r="G193">
        <f t="shared" si="27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30"/>
        <v>-1.2217251517752175</v>
      </c>
      <c r="L193">
        <v>1</v>
      </c>
      <c r="M193" t="e">
        <f t="shared" si="31"/>
        <v>#NUM!</v>
      </c>
      <c r="N193">
        <f t="shared" si="32"/>
        <v>0</v>
      </c>
      <c r="O193">
        <f t="shared" si="33"/>
        <v>0</v>
      </c>
      <c r="P193" t="e">
        <f t="shared" si="34"/>
        <v>#NUM!</v>
      </c>
    </row>
    <row r="194" spans="3:16" x14ac:dyDescent="0.3">
      <c r="C194">
        <f t="shared" si="25"/>
        <v>0</v>
      </c>
      <c r="F194">
        <f t="shared" si="26"/>
        <v>0</v>
      </c>
      <c r="G194">
        <f t="shared" si="27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30"/>
        <v>-1.2217251517752175</v>
      </c>
      <c r="L194">
        <v>1</v>
      </c>
      <c r="M194" t="e">
        <f t="shared" si="31"/>
        <v>#NUM!</v>
      </c>
      <c r="N194">
        <f t="shared" si="32"/>
        <v>0</v>
      </c>
      <c r="O194">
        <f t="shared" si="33"/>
        <v>0</v>
      </c>
      <c r="P194" t="e">
        <f t="shared" si="34"/>
        <v>#NUM!</v>
      </c>
    </row>
    <row r="195" spans="3:16" x14ac:dyDescent="0.3">
      <c r="C195">
        <f t="shared" si="25"/>
        <v>0</v>
      </c>
      <c r="F195">
        <f t="shared" si="26"/>
        <v>0</v>
      </c>
      <c r="G195">
        <f t="shared" si="27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30"/>
        <v>-1.2217251517752175</v>
      </c>
      <c r="L195">
        <v>1</v>
      </c>
      <c r="M195" t="e">
        <f t="shared" si="31"/>
        <v>#NUM!</v>
      </c>
      <c r="N195">
        <f t="shared" si="32"/>
        <v>0</v>
      </c>
      <c r="O195">
        <f t="shared" si="33"/>
        <v>0</v>
      </c>
      <c r="P195" t="e">
        <f t="shared" si="34"/>
        <v>#NUM!</v>
      </c>
    </row>
    <row r="196" spans="3:16" x14ac:dyDescent="0.3">
      <c r="C196">
        <f t="shared" ref="C196:C259" si="36">A196*B196</f>
        <v>0</v>
      </c>
      <c r="F196">
        <f t="shared" ref="F196:F259" si="37">A196*200</f>
        <v>0</v>
      </c>
      <c r="G196">
        <f t="shared" ref="G196:G259" si="38">-B196</f>
        <v>0</v>
      </c>
      <c r="H196">
        <f t="shared" ref="H196:H259" si="39">-C196*200</f>
        <v>0</v>
      </c>
      <c r="I196">
        <v>1</v>
      </c>
      <c r="J196" t="e">
        <f t="shared" ref="J196:J259" si="40">LN(F196/1000)</f>
        <v>#NUM!</v>
      </c>
      <c r="K196">
        <f t="shared" ref="K196:K259" si="41">((-G196)-$N$2)</f>
        <v>-1.2217251517752175</v>
      </c>
      <c r="L196">
        <v>1</v>
      </c>
      <c r="M196" t="e">
        <f t="shared" ref="M196:M259" si="42">-1*($S$4+($S$5*J196))</f>
        <v>#NUM!</v>
      </c>
      <c r="N196">
        <f t="shared" ref="N196:N259" si="43">D196*A196</f>
        <v>0</v>
      </c>
      <c r="O196">
        <f t="shared" ref="O196:O259" si="44">E196*A196</f>
        <v>0</v>
      </c>
      <c r="P196" t="e">
        <f t="shared" ref="P196:P259" si="45">-K196-M196-N196-O196</f>
        <v>#NUM!</v>
      </c>
    </row>
    <row r="197" spans="3:16" x14ac:dyDescent="0.3">
      <c r="C197">
        <f t="shared" si="36"/>
        <v>0</v>
      </c>
      <c r="F197">
        <f t="shared" si="37"/>
        <v>0</v>
      </c>
      <c r="G197">
        <f t="shared" si="38"/>
        <v>0</v>
      </c>
      <c r="H197">
        <f t="shared" si="39"/>
        <v>0</v>
      </c>
      <c r="I197">
        <v>1</v>
      </c>
      <c r="J197" t="e">
        <f t="shared" si="40"/>
        <v>#NUM!</v>
      </c>
      <c r="K197">
        <f t="shared" si="41"/>
        <v>-1.2217251517752175</v>
      </c>
      <c r="L197">
        <v>1</v>
      </c>
      <c r="M197" t="e">
        <f t="shared" si="42"/>
        <v>#NUM!</v>
      </c>
      <c r="N197">
        <f t="shared" si="43"/>
        <v>0</v>
      </c>
      <c r="O197">
        <f t="shared" si="44"/>
        <v>0</v>
      </c>
      <c r="P197" t="e">
        <f t="shared" si="45"/>
        <v>#NUM!</v>
      </c>
    </row>
    <row r="198" spans="3:16" x14ac:dyDescent="0.3">
      <c r="C198">
        <f t="shared" si="36"/>
        <v>0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v>1</v>
      </c>
      <c r="J198" t="e">
        <f t="shared" si="40"/>
        <v>#NUM!</v>
      </c>
      <c r="K198">
        <f t="shared" si="41"/>
        <v>-1.2217251517752175</v>
      </c>
      <c r="L198">
        <v>1</v>
      </c>
      <c r="M198" t="e">
        <f t="shared" si="42"/>
        <v>#NUM!</v>
      </c>
      <c r="N198">
        <f t="shared" si="43"/>
        <v>0</v>
      </c>
      <c r="O198">
        <f t="shared" si="44"/>
        <v>0</v>
      </c>
      <c r="P198" t="e">
        <f t="shared" si="45"/>
        <v>#NUM!</v>
      </c>
    </row>
    <row r="199" spans="3:16" x14ac:dyDescent="0.3">
      <c r="C199">
        <f t="shared" si="36"/>
        <v>0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v>1</v>
      </c>
      <c r="J199" t="e">
        <f t="shared" si="40"/>
        <v>#NUM!</v>
      </c>
      <c r="K199">
        <f t="shared" si="41"/>
        <v>-1.2217251517752175</v>
      </c>
      <c r="L199">
        <v>1</v>
      </c>
      <c r="M199" t="e">
        <f t="shared" si="42"/>
        <v>#NUM!</v>
      </c>
      <c r="N199">
        <f t="shared" si="43"/>
        <v>0</v>
      </c>
      <c r="O199">
        <f t="shared" si="44"/>
        <v>0</v>
      </c>
      <c r="P199" t="e">
        <f t="shared" si="45"/>
        <v>#NUM!</v>
      </c>
    </row>
    <row r="200" spans="3:16" x14ac:dyDescent="0.3">
      <c r="C200">
        <f t="shared" si="36"/>
        <v>0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v>1</v>
      </c>
      <c r="J200" t="e">
        <f t="shared" si="40"/>
        <v>#NUM!</v>
      </c>
      <c r="K200">
        <f t="shared" si="41"/>
        <v>-1.2217251517752175</v>
      </c>
      <c r="L200">
        <v>1</v>
      </c>
      <c r="M200" t="e">
        <f t="shared" si="42"/>
        <v>#NUM!</v>
      </c>
      <c r="N200">
        <f t="shared" si="43"/>
        <v>0</v>
      </c>
      <c r="O200">
        <f t="shared" si="44"/>
        <v>0</v>
      </c>
      <c r="P200" t="e">
        <f t="shared" si="45"/>
        <v>#NUM!</v>
      </c>
    </row>
    <row r="201" spans="3:16" x14ac:dyDescent="0.3">
      <c r="C201">
        <f t="shared" si="36"/>
        <v>0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v>1</v>
      </c>
      <c r="J201" t="e">
        <f t="shared" si="40"/>
        <v>#NUM!</v>
      </c>
      <c r="K201">
        <f t="shared" si="41"/>
        <v>-1.2217251517752175</v>
      </c>
      <c r="L201">
        <v>1</v>
      </c>
      <c r="M201" t="e">
        <f t="shared" si="42"/>
        <v>#NUM!</v>
      </c>
      <c r="N201">
        <f t="shared" si="43"/>
        <v>0</v>
      </c>
      <c r="O201">
        <f t="shared" si="44"/>
        <v>0</v>
      </c>
      <c r="P201" t="e">
        <f t="shared" si="45"/>
        <v>#NUM!</v>
      </c>
    </row>
    <row r="202" spans="3:16" x14ac:dyDescent="0.3">
      <c r="C202">
        <f t="shared" si="36"/>
        <v>0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v>1</v>
      </c>
      <c r="J202" t="e">
        <f t="shared" si="40"/>
        <v>#NUM!</v>
      </c>
      <c r="K202">
        <f t="shared" si="41"/>
        <v>-1.2217251517752175</v>
      </c>
      <c r="L202">
        <v>1</v>
      </c>
      <c r="M202" t="e">
        <f t="shared" si="42"/>
        <v>#NUM!</v>
      </c>
      <c r="N202">
        <f t="shared" si="43"/>
        <v>0</v>
      </c>
      <c r="O202">
        <f t="shared" si="44"/>
        <v>0</v>
      </c>
      <c r="P202" t="e">
        <f t="shared" si="45"/>
        <v>#NUM!</v>
      </c>
    </row>
    <row r="203" spans="3:16" x14ac:dyDescent="0.3">
      <c r="C203">
        <f t="shared" si="36"/>
        <v>0</v>
      </c>
      <c r="F203">
        <f t="shared" si="37"/>
        <v>0</v>
      </c>
      <c r="G203">
        <f t="shared" si="38"/>
        <v>0</v>
      </c>
      <c r="H203">
        <f t="shared" si="39"/>
        <v>0</v>
      </c>
      <c r="I203">
        <v>1</v>
      </c>
      <c r="J203" t="e">
        <f t="shared" si="40"/>
        <v>#NUM!</v>
      </c>
      <c r="K203">
        <f t="shared" si="41"/>
        <v>-1.2217251517752175</v>
      </c>
      <c r="L203">
        <v>1</v>
      </c>
      <c r="M203" t="e">
        <f t="shared" si="42"/>
        <v>#NUM!</v>
      </c>
      <c r="N203">
        <f t="shared" si="43"/>
        <v>0</v>
      </c>
      <c r="O203">
        <f t="shared" si="44"/>
        <v>0</v>
      </c>
      <c r="P203" t="e">
        <f t="shared" si="45"/>
        <v>#NUM!</v>
      </c>
    </row>
    <row r="204" spans="3:16" x14ac:dyDescent="0.3">
      <c r="C204">
        <f t="shared" si="36"/>
        <v>0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v>1</v>
      </c>
      <c r="J204" t="e">
        <f t="shared" si="40"/>
        <v>#NUM!</v>
      </c>
      <c r="K204">
        <f t="shared" si="41"/>
        <v>-1.2217251517752175</v>
      </c>
      <c r="L204">
        <v>1</v>
      </c>
      <c r="M204" t="e">
        <f t="shared" si="42"/>
        <v>#NUM!</v>
      </c>
      <c r="N204">
        <f t="shared" si="43"/>
        <v>0</v>
      </c>
      <c r="O204">
        <f t="shared" si="44"/>
        <v>0</v>
      </c>
      <c r="P204" t="e">
        <f t="shared" si="45"/>
        <v>#NUM!</v>
      </c>
    </row>
    <row r="205" spans="3:16" x14ac:dyDescent="0.3">
      <c r="C205">
        <f t="shared" si="36"/>
        <v>0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v>1</v>
      </c>
      <c r="J205" t="e">
        <f t="shared" si="40"/>
        <v>#NUM!</v>
      </c>
      <c r="K205">
        <f t="shared" si="41"/>
        <v>-1.2217251517752175</v>
      </c>
      <c r="L205">
        <v>1</v>
      </c>
      <c r="M205" t="e">
        <f t="shared" si="42"/>
        <v>#NUM!</v>
      </c>
      <c r="N205">
        <f t="shared" si="43"/>
        <v>0</v>
      </c>
      <c r="O205">
        <f t="shared" si="44"/>
        <v>0</v>
      </c>
      <c r="P205" t="e">
        <f t="shared" si="45"/>
        <v>#NUM!</v>
      </c>
    </row>
    <row r="206" spans="3:16" x14ac:dyDescent="0.3">
      <c r="C206">
        <f t="shared" si="36"/>
        <v>0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v>1</v>
      </c>
      <c r="J206" t="e">
        <f t="shared" si="40"/>
        <v>#NUM!</v>
      </c>
      <c r="K206">
        <f t="shared" si="41"/>
        <v>-1.2217251517752175</v>
      </c>
      <c r="L206">
        <v>1</v>
      </c>
      <c r="M206" t="e">
        <f t="shared" si="42"/>
        <v>#NUM!</v>
      </c>
      <c r="N206">
        <f t="shared" si="43"/>
        <v>0</v>
      </c>
      <c r="O206">
        <f t="shared" si="44"/>
        <v>0</v>
      </c>
      <c r="P206" t="e">
        <f t="shared" si="45"/>
        <v>#NUM!</v>
      </c>
    </row>
    <row r="207" spans="3:16" x14ac:dyDescent="0.3">
      <c r="C207">
        <f t="shared" si="36"/>
        <v>0</v>
      </c>
      <c r="F207">
        <f t="shared" si="37"/>
        <v>0</v>
      </c>
      <c r="G207">
        <f t="shared" si="38"/>
        <v>0</v>
      </c>
      <c r="H207">
        <f t="shared" si="39"/>
        <v>0</v>
      </c>
      <c r="I207">
        <v>1</v>
      </c>
      <c r="J207" t="e">
        <f t="shared" si="40"/>
        <v>#NUM!</v>
      </c>
      <c r="K207">
        <f t="shared" si="41"/>
        <v>-1.2217251517752175</v>
      </c>
      <c r="L207">
        <v>1</v>
      </c>
      <c r="M207" t="e">
        <f t="shared" si="42"/>
        <v>#NUM!</v>
      </c>
      <c r="N207">
        <f t="shared" si="43"/>
        <v>0</v>
      </c>
      <c r="O207">
        <f t="shared" si="44"/>
        <v>0</v>
      </c>
      <c r="P207" t="e">
        <f t="shared" si="45"/>
        <v>#NUM!</v>
      </c>
    </row>
    <row r="208" spans="3:16" x14ac:dyDescent="0.3">
      <c r="C208">
        <f t="shared" si="36"/>
        <v>0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v>1</v>
      </c>
      <c r="J208" t="e">
        <f t="shared" si="40"/>
        <v>#NUM!</v>
      </c>
      <c r="K208">
        <f t="shared" si="41"/>
        <v>-1.2217251517752175</v>
      </c>
      <c r="L208">
        <v>1</v>
      </c>
      <c r="M208" t="e">
        <f t="shared" si="42"/>
        <v>#NUM!</v>
      </c>
      <c r="N208">
        <f t="shared" si="43"/>
        <v>0</v>
      </c>
      <c r="O208">
        <f t="shared" si="44"/>
        <v>0</v>
      </c>
      <c r="P208" t="e">
        <f t="shared" si="45"/>
        <v>#NUM!</v>
      </c>
    </row>
    <row r="209" spans="3:16" x14ac:dyDescent="0.3">
      <c r="C209">
        <f t="shared" si="36"/>
        <v>0</v>
      </c>
      <c r="F209">
        <f t="shared" si="37"/>
        <v>0</v>
      </c>
      <c r="G209">
        <f t="shared" si="38"/>
        <v>0</v>
      </c>
      <c r="H209">
        <f t="shared" si="39"/>
        <v>0</v>
      </c>
      <c r="I209">
        <v>1</v>
      </c>
      <c r="J209" t="e">
        <f t="shared" si="40"/>
        <v>#NUM!</v>
      </c>
      <c r="K209">
        <f t="shared" si="41"/>
        <v>-1.2217251517752175</v>
      </c>
      <c r="L209">
        <v>1</v>
      </c>
      <c r="M209" t="e">
        <f t="shared" si="42"/>
        <v>#NUM!</v>
      </c>
      <c r="N209">
        <f t="shared" si="43"/>
        <v>0</v>
      </c>
      <c r="O209">
        <f t="shared" si="44"/>
        <v>0</v>
      </c>
      <c r="P209" t="e">
        <f t="shared" si="45"/>
        <v>#NUM!</v>
      </c>
    </row>
    <row r="210" spans="3:16" x14ac:dyDescent="0.3">
      <c r="C210">
        <f t="shared" si="36"/>
        <v>0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v>1</v>
      </c>
      <c r="J210" t="e">
        <f t="shared" si="40"/>
        <v>#NUM!</v>
      </c>
      <c r="K210">
        <f t="shared" si="41"/>
        <v>-1.2217251517752175</v>
      </c>
      <c r="L210">
        <v>1</v>
      </c>
      <c r="M210" t="e">
        <f t="shared" si="42"/>
        <v>#NUM!</v>
      </c>
      <c r="N210">
        <f t="shared" si="43"/>
        <v>0</v>
      </c>
      <c r="O210">
        <f t="shared" si="44"/>
        <v>0</v>
      </c>
      <c r="P210" t="e">
        <f t="shared" si="45"/>
        <v>#NUM!</v>
      </c>
    </row>
    <row r="211" spans="3:16" x14ac:dyDescent="0.3">
      <c r="C211">
        <f t="shared" si="36"/>
        <v>0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3:16" x14ac:dyDescent="0.3">
      <c r="C212">
        <f t="shared" si="36"/>
        <v>0</v>
      </c>
      <c r="D212">
        <v>1.6E-2</v>
      </c>
      <c r="E212">
        <v>3.3E-3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3:16" x14ac:dyDescent="0.3">
      <c r="C213">
        <f t="shared" si="36"/>
        <v>0</v>
      </c>
      <c r="D213">
        <v>1.6E-2</v>
      </c>
      <c r="E213">
        <v>3.3E-3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3:16" x14ac:dyDescent="0.3">
      <c r="C214">
        <f t="shared" si="36"/>
        <v>0</v>
      </c>
      <c r="D214">
        <v>1.6E-2</v>
      </c>
      <c r="E214">
        <v>3.3E-3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3:16" x14ac:dyDescent="0.3">
      <c r="C215">
        <f t="shared" si="36"/>
        <v>0</v>
      </c>
      <c r="D215">
        <v>1.6E-2</v>
      </c>
      <c r="E215">
        <v>3.3E-3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3:16" x14ac:dyDescent="0.3">
      <c r="C216">
        <f t="shared" si="36"/>
        <v>0</v>
      </c>
      <c r="D216">
        <v>1.6E-2</v>
      </c>
      <c r="E216">
        <v>3.3E-3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3:16" x14ac:dyDescent="0.3">
      <c r="C217">
        <f t="shared" si="36"/>
        <v>0</v>
      </c>
      <c r="D217">
        <v>1.6E-2</v>
      </c>
      <c r="E217">
        <v>3.3E-3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3:16" x14ac:dyDescent="0.3">
      <c r="C218">
        <f t="shared" si="36"/>
        <v>0</v>
      </c>
      <c r="D218">
        <v>1.6E-2</v>
      </c>
      <c r="E218">
        <v>3.3E-3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3:16" x14ac:dyDescent="0.3">
      <c r="C219">
        <f t="shared" si="36"/>
        <v>0</v>
      </c>
      <c r="D219">
        <v>1.6E-2</v>
      </c>
      <c r="E219">
        <v>3.3E-3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3:16" x14ac:dyDescent="0.3">
      <c r="C220">
        <f t="shared" si="36"/>
        <v>0</v>
      </c>
      <c r="D220">
        <v>1.6E-2</v>
      </c>
      <c r="E220">
        <v>3.3E-3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3:16" x14ac:dyDescent="0.3">
      <c r="C221">
        <f t="shared" si="36"/>
        <v>0</v>
      </c>
      <c r="D221">
        <v>1.6E-2</v>
      </c>
      <c r="E221">
        <v>3.3E-3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3:16" x14ac:dyDescent="0.3">
      <c r="C222">
        <f t="shared" si="36"/>
        <v>0</v>
      </c>
      <c r="D222">
        <v>1.6E-2</v>
      </c>
      <c r="E222">
        <v>3.3E-3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3:16" x14ac:dyDescent="0.3">
      <c r="C223">
        <f t="shared" si="36"/>
        <v>0</v>
      </c>
      <c r="D223">
        <v>1.6E-2</v>
      </c>
      <c r="E223">
        <v>3.3E-3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3:16" x14ac:dyDescent="0.3">
      <c r="C224">
        <f t="shared" si="36"/>
        <v>0</v>
      </c>
      <c r="D224">
        <v>1.6E-2</v>
      </c>
      <c r="E224">
        <v>3.3E-3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1.6E-2</v>
      </c>
      <c r="E225">
        <v>3.3E-3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1.6E-2</v>
      </c>
      <c r="E226">
        <v>3.3E-3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1.6E-2</v>
      </c>
      <c r="E227">
        <v>3.3E-3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1.6E-2</v>
      </c>
      <c r="E228">
        <v>3.3E-3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1.6E-2</v>
      </c>
      <c r="E229">
        <v>3.3E-3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1.6E-2</v>
      </c>
      <c r="E230">
        <v>3.3E-3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1.6E-2</v>
      </c>
      <c r="E231">
        <v>3.3E-3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1.6E-2</v>
      </c>
      <c r="E232">
        <v>3.3E-3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1.6E-2</v>
      </c>
      <c r="E233">
        <v>3.3E-3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1.6E-2</v>
      </c>
      <c r="E234">
        <v>3.3E-3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1.6E-2</v>
      </c>
      <c r="E235">
        <v>3.3E-3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1.6E-2</v>
      </c>
      <c r="E236">
        <v>3.3E-3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1.6E-2</v>
      </c>
      <c r="E237">
        <v>3.3E-3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1.6E-2</v>
      </c>
      <c r="E238">
        <v>3.3E-3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1.6E-2</v>
      </c>
      <c r="E239">
        <v>3.3E-3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1.6E-2</v>
      </c>
      <c r="E240">
        <v>3.3E-3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1.6E-2</v>
      </c>
      <c r="E241">
        <v>3.3E-3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1.6E-2</v>
      </c>
      <c r="E242">
        <v>3.3E-3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1.6E-2</v>
      </c>
      <c r="E243">
        <v>3.3E-3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1.6E-2</v>
      </c>
      <c r="E244">
        <v>3.3E-3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1.6E-2</v>
      </c>
      <c r="E245">
        <v>3.3E-3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1.6E-2</v>
      </c>
      <c r="E246">
        <v>3.3E-3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1.6E-2</v>
      </c>
      <c r="E247">
        <v>3.3E-3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1.6E-2</v>
      </c>
      <c r="E248">
        <v>3.3E-3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1.6E-2</v>
      </c>
      <c r="E249">
        <v>3.3E-3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1.6E-2</v>
      </c>
      <c r="E250">
        <v>3.3E-3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1.6E-2</v>
      </c>
      <c r="E251">
        <v>3.3E-3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1.6E-2</v>
      </c>
      <c r="E252">
        <v>3.3E-3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1.6E-2</v>
      </c>
      <c r="E253">
        <v>3.3E-3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1.6E-2</v>
      </c>
      <c r="E254">
        <v>3.3E-3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1.6E-2</v>
      </c>
      <c r="E255">
        <v>3.3E-3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1.6E-2</v>
      </c>
      <c r="E256">
        <v>3.3E-3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1.6E-2</v>
      </c>
      <c r="E257">
        <v>3.3E-3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1.6E-2</v>
      </c>
      <c r="E258">
        <v>3.3E-3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1.6E-2</v>
      </c>
      <c r="E259">
        <v>3.3E-3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23" si="46">A260*B260</f>
        <v>0</v>
      </c>
      <c r="D260">
        <v>1.6E-2</v>
      </c>
      <c r="E260">
        <v>3.3E-3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23" si="55">-K260-M260-N260-O260</f>
        <v>#NUM!</v>
      </c>
    </row>
    <row r="261" spans="3:16" x14ac:dyDescent="0.3">
      <c r="C261">
        <f t="shared" si="46"/>
        <v>0</v>
      </c>
      <c r="D261">
        <v>1.6E-2</v>
      </c>
      <c r="E261">
        <v>3.3E-3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1.6E-2</v>
      </c>
      <c r="E262">
        <v>3.3E-3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1.6E-2</v>
      </c>
      <c r="E263">
        <v>3.3E-3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1.6E-2</v>
      </c>
      <c r="E264">
        <v>3.3E-3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1.6E-2</v>
      </c>
      <c r="E265">
        <v>3.3E-3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1.6E-2</v>
      </c>
      <c r="E266">
        <v>3.3E-3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1.6E-2</v>
      </c>
      <c r="E267">
        <v>3.3E-3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1.6E-2</v>
      </c>
      <c r="E268">
        <v>3.3E-3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1.6E-2</v>
      </c>
      <c r="E269">
        <v>3.3E-3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1.6E-2</v>
      </c>
      <c r="E270">
        <v>3.3E-3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1.6E-2</v>
      </c>
      <c r="E271">
        <v>3.3E-3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1.6E-2</v>
      </c>
      <c r="E272">
        <v>3.3E-3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1.6E-2</v>
      </c>
      <c r="E273">
        <v>3.3E-3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1.6E-2</v>
      </c>
      <c r="E274">
        <v>3.3E-3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1.6E-2</v>
      </c>
      <c r="E275">
        <v>3.3E-3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1.6E-2</v>
      </c>
      <c r="E276">
        <v>3.3E-3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1.6E-2</v>
      </c>
      <c r="E277">
        <v>3.3E-3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1.6E-2</v>
      </c>
      <c r="E278">
        <v>3.3E-3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1.6E-2</v>
      </c>
      <c r="E279">
        <v>3.3E-3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1.6E-2</v>
      </c>
      <c r="E280">
        <v>3.3E-3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1.6E-2</v>
      </c>
      <c r="E281">
        <v>3.3E-3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1.6E-2</v>
      </c>
      <c r="E282">
        <v>3.3E-3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1.6E-2</v>
      </c>
      <c r="E283">
        <v>3.3E-3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1.6E-2</v>
      </c>
      <c r="E284">
        <v>3.3E-3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1.6E-2</v>
      </c>
      <c r="E285">
        <v>3.3E-3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1.6E-2</v>
      </c>
      <c r="E286">
        <v>3.3E-3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1.6E-2</v>
      </c>
      <c r="E287">
        <v>3.3E-3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1.6E-2</v>
      </c>
      <c r="E288">
        <v>3.3E-3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1.6E-2</v>
      </c>
      <c r="E289">
        <v>3.3E-3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1.6E-2</v>
      </c>
      <c r="E290">
        <v>3.3E-3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1.6E-2</v>
      </c>
      <c r="E291">
        <v>3.3E-3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1.6E-2</v>
      </c>
      <c r="E292">
        <v>3.3E-3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1.6E-2</v>
      </c>
      <c r="E293">
        <v>3.3E-3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1.6E-2</v>
      </c>
      <c r="E294">
        <v>3.3E-3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1.6E-2</v>
      </c>
      <c r="E295">
        <v>3.3E-3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1.6E-2</v>
      </c>
      <c r="E296">
        <v>3.3E-3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1.6E-2</v>
      </c>
      <c r="E297">
        <v>3.3E-3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1.6E-2</v>
      </c>
      <c r="E298">
        <v>3.3E-3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1.6E-2</v>
      </c>
      <c r="E299">
        <v>3.3E-3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1.6E-2</v>
      </c>
      <c r="E300">
        <v>3.3E-3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1.6E-2</v>
      </c>
      <c r="E301">
        <v>3.3E-3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1.6E-2</v>
      </c>
      <c r="E302">
        <v>3.3E-3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1.6E-2</v>
      </c>
      <c r="E303">
        <v>3.3E-3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57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57" si="28">K194-$I$1</f>
        <v>-0.65273690721887978</v>
      </c>
      <c r="N194">
        <v>2004.2352000000001</v>
      </c>
      <c r="O194">
        <f t="shared" ref="O194:O257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2026-06-15T04:12:42Z</dcterms:modified>
</cp:coreProperties>
</file>