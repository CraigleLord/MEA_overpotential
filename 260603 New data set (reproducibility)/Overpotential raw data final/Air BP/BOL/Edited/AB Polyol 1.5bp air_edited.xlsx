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ential DATA raw final\Air BP\BOL\Edited\"/>
    </mc:Choice>
  </mc:AlternateContent>
  <xr:revisionPtr revIDLastSave="0" documentId="13_ncr:1_{AA7FA5DA-C7E2-4633-90D3-0FE46EB663F5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3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O232" i="3" l="1"/>
  <c r="O231" i="3"/>
  <c r="O230" i="3"/>
  <c r="O229" i="3"/>
  <c r="O228" i="3"/>
  <c r="O227" i="3"/>
  <c r="O226" i="3"/>
  <c r="O225" i="3"/>
  <c r="O224" i="3"/>
  <c r="O223" i="3"/>
  <c r="K223" i="3"/>
  <c r="I223" i="3"/>
  <c r="B223" i="3"/>
  <c r="E223" i="3" s="1"/>
  <c r="O222" i="3"/>
  <c r="I222" i="3"/>
  <c r="K222" i="3" s="1"/>
  <c r="E222" i="3"/>
  <c r="B222" i="3"/>
  <c r="O221" i="3"/>
  <c r="K221" i="3"/>
  <c r="I221" i="3"/>
  <c r="B221" i="3"/>
  <c r="E221" i="3" s="1"/>
  <c r="O220" i="3"/>
  <c r="I220" i="3"/>
  <c r="K220" i="3" s="1"/>
  <c r="E220" i="3"/>
  <c r="B220" i="3"/>
  <c r="O219" i="3"/>
  <c r="K219" i="3"/>
  <c r="I219" i="3"/>
  <c r="B219" i="3"/>
  <c r="E219" i="3" s="1"/>
  <c r="O218" i="3"/>
  <c r="I218" i="3"/>
  <c r="K218" i="3" s="1"/>
  <c r="E218" i="3"/>
  <c r="B218" i="3"/>
  <c r="O217" i="3"/>
  <c r="K217" i="3"/>
  <c r="I217" i="3"/>
  <c r="B217" i="3"/>
  <c r="E217" i="3" s="1"/>
  <c r="O216" i="3"/>
  <c r="I216" i="3"/>
  <c r="K216" i="3" s="1"/>
  <c r="E216" i="3"/>
  <c r="B216" i="3"/>
  <c r="O215" i="3"/>
  <c r="K215" i="3"/>
  <c r="I215" i="3"/>
  <c r="B215" i="3"/>
  <c r="E215" i="3" s="1"/>
  <c r="O214" i="3"/>
  <c r="I214" i="3"/>
  <c r="K214" i="3" s="1"/>
  <c r="E214" i="3"/>
  <c r="B214" i="3"/>
  <c r="O213" i="3"/>
  <c r="K213" i="3"/>
  <c r="I213" i="3"/>
  <c r="B213" i="3"/>
  <c r="E213" i="3" s="1"/>
  <c r="O212" i="3"/>
  <c r="I212" i="3"/>
  <c r="K212" i="3" s="1"/>
  <c r="E212" i="3"/>
  <c r="B212" i="3"/>
  <c r="O211" i="3"/>
  <c r="K211" i="3"/>
  <c r="I211" i="3"/>
  <c r="B211" i="3"/>
  <c r="E211" i="3" s="1"/>
  <c r="O210" i="3"/>
  <c r="I210" i="3"/>
  <c r="K210" i="3" s="1"/>
  <c r="E210" i="3"/>
  <c r="B210" i="3"/>
  <c r="O209" i="3"/>
  <c r="K209" i="3"/>
  <c r="I209" i="3"/>
  <c r="B209" i="3"/>
  <c r="E209" i="3" s="1"/>
  <c r="O208" i="3"/>
  <c r="I208" i="3"/>
  <c r="K208" i="3" s="1"/>
  <c r="E208" i="3"/>
  <c r="B208" i="3"/>
  <c r="O207" i="3"/>
  <c r="K207" i="3"/>
  <c r="I207" i="3"/>
  <c r="B207" i="3"/>
  <c r="E207" i="3" s="1"/>
  <c r="O206" i="3"/>
  <c r="I206" i="3"/>
  <c r="K206" i="3" s="1"/>
  <c r="E206" i="3"/>
  <c r="B206" i="3"/>
  <c r="O205" i="3"/>
  <c r="K205" i="3"/>
  <c r="I205" i="3"/>
  <c r="B205" i="3"/>
  <c r="E205" i="3" s="1"/>
  <c r="O204" i="3"/>
  <c r="I204" i="3"/>
  <c r="K204" i="3" s="1"/>
  <c r="E204" i="3"/>
  <c r="B204" i="3"/>
  <c r="O203" i="3"/>
  <c r="K203" i="3"/>
  <c r="I203" i="3"/>
  <c r="B203" i="3"/>
  <c r="E203" i="3" s="1"/>
  <c r="O202" i="3"/>
  <c r="I202" i="3"/>
  <c r="K202" i="3" s="1"/>
  <c r="E202" i="3"/>
  <c r="B202" i="3"/>
  <c r="O201" i="3"/>
  <c r="K201" i="3"/>
  <c r="I201" i="3"/>
  <c r="B201" i="3"/>
  <c r="E201" i="3" s="1"/>
  <c r="O200" i="3"/>
  <c r="I200" i="3"/>
  <c r="K200" i="3" s="1"/>
  <c r="E200" i="3"/>
  <c r="B200" i="3"/>
  <c r="O199" i="3"/>
  <c r="K199" i="3"/>
  <c r="I199" i="3"/>
  <c r="B199" i="3"/>
  <c r="E199" i="3" s="1"/>
  <c r="O198" i="3"/>
  <c r="I198" i="3"/>
  <c r="K198" i="3" s="1"/>
  <c r="E198" i="3"/>
  <c r="B198" i="3"/>
  <c r="O197" i="3"/>
  <c r="K197" i="3"/>
  <c r="I197" i="3"/>
  <c r="B197" i="3"/>
  <c r="E197" i="3" s="1"/>
  <c r="O196" i="3"/>
  <c r="I196" i="3"/>
  <c r="K196" i="3" s="1"/>
  <c r="E196" i="3"/>
  <c r="B196" i="3"/>
  <c r="O195" i="3"/>
  <c r="K195" i="3"/>
  <c r="I195" i="3"/>
  <c r="F195" i="3"/>
  <c r="B195" i="3"/>
  <c r="E195" i="3" s="1"/>
  <c r="O194" i="3"/>
  <c r="I194" i="3"/>
  <c r="K194" i="3" s="1"/>
  <c r="F194" i="3"/>
  <c r="B194" i="3"/>
  <c r="E194" i="3" s="1"/>
  <c r="O193" i="3"/>
  <c r="I193" i="3"/>
  <c r="K193" i="3" s="1"/>
  <c r="F193" i="3"/>
  <c r="E193" i="3"/>
  <c r="B193" i="3"/>
  <c r="O192" i="3"/>
  <c r="K192" i="3"/>
  <c r="I192" i="3"/>
  <c r="F192" i="3"/>
  <c r="E192" i="3"/>
  <c r="B192" i="3"/>
  <c r="O191" i="3"/>
  <c r="K191" i="3"/>
  <c r="I191" i="3"/>
  <c r="F191" i="3"/>
  <c r="B191" i="3"/>
  <c r="E191" i="3" s="1"/>
  <c r="O190" i="3"/>
  <c r="I190" i="3"/>
  <c r="K190" i="3" s="1"/>
  <c r="F190" i="3"/>
  <c r="B190" i="3"/>
  <c r="E190" i="3" s="1"/>
  <c r="O189" i="3"/>
  <c r="I189" i="3"/>
  <c r="K189" i="3" s="1"/>
  <c r="F189" i="3"/>
  <c r="E189" i="3"/>
  <c r="B189" i="3"/>
  <c r="O188" i="3"/>
  <c r="K188" i="3"/>
  <c r="I188" i="3"/>
  <c r="F188" i="3"/>
  <c r="E188" i="3"/>
  <c r="B188" i="3"/>
  <c r="O187" i="3"/>
  <c r="K187" i="3"/>
  <c r="I187" i="3"/>
  <c r="F187" i="3"/>
  <c r="B187" i="3"/>
  <c r="E187" i="3" s="1"/>
  <c r="O186" i="3"/>
  <c r="I186" i="3"/>
  <c r="K186" i="3" s="1"/>
  <c r="F186" i="3"/>
  <c r="B186" i="3"/>
  <c r="E186" i="3" s="1"/>
  <c r="O185" i="3"/>
  <c r="I185" i="3"/>
  <c r="F185" i="3"/>
  <c r="E185" i="3"/>
  <c r="B185" i="3"/>
  <c r="O184" i="3"/>
  <c r="K184" i="3"/>
  <c r="I184" i="3"/>
  <c r="F184" i="3"/>
  <c r="E184" i="3"/>
  <c r="B184" i="3"/>
  <c r="O183" i="3"/>
  <c r="K183" i="3"/>
  <c r="I183" i="3"/>
  <c r="F183" i="3"/>
  <c r="B183" i="3"/>
  <c r="E183" i="3" s="1"/>
  <c r="O182" i="3"/>
  <c r="I182" i="3"/>
  <c r="K182" i="3" s="1"/>
  <c r="F182" i="3"/>
  <c r="B182" i="3"/>
  <c r="E182" i="3" s="1"/>
  <c r="O181" i="3"/>
  <c r="I181" i="3"/>
  <c r="F181" i="3"/>
  <c r="E181" i="3"/>
  <c r="B181" i="3"/>
  <c r="O180" i="3"/>
  <c r="K180" i="3"/>
  <c r="I180" i="3"/>
  <c r="F180" i="3"/>
  <c r="E180" i="3"/>
  <c r="B180" i="3"/>
  <c r="O179" i="3"/>
  <c r="K179" i="3"/>
  <c r="I179" i="3"/>
  <c r="F179" i="3"/>
  <c r="B179" i="3"/>
  <c r="E179" i="3" s="1"/>
  <c r="O178" i="3"/>
  <c r="I178" i="3"/>
  <c r="K178" i="3" s="1"/>
  <c r="F178" i="3"/>
  <c r="B178" i="3"/>
  <c r="E178" i="3" s="1"/>
  <c r="O177" i="3"/>
  <c r="I177" i="3"/>
  <c r="K177" i="3" s="1"/>
  <c r="F177" i="3"/>
  <c r="E177" i="3"/>
  <c r="B177" i="3"/>
  <c r="O176" i="3"/>
  <c r="K176" i="3"/>
  <c r="I176" i="3"/>
  <c r="F176" i="3"/>
  <c r="E176" i="3"/>
  <c r="B176" i="3"/>
  <c r="O175" i="3"/>
  <c r="K175" i="3"/>
  <c r="I175" i="3"/>
  <c r="F175" i="3"/>
  <c r="B175" i="3"/>
  <c r="E175" i="3" s="1"/>
  <c r="O174" i="3"/>
  <c r="I174" i="3"/>
  <c r="K174" i="3" s="1"/>
  <c r="F174" i="3"/>
  <c r="B174" i="3"/>
  <c r="E174" i="3" s="1"/>
  <c r="O173" i="3"/>
  <c r="I173" i="3"/>
  <c r="K173" i="3" s="1"/>
  <c r="F173" i="3"/>
  <c r="E173" i="3"/>
  <c r="B173" i="3"/>
  <c r="O172" i="3"/>
  <c r="K172" i="3"/>
  <c r="I172" i="3"/>
  <c r="F172" i="3"/>
  <c r="E172" i="3"/>
  <c r="B172" i="3"/>
  <c r="O171" i="3"/>
  <c r="K171" i="3"/>
  <c r="I171" i="3"/>
  <c r="F171" i="3"/>
  <c r="B171" i="3"/>
  <c r="E171" i="3" s="1"/>
  <c r="O170" i="3"/>
  <c r="I170" i="3"/>
  <c r="K170" i="3" s="1"/>
  <c r="F170" i="3"/>
  <c r="B170" i="3"/>
  <c r="E170" i="3" s="1"/>
  <c r="O169" i="3"/>
  <c r="I169" i="3"/>
  <c r="F169" i="3"/>
  <c r="E169" i="3"/>
  <c r="B169" i="3"/>
  <c r="O168" i="3"/>
  <c r="K168" i="3"/>
  <c r="I168" i="3"/>
  <c r="F168" i="3"/>
  <c r="E168" i="3"/>
  <c r="B168" i="3"/>
  <c r="O167" i="3"/>
  <c r="K167" i="3"/>
  <c r="I167" i="3"/>
  <c r="F167" i="3"/>
  <c r="B167" i="3"/>
  <c r="E167" i="3" s="1"/>
  <c r="O166" i="3"/>
  <c r="I166" i="3"/>
  <c r="K166" i="3" s="1"/>
  <c r="F166" i="3"/>
  <c r="B166" i="3"/>
  <c r="E166" i="3" s="1"/>
  <c r="O165" i="3"/>
  <c r="I165" i="3"/>
  <c r="F165" i="3"/>
  <c r="E165" i="3"/>
  <c r="B165" i="3"/>
  <c r="O164" i="3"/>
  <c r="K164" i="3"/>
  <c r="I164" i="3"/>
  <c r="F164" i="3"/>
  <c r="E164" i="3"/>
  <c r="B164" i="3"/>
  <c r="O163" i="3"/>
  <c r="K163" i="3"/>
  <c r="I163" i="3"/>
  <c r="F163" i="3"/>
  <c r="B163" i="3"/>
  <c r="E163" i="3" s="1"/>
  <c r="O162" i="3"/>
  <c r="I162" i="3"/>
  <c r="K162" i="3" s="1"/>
  <c r="F162" i="3"/>
  <c r="B162" i="3"/>
  <c r="E162" i="3" s="1"/>
  <c r="O161" i="3"/>
  <c r="I161" i="3"/>
  <c r="K161" i="3" s="1"/>
  <c r="F161" i="3"/>
  <c r="E161" i="3"/>
  <c r="B161" i="3"/>
  <c r="O160" i="3"/>
  <c r="K160" i="3"/>
  <c r="I160" i="3"/>
  <c r="F160" i="3"/>
  <c r="E160" i="3"/>
  <c r="B160" i="3"/>
  <c r="O159" i="3"/>
  <c r="K159" i="3"/>
  <c r="I159" i="3"/>
  <c r="F159" i="3"/>
  <c r="B159" i="3"/>
  <c r="E159" i="3" s="1"/>
  <c r="O158" i="3"/>
  <c r="I158" i="3"/>
  <c r="K158" i="3" s="1"/>
  <c r="F158" i="3"/>
  <c r="B158" i="3"/>
  <c r="E158" i="3" s="1"/>
  <c r="O157" i="3"/>
  <c r="I157" i="3"/>
  <c r="K157" i="3" s="1"/>
  <c r="F157" i="3"/>
  <c r="E157" i="3"/>
  <c r="B157" i="3"/>
  <c r="O156" i="3"/>
  <c r="K156" i="3"/>
  <c r="I156" i="3"/>
  <c r="F156" i="3"/>
  <c r="E156" i="3"/>
  <c r="B156" i="3"/>
  <c r="O155" i="3"/>
  <c r="K155" i="3"/>
  <c r="I155" i="3"/>
  <c r="F155" i="3"/>
  <c r="B155" i="3"/>
  <c r="E155" i="3" s="1"/>
  <c r="O154" i="3"/>
  <c r="I154" i="3"/>
  <c r="K154" i="3" s="1"/>
  <c r="F154" i="3"/>
  <c r="B154" i="3"/>
  <c r="E154" i="3" s="1"/>
  <c r="O153" i="3"/>
  <c r="I153" i="3"/>
  <c r="F153" i="3"/>
  <c r="E153" i="3"/>
  <c r="B153" i="3"/>
  <c r="O152" i="3"/>
  <c r="K152" i="3"/>
  <c r="I152" i="3"/>
  <c r="F152" i="3"/>
  <c r="E152" i="3"/>
  <c r="B152" i="3"/>
  <c r="O151" i="3"/>
  <c r="K151" i="3"/>
  <c r="I151" i="3"/>
  <c r="F151" i="3"/>
  <c r="B151" i="3"/>
  <c r="E151" i="3" s="1"/>
  <c r="O150" i="3"/>
  <c r="I150" i="3"/>
  <c r="K150" i="3" s="1"/>
  <c r="F150" i="3"/>
  <c r="B150" i="3"/>
  <c r="E150" i="3" s="1"/>
  <c r="O149" i="3"/>
  <c r="I149" i="3"/>
  <c r="F149" i="3"/>
  <c r="E149" i="3"/>
  <c r="B149" i="3"/>
  <c r="O148" i="3"/>
  <c r="K148" i="3"/>
  <c r="I148" i="3"/>
  <c r="F148" i="3"/>
  <c r="E148" i="3"/>
  <c r="B148" i="3"/>
  <c r="O147" i="3"/>
  <c r="K147" i="3"/>
  <c r="I147" i="3"/>
  <c r="F147" i="3"/>
  <c r="B147" i="3"/>
  <c r="E147" i="3" s="1"/>
  <c r="O146" i="3"/>
  <c r="I146" i="3"/>
  <c r="K146" i="3" s="1"/>
  <c r="F146" i="3"/>
  <c r="B146" i="3"/>
  <c r="E146" i="3" s="1"/>
  <c r="O145" i="3"/>
  <c r="I145" i="3"/>
  <c r="K145" i="3" s="1"/>
  <c r="F145" i="3"/>
  <c r="E145" i="3"/>
  <c r="B145" i="3"/>
  <c r="O144" i="3"/>
  <c r="K144" i="3"/>
  <c r="I144" i="3"/>
  <c r="F144" i="3"/>
  <c r="B144" i="3"/>
  <c r="E144" i="3" s="1"/>
  <c r="O143" i="3"/>
  <c r="K143" i="3"/>
  <c r="I143" i="3"/>
  <c r="F143" i="3"/>
  <c r="B143" i="3"/>
  <c r="E143" i="3" s="1"/>
  <c r="O142" i="3"/>
  <c r="I142" i="3"/>
  <c r="K142" i="3" s="1"/>
  <c r="F142" i="3"/>
  <c r="B142" i="3"/>
  <c r="E142" i="3" s="1"/>
  <c r="O141" i="3"/>
  <c r="I141" i="3"/>
  <c r="F141" i="3"/>
  <c r="E141" i="3"/>
  <c r="B141" i="3"/>
  <c r="O140" i="3"/>
  <c r="K140" i="3"/>
  <c r="I140" i="3"/>
  <c r="F140" i="3"/>
  <c r="B140" i="3"/>
  <c r="E140" i="3" s="1"/>
  <c r="O139" i="3"/>
  <c r="I139" i="3"/>
  <c r="K139" i="3" s="1"/>
  <c r="F139" i="3"/>
  <c r="B139" i="3"/>
  <c r="E139" i="3" s="1"/>
  <c r="O138" i="3"/>
  <c r="I138" i="3"/>
  <c r="F138" i="3"/>
  <c r="B138" i="3"/>
  <c r="E138" i="3" s="1"/>
  <c r="O137" i="3"/>
  <c r="I137" i="3"/>
  <c r="K137" i="3" s="1"/>
  <c r="F137" i="3"/>
  <c r="E137" i="3"/>
  <c r="B137" i="3"/>
  <c r="O136" i="3"/>
  <c r="K136" i="3"/>
  <c r="I136" i="3"/>
  <c r="F136" i="3"/>
  <c r="E136" i="3"/>
  <c r="B136" i="3"/>
  <c r="O135" i="3"/>
  <c r="K135" i="3"/>
  <c r="I135" i="3"/>
  <c r="F135" i="3"/>
  <c r="B135" i="3"/>
  <c r="E135" i="3" s="1"/>
  <c r="O134" i="3"/>
  <c r="I134" i="3"/>
  <c r="K134" i="3" s="1"/>
  <c r="F134" i="3"/>
  <c r="B134" i="3"/>
  <c r="E134" i="3" s="1"/>
  <c r="O133" i="3"/>
  <c r="I133" i="3"/>
  <c r="F133" i="3"/>
  <c r="E133" i="3"/>
  <c r="B133" i="3"/>
  <c r="O132" i="3"/>
  <c r="K132" i="3"/>
  <c r="I132" i="3"/>
  <c r="F132" i="3"/>
  <c r="B132" i="3"/>
  <c r="E132" i="3" s="1"/>
  <c r="O131" i="3"/>
  <c r="I131" i="3"/>
  <c r="K131" i="3" s="1"/>
  <c r="F131" i="3"/>
  <c r="B131" i="3"/>
  <c r="E131" i="3" s="1"/>
  <c r="O130" i="3"/>
  <c r="I130" i="3"/>
  <c r="F130" i="3"/>
  <c r="B130" i="3"/>
  <c r="E130" i="3" s="1"/>
  <c r="O129" i="3"/>
  <c r="I129" i="3"/>
  <c r="K129" i="3" s="1"/>
  <c r="F129" i="3"/>
  <c r="E129" i="3"/>
  <c r="B129" i="3"/>
  <c r="O128" i="3"/>
  <c r="I128" i="3"/>
  <c r="F128" i="3"/>
  <c r="K128" i="3" s="1"/>
  <c r="E128" i="3"/>
  <c r="B128" i="3"/>
  <c r="O127" i="3"/>
  <c r="K127" i="3"/>
  <c r="I127" i="3"/>
  <c r="F127" i="3"/>
  <c r="E127" i="3"/>
  <c r="B127" i="3"/>
  <c r="O126" i="3"/>
  <c r="I126" i="3"/>
  <c r="K126" i="3" s="1"/>
  <c r="F126" i="3"/>
  <c r="B126" i="3"/>
  <c r="E126" i="3" s="1"/>
  <c r="O125" i="3"/>
  <c r="I125" i="3"/>
  <c r="K125" i="3" s="1"/>
  <c r="F125" i="3"/>
  <c r="E125" i="3"/>
  <c r="B125" i="3"/>
  <c r="O124" i="3"/>
  <c r="K124" i="3"/>
  <c r="I124" i="3"/>
  <c r="F124" i="3"/>
  <c r="B124" i="3"/>
  <c r="E124" i="3" s="1"/>
  <c r="O123" i="3"/>
  <c r="I123" i="3"/>
  <c r="K123" i="3" s="1"/>
  <c r="F123" i="3"/>
  <c r="E123" i="3"/>
  <c r="B123" i="3"/>
  <c r="O122" i="3"/>
  <c r="K122" i="3"/>
  <c r="I122" i="3"/>
  <c r="F122" i="3"/>
  <c r="B122" i="3"/>
  <c r="E122" i="3" s="1"/>
  <c r="O121" i="3"/>
  <c r="I121" i="3"/>
  <c r="F121" i="3"/>
  <c r="E121" i="3"/>
  <c r="B121" i="3"/>
  <c r="O120" i="3"/>
  <c r="K120" i="3"/>
  <c r="I120" i="3"/>
  <c r="F120" i="3"/>
  <c r="B120" i="3"/>
  <c r="E120" i="3" s="1"/>
  <c r="O119" i="3"/>
  <c r="I119" i="3"/>
  <c r="K119" i="3" s="1"/>
  <c r="F119" i="3"/>
  <c r="B119" i="3"/>
  <c r="E119" i="3" s="1"/>
  <c r="O118" i="3"/>
  <c r="I118" i="3"/>
  <c r="F118" i="3"/>
  <c r="E118" i="3"/>
  <c r="B118" i="3"/>
  <c r="O117" i="3"/>
  <c r="I117" i="3"/>
  <c r="F117" i="3"/>
  <c r="K117" i="3" s="1"/>
  <c r="E117" i="3"/>
  <c r="B117" i="3"/>
  <c r="O116" i="3"/>
  <c r="K116" i="3"/>
  <c r="I116" i="3"/>
  <c r="F116" i="3"/>
  <c r="B116" i="3"/>
  <c r="E116" i="3" s="1"/>
  <c r="O115" i="3"/>
  <c r="I115" i="3"/>
  <c r="K115" i="3" s="1"/>
  <c r="F115" i="3"/>
  <c r="B115" i="3"/>
  <c r="E115" i="3" s="1"/>
  <c r="O114" i="3"/>
  <c r="I114" i="3"/>
  <c r="K114" i="3" s="1"/>
  <c r="F114" i="3"/>
  <c r="E114" i="3"/>
  <c r="B114" i="3"/>
  <c r="O113" i="3"/>
  <c r="I113" i="3"/>
  <c r="F113" i="3"/>
  <c r="K113" i="3" s="1"/>
  <c r="E113" i="3"/>
  <c r="B113" i="3"/>
  <c r="O112" i="3"/>
  <c r="K112" i="3"/>
  <c r="I112" i="3"/>
  <c r="F112" i="3"/>
  <c r="B112" i="3"/>
  <c r="E112" i="3" s="1"/>
  <c r="O111" i="3"/>
  <c r="I111" i="3"/>
  <c r="K111" i="3" s="1"/>
  <c r="F111" i="3"/>
  <c r="B111" i="3"/>
  <c r="E111" i="3" s="1"/>
  <c r="O110" i="3"/>
  <c r="I110" i="3"/>
  <c r="K110" i="3" s="1"/>
  <c r="F110" i="3"/>
  <c r="E110" i="3"/>
  <c r="B110" i="3"/>
  <c r="O109" i="3"/>
  <c r="I109" i="3"/>
  <c r="F109" i="3"/>
  <c r="K109" i="3" s="1"/>
  <c r="E109" i="3"/>
  <c r="B109" i="3"/>
  <c r="O108" i="3"/>
  <c r="K108" i="3"/>
  <c r="I108" i="3"/>
  <c r="F108" i="3"/>
  <c r="B108" i="3"/>
  <c r="E108" i="3" s="1"/>
  <c r="O107" i="3"/>
  <c r="I107" i="3"/>
  <c r="K107" i="3" s="1"/>
  <c r="F107" i="3"/>
  <c r="B107" i="3"/>
  <c r="E107" i="3" s="1"/>
  <c r="O106" i="3"/>
  <c r="I106" i="3"/>
  <c r="K106" i="3" s="1"/>
  <c r="F106" i="3"/>
  <c r="E106" i="3"/>
  <c r="B106" i="3"/>
  <c r="O105" i="3"/>
  <c r="I105" i="3"/>
  <c r="F105" i="3"/>
  <c r="K105" i="3" s="1"/>
  <c r="E105" i="3"/>
  <c r="B105" i="3"/>
  <c r="O104" i="3"/>
  <c r="K104" i="3"/>
  <c r="I104" i="3"/>
  <c r="F104" i="3"/>
  <c r="B104" i="3"/>
  <c r="E104" i="3" s="1"/>
  <c r="O103" i="3"/>
  <c r="I103" i="3"/>
  <c r="K103" i="3" s="1"/>
  <c r="F103" i="3"/>
  <c r="B103" i="3"/>
  <c r="E103" i="3" s="1"/>
  <c r="O102" i="3"/>
  <c r="I102" i="3"/>
  <c r="K102" i="3" s="1"/>
  <c r="F102" i="3"/>
  <c r="E102" i="3"/>
  <c r="B102" i="3"/>
  <c r="O101" i="3"/>
  <c r="I101" i="3"/>
  <c r="F101" i="3"/>
  <c r="K101" i="3" s="1"/>
  <c r="E101" i="3"/>
  <c r="B101" i="3"/>
  <c r="O100" i="3"/>
  <c r="K100" i="3"/>
  <c r="I100" i="3"/>
  <c r="F100" i="3"/>
  <c r="B100" i="3"/>
  <c r="E100" i="3" s="1"/>
  <c r="O99" i="3"/>
  <c r="I99" i="3"/>
  <c r="K99" i="3" s="1"/>
  <c r="F99" i="3"/>
  <c r="B99" i="3"/>
  <c r="E99" i="3" s="1"/>
  <c r="O98" i="3"/>
  <c r="I98" i="3"/>
  <c r="K98" i="3" s="1"/>
  <c r="F98" i="3"/>
  <c r="E98" i="3"/>
  <c r="B98" i="3"/>
  <c r="O97" i="3"/>
  <c r="I97" i="3"/>
  <c r="F97" i="3"/>
  <c r="K97" i="3" s="1"/>
  <c r="E97" i="3"/>
  <c r="B97" i="3"/>
  <c r="O96" i="3"/>
  <c r="K96" i="3"/>
  <c r="I96" i="3"/>
  <c r="F96" i="3"/>
  <c r="B96" i="3"/>
  <c r="E96" i="3" s="1"/>
  <c r="O95" i="3"/>
  <c r="I95" i="3"/>
  <c r="K95" i="3" s="1"/>
  <c r="F95" i="3"/>
  <c r="B95" i="3"/>
  <c r="E95" i="3" s="1"/>
  <c r="O94" i="3"/>
  <c r="I94" i="3"/>
  <c r="K94" i="3" s="1"/>
  <c r="F94" i="3"/>
  <c r="E94" i="3"/>
  <c r="B94" i="3"/>
  <c r="O93" i="3"/>
  <c r="I93" i="3"/>
  <c r="F93" i="3"/>
  <c r="K93" i="3" s="1"/>
  <c r="E93" i="3"/>
  <c r="B93" i="3"/>
  <c r="O92" i="3"/>
  <c r="K92" i="3"/>
  <c r="I92" i="3"/>
  <c r="F92" i="3"/>
  <c r="B92" i="3"/>
  <c r="E92" i="3" s="1"/>
  <c r="O91" i="3"/>
  <c r="I91" i="3"/>
  <c r="K91" i="3" s="1"/>
  <c r="F91" i="3"/>
  <c r="B91" i="3"/>
  <c r="E91" i="3" s="1"/>
  <c r="O90" i="3"/>
  <c r="I90" i="3"/>
  <c r="K90" i="3" s="1"/>
  <c r="F90" i="3"/>
  <c r="E90" i="3"/>
  <c r="B90" i="3"/>
  <c r="O89" i="3"/>
  <c r="I89" i="3"/>
  <c r="F89" i="3"/>
  <c r="K89" i="3" s="1"/>
  <c r="E89" i="3"/>
  <c r="B89" i="3"/>
  <c r="O88" i="3"/>
  <c r="K88" i="3"/>
  <c r="I88" i="3"/>
  <c r="F88" i="3"/>
  <c r="B88" i="3"/>
  <c r="E88" i="3" s="1"/>
  <c r="O87" i="3"/>
  <c r="I87" i="3"/>
  <c r="K87" i="3" s="1"/>
  <c r="F87" i="3"/>
  <c r="B87" i="3"/>
  <c r="E87" i="3" s="1"/>
  <c r="O86" i="3"/>
  <c r="I86" i="3"/>
  <c r="K86" i="3" s="1"/>
  <c r="F86" i="3"/>
  <c r="E86" i="3"/>
  <c r="B86" i="3"/>
  <c r="O85" i="3"/>
  <c r="I85" i="3"/>
  <c r="F85" i="3"/>
  <c r="K85" i="3" s="1"/>
  <c r="E85" i="3"/>
  <c r="B85" i="3"/>
  <c r="O84" i="3"/>
  <c r="K84" i="3"/>
  <c r="I84" i="3"/>
  <c r="F84" i="3"/>
  <c r="B84" i="3"/>
  <c r="E84" i="3" s="1"/>
  <c r="O83" i="3"/>
  <c r="I83" i="3"/>
  <c r="K83" i="3" s="1"/>
  <c r="F83" i="3"/>
  <c r="B83" i="3"/>
  <c r="E83" i="3" s="1"/>
  <c r="O82" i="3"/>
  <c r="I82" i="3"/>
  <c r="K82" i="3" s="1"/>
  <c r="F82" i="3"/>
  <c r="E82" i="3"/>
  <c r="B82" i="3"/>
  <c r="O81" i="3"/>
  <c r="I81" i="3"/>
  <c r="F81" i="3"/>
  <c r="K81" i="3" s="1"/>
  <c r="E81" i="3"/>
  <c r="B81" i="3"/>
  <c r="O80" i="3"/>
  <c r="K80" i="3"/>
  <c r="I80" i="3"/>
  <c r="F80" i="3"/>
  <c r="B80" i="3"/>
  <c r="E80" i="3" s="1"/>
  <c r="O79" i="3"/>
  <c r="I79" i="3"/>
  <c r="K79" i="3" s="1"/>
  <c r="F79" i="3"/>
  <c r="B79" i="3"/>
  <c r="E79" i="3" s="1"/>
  <c r="O78" i="3"/>
  <c r="I78" i="3"/>
  <c r="K78" i="3" s="1"/>
  <c r="F78" i="3"/>
  <c r="E78" i="3"/>
  <c r="B78" i="3"/>
  <c r="O77" i="3"/>
  <c r="I77" i="3"/>
  <c r="F77" i="3"/>
  <c r="K77" i="3" s="1"/>
  <c r="E77" i="3"/>
  <c r="B77" i="3"/>
  <c r="O76" i="3"/>
  <c r="K76" i="3"/>
  <c r="I76" i="3"/>
  <c r="F76" i="3"/>
  <c r="B76" i="3"/>
  <c r="E76" i="3" s="1"/>
  <c r="O75" i="3"/>
  <c r="K75" i="3"/>
  <c r="I75" i="3"/>
  <c r="F75" i="3"/>
  <c r="B75" i="3"/>
  <c r="E75" i="3" s="1"/>
  <c r="O74" i="3"/>
  <c r="I74" i="3"/>
  <c r="F74" i="3"/>
  <c r="E74" i="3"/>
  <c r="B74" i="3"/>
  <c r="O73" i="3"/>
  <c r="I73" i="3"/>
  <c r="F73" i="3"/>
  <c r="K73" i="3" s="1"/>
  <c r="E73" i="3"/>
  <c r="B73" i="3"/>
  <c r="O72" i="3"/>
  <c r="K72" i="3"/>
  <c r="I72" i="3"/>
  <c r="F72" i="3"/>
  <c r="E72" i="3"/>
  <c r="B72" i="3"/>
  <c r="O71" i="3"/>
  <c r="I71" i="3"/>
  <c r="K71" i="3" s="1"/>
  <c r="F71" i="3"/>
  <c r="B71" i="3"/>
  <c r="E71" i="3" s="1"/>
  <c r="O70" i="3"/>
  <c r="I70" i="3"/>
  <c r="K70" i="3" s="1"/>
  <c r="F70" i="3"/>
  <c r="E70" i="3"/>
  <c r="B70" i="3"/>
  <c r="O69" i="3"/>
  <c r="I69" i="3"/>
  <c r="F69" i="3"/>
  <c r="K69" i="3" s="1"/>
  <c r="E69" i="3"/>
  <c r="B69" i="3"/>
  <c r="O68" i="3"/>
  <c r="K68" i="3"/>
  <c r="I68" i="3"/>
  <c r="F68" i="3"/>
  <c r="B68" i="3"/>
  <c r="E68" i="3" s="1"/>
  <c r="O67" i="3"/>
  <c r="K67" i="3"/>
  <c r="I67" i="3"/>
  <c r="F67" i="3"/>
  <c r="B67" i="3"/>
  <c r="E67" i="3" s="1"/>
  <c r="O66" i="3"/>
  <c r="I66" i="3"/>
  <c r="F66" i="3"/>
  <c r="E66" i="3"/>
  <c r="B66" i="3"/>
  <c r="O65" i="3"/>
  <c r="I65" i="3"/>
  <c r="F65" i="3"/>
  <c r="K65" i="3" s="1"/>
  <c r="E65" i="3"/>
  <c r="B65" i="3"/>
  <c r="O64" i="3"/>
  <c r="K64" i="3"/>
  <c r="I64" i="3"/>
  <c r="F64" i="3"/>
  <c r="E64" i="3"/>
  <c r="B64" i="3"/>
  <c r="O63" i="3"/>
  <c r="I63" i="3"/>
  <c r="K63" i="3" s="1"/>
  <c r="F63" i="3"/>
  <c r="B63" i="3"/>
  <c r="E63" i="3" s="1"/>
  <c r="O62" i="3"/>
  <c r="I62" i="3"/>
  <c r="K62" i="3" s="1"/>
  <c r="F62" i="3"/>
  <c r="E62" i="3"/>
  <c r="B62" i="3"/>
  <c r="O61" i="3"/>
  <c r="I61" i="3"/>
  <c r="F61" i="3"/>
  <c r="K61" i="3" s="1"/>
  <c r="E61" i="3"/>
  <c r="B61" i="3"/>
  <c r="O60" i="3"/>
  <c r="K60" i="3"/>
  <c r="I60" i="3"/>
  <c r="F60" i="3"/>
  <c r="B60" i="3"/>
  <c r="E60" i="3" s="1"/>
  <c r="O59" i="3"/>
  <c r="K59" i="3"/>
  <c r="I59" i="3"/>
  <c r="F59" i="3"/>
  <c r="B59" i="3"/>
  <c r="E59" i="3" s="1"/>
  <c r="O58" i="3"/>
  <c r="I58" i="3"/>
  <c r="F58" i="3"/>
  <c r="E58" i="3"/>
  <c r="B58" i="3"/>
  <c r="O57" i="3"/>
  <c r="I57" i="3"/>
  <c r="F57" i="3"/>
  <c r="K57" i="3" s="1"/>
  <c r="E57" i="3"/>
  <c r="B57" i="3"/>
  <c r="O56" i="3"/>
  <c r="K56" i="3"/>
  <c r="I56" i="3"/>
  <c r="F56" i="3"/>
  <c r="E56" i="3"/>
  <c r="B56" i="3"/>
  <c r="O55" i="3"/>
  <c r="I55" i="3"/>
  <c r="K55" i="3" s="1"/>
  <c r="F55" i="3"/>
  <c r="B55" i="3"/>
  <c r="E55" i="3" s="1"/>
  <c r="O54" i="3"/>
  <c r="I54" i="3"/>
  <c r="K54" i="3" s="1"/>
  <c r="F54" i="3"/>
  <c r="E54" i="3"/>
  <c r="B54" i="3"/>
  <c r="O53" i="3"/>
  <c r="I53" i="3"/>
  <c r="F53" i="3"/>
  <c r="K53" i="3" s="1"/>
  <c r="E53" i="3"/>
  <c r="B53" i="3"/>
  <c r="O52" i="3"/>
  <c r="K52" i="3"/>
  <c r="I52" i="3"/>
  <c r="F52" i="3"/>
  <c r="B52" i="3"/>
  <c r="E52" i="3" s="1"/>
  <c r="O51" i="3"/>
  <c r="K51" i="3"/>
  <c r="I51" i="3"/>
  <c r="F51" i="3"/>
  <c r="B51" i="3"/>
  <c r="E51" i="3" s="1"/>
  <c r="O50" i="3"/>
  <c r="I50" i="3"/>
  <c r="F50" i="3"/>
  <c r="E50" i="3"/>
  <c r="B50" i="3"/>
  <c r="O49" i="3"/>
  <c r="I49" i="3"/>
  <c r="F49" i="3"/>
  <c r="K49" i="3" s="1"/>
  <c r="E49" i="3"/>
  <c r="B49" i="3"/>
  <c r="O48" i="3"/>
  <c r="K48" i="3"/>
  <c r="I48" i="3"/>
  <c r="F48" i="3"/>
  <c r="E48" i="3"/>
  <c r="B48" i="3"/>
  <c r="O47" i="3"/>
  <c r="I47" i="3"/>
  <c r="K47" i="3" s="1"/>
  <c r="F47" i="3"/>
  <c r="B47" i="3"/>
  <c r="E47" i="3" s="1"/>
  <c r="O46" i="3"/>
  <c r="I46" i="3"/>
  <c r="K46" i="3" s="1"/>
  <c r="F46" i="3"/>
  <c r="E46" i="3"/>
  <c r="B46" i="3"/>
  <c r="O45" i="3"/>
  <c r="I45" i="3"/>
  <c r="F45" i="3"/>
  <c r="K45" i="3" s="1"/>
  <c r="E45" i="3"/>
  <c r="B45" i="3"/>
  <c r="O44" i="3"/>
  <c r="K44" i="3"/>
  <c r="I44" i="3"/>
  <c r="F44" i="3"/>
  <c r="B44" i="3"/>
  <c r="E44" i="3" s="1"/>
  <c r="O43" i="3"/>
  <c r="K43" i="3"/>
  <c r="I43" i="3"/>
  <c r="F43" i="3"/>
  <c r="B43" i="3"/>
  <c r="E43" i="3" s="1"/>
  <c r="O42" i="3"/>
  <c r="I42" i="3"/>
  <c r="F42" i="3"/>
  <c r="E42" i="3"/>
  <c r="B42" i="3"/>
  <c r="O41" i="3"/>
  <c r="I41" i="3"/>
  <c r="F41" i="3"/>
  <c r="K41" i="3" s="1"/>
  <c r="E41" i="3"/>
  <c r="B41" i="3"/>
  <c r="O40" i="3"/>
  <c r="K40" i="3"/>
  <c r="I40" i="3"/>
  <c r="F40" i="3"/>
  <c r="E40" i="3"/>
  <c r="B40" i="3"/>
  <c r="O39" i="3"/>
  <c r="I39" i="3"/>
  <c r="K39" i="3" s="1"/>
  <c r="F39" i="3"/>
  <c r="B39" i="3"/>
  <c r="E39" i="3" s="1"/>
  <c r="O38" i="3"/>
  <c r="I38" i="3"/>
  <c r="K38" i="3" s="1"/>
  <c r="F38" i="3"/>
  <c r="E38" i="3"/>
  <c r="B38" i="3"/>
  <c r="O37" i="3"/>
  <c r="I37" i="3"/>
  <c r="F37" i="3"/>
  <c r="K37" i="3" s="1"/>
  <c r="E37" i="3"/>
  <c r="B37" i="3"/>
  <c r="O36" i="3"/>
  <c r="K36" i="3"/>
  <c r="I36" i="3"/>
  <c r="F36" i="3"/>
  <c r="B36" i="3"/>
  <c r="E36" i="3" s="1"/>
  <c r="O35" i="3"/>
  <c r="K35" i="3"/>
  <c r="I35" i="3"/>
  <c r="F35" i="3"/>
  <c r="B35" i="3"/>
  <c r="E35" i="3" s="1"/>
  <c r="O34" i="3"/>
  <c r="I34" i="3"/>
  <c r="F34" i="3"/>
  <c r="E34" i="3"/>
  <c r="B34" i="3"/>
  <c r="O33" i="3"/>
  <c r="I33" i="3"/>
  <c r="F33" i="3"/>
  <c r="K33" i="3" s="1"/>
  <c r="E33" i="3"/>
  <c r="B33" i="3"/>
  <c r="O32" i="3"/>
  <c r="K32" i="3"/>
  <c r="I32" i="3"/>
  <c r="F32" i="3"/>
  <c r="E32" i="3"/>
  <c r="B32" i="3"/>
  <c r="O31" i="3"/>
  <c r="I31" i="3"/>
  <c r="K31" i="3" s="1"/>
  <c r="F31" i="3"/>
  <c r="B31" i="3"/>
  <c r="E31" i="3" s="1"/>
  <c r="O30" i="3"/>
  <c r="I30" i="3"/>
  <c r="K30" i="3" s="1"/>
  <c r="F30" i="3"/>
  <c r="E30" i="3"/>
  <c r="B30" i="3"/>
  <c r="O29" i="3"/>
  <c r="I29" i="3"/>
  <c r="F29" i="3"/>
  <c r="K29" i="3" s="1"/>
  <c r="E29" i="3"/>
  <c r="B29" i="3"/>
  <c r="O28" i="3"/>
  <c r="K28" i="3"/>
  <c r="I28" i="3"/>
  <c r="F28" i="3"/>
  <c r="B28" i="3"/>
  <c r="E28" i="3" s="1"/>
  <c r="O27" i="3"/>
  <c r="K27" i="3"/>
  <c r="I27" i="3"/>
  <c r="F27" i="3"/>
  <c r="B27" i="3"/>
  <c r="E27" i="3" s="1"/>
  <c r="O26" i="3"/>
  <c r="I26" i="3"/>
  <c r="F26" i="3"/>
  <c r="E26" i="3"/>
  <c r="B26" i="3"/>
  <c r="O25" i="3"/>
  <c r="I25" i="3"/>
  <c r="F25" i="3"/>
  <c r="K25" i="3" s="1"/>
  <c r="E25" i="3"/>
  <c r="B25" i="3"/>
  <c r="O24" i="3"/>
  <c r="K24" i="3"/>
  <c r="I24" i="3"/>
  <c r="F24" i="3"/>
  <c r="E24" i="3"/>
  <c r="B24" i="3"/>
  <c r="O23" i="3"/>
  <c r="I23" i="3"/>
  <c r="K23" i="3" s="1"/>
  <c r="F23" i="3"/>
  <c r="B23" i="3"/>
  <c r="E23" i="3" s="1"/>
  <c r="O22" i="3"/>
  <c r="I22" i="3"/>
  <c r="K22" i="3" s="1"/>
  <c r="F22" i="3"/>
  <c r="E22" i="3"/>
  <c r="B22" i="3"/>
  <c r="O21" i="3"/>
  <c r="I21" i="3"/>
  <c r="F21" i="3"/>
  <c r="K21" i="3" s="1"/>
  <c r="E21" i="3"/>
  <c r="B21" i="3"/>
  <c r="O20" i="3"/>
  <c r="K20" i="3"/>
  <c r="I20" i="3"/>
  <c r="F20" i="3"/>
  <c r="B20" i="3"/>
  <c r="E20" i="3" s="1"/>
  <c r="O19" i="3"/>
  <c r="K19" i="3"/>
  <c r="I19" i="3"/>
  <c r="F19" i="3"/>
  <c r="B19" i="3"/>
  <c r="E19" i="3" s="1"/>
  <c r="O18" i="3"/>
  <c r="I18" i="3"/>
  <c r="F18" i="3"/>
  <c r="E18" i="3"/>
  <c r="B18" i="3"/>
  <c r="O17" i="3"/>
  <c r="I17" i="3"/>
  <c r="F17" i="3"/>
  <c r="K17" i="3" s="1"/>
  <c r="E17" i="3"/>
  <c r="B17" i="3"/>
  <c r="O16" i="3"/>
  <c r="K16" i="3"/>
  <c r="I16" i="3"/>
  <c r="F16" i="3"/>
  <c r="E16" i="3"/>
  <c r="B16" i="3"/>
  <c r="O15" i="3"/>
  <c r="I15" i="3"/>
  <c r="K15" i="3" s="1"/>
  <c r="F15" i="3"/>
  <c r="B15" i="3"/>
  <c r="E15" i="3" s="1"/>
  <c r="O14" i="3"/>
  <c r="I14" i="3"/>
  <c r="K14" i="3" s="1"/>
  <c r="F14" i="3"/>
  <c r="E14" i="3"/>
  <c r="B14" i="3"/>
  <c r="O13" i="3"/>
  <c r="I13" i="3"/>
  <c r="F13" i="3"/>
  <c r="K13" i="3" s="1"/>
  <c r="E13" i="3"/>
  <c r="B13" i="3"/>
  <c r="O12" i="3"/>
  <c r="K12" i="3"/>
  <c r="I12" i="3"/>
  <c r="F12" i="3"/>
  <c r="B12" i="3"/>
  <c r="E12" i="3" s="1"/>
  <c r="O11" i="3"/>
  <c r="K11" i="3"/>
  <c r="I11" i="3"/>
  <c r="F11" i="3"/>
  <c r="B11" i="3"/>
  <c r="E11" i="3" s="1"/>
  <c r="O10" i="3"/>
  <c r="I10" i="3"/>
  <c r="F10" i="3"/>
  <c r="E10" i="3"/>
  <c r="B10" i="3"/>
  <c r="O9" i="3"/>
  <c r="I9" i="3"/>
  <c r="F9" i="3"/>
  <c r="K9" i="3" s="1"/>
  <c r="E9" i="3"/>
  <c r="B9" i="3"/>
  <c r="O8" i="3"/>
  <c r="I8" i="3"/>
  <c r="K8" i="3" s="1"/>
  <c r="F8" i="3"/>
  <c r="E8" i="3"/>
  <c r="B8" i="3"/>
  <c r="O7" i="3"/>
  <c r="I7" i="3"/>
  <c r="K7" i="3" s="1"/>
  <c r="F7" i="3"/>
  <c r="B7" i="3"/>
  <c r="E7" i="3" s="1"/>
  <c r="O6" i="3"/>
  <c r="I6" i="3"/>
  <c r="F6" i="3"/>
  <c r="E6" i="3"/>
  <c r="B6" i="3"/>
  <c r="O5" i="3"/>
  <c r="I5" i="3"/>
  <c r="F5" i="3"/>
  <c r="K5" i="3" s="1"/>
  <c r="E5" i="3"/>
  <c r="B5" i="3"/>
  <c r="O4" i="3"/>
  <c r="K4" i="3"/>
  <c r="I4" i="3"/>
  <c r="F4" i="3"/>
  <c r="B4" i="3"/>
  <c r="E4" i="3" s="1"/>
  <c r="O3" i="3"/>
  <c r="I3" i="3"/>
  <c r="F3" i="3"/>
  <c r="K3" i="3" s="1"/>
  <c r="B3" i="3"/>
  <c r="E3" i="3" s="1"/>
  <c r="O2" i="3"/>
  <c r="I2" i="3"/>
  <c r="K2" i="3" s="1"/>
  <c r="F2" i="3"/>
  <c r="E2" i="3"/>
  <c r="B2" i="3"/>
  <c r="O303" i="1"/>
  <c r="N303" i="1"/>
  <c r="M303" i="1"/>
  <c r="J303" i="1"/>
  <c r="G303" i="1"/>
  <c r="F303" i="1"/>
  <c r="C303" i="1"/>
  <c r="H303" i="1" s="1"/>
  <c r="O302" i="1"/>
  <c r="N302" i="1"/>
  <c r="J302" i="1"/>
  <c r="M302" i="1" s="1"/>
  <c r="G302" i="1"/>
  <c r="F302" i="1"/>
  <c r="C302" i="1"/>
  <c r="H302" i="1" s="1"/>
  <c r="O301" i="1"/>
  <c r="N301" i="1"/>
  <c r="M301" i="1"/>
  <c r="J301" i="1"/>
  <c r="G301" i="1"/>
  <c r="F301" i="1"/>
  <c r="C301" i="1"/>
  <c r="H301" i="1" s="1"/>
  <c r="O300" i="1"/>
  <c r="N300" i="1"/>
  <c r="J300" i="1"/>
  <c r="M300" i="1" s="1"/>
  <c r="G300" i="1"/>
  <c r="F300" i="1"/>
  <c r="C300" i="1"/>
  <c r="H300" i="1" s="1"/>
  <c r="O299" i="1"/>
  <c r="N299" i="1"/>
  <c r="J299" i="1"/>
  <c r="M299" i="1" s="1"/>
  <c r="G299" i="1"/>
  <c r="F299" i="1"/>
  <c r="C299" i="1"/>
  <c r="H299" i="1" s="1"/>
  <c r="O298" i="1"/>
  <c r="N298" i="1"/>
  <c r="M298" i="1"/>
  <c r="J298" i="1"/>
  <c r="G298" i="1"/>
  <c r="F298" i="1"/>
  <c r="C298" i="1"/>
  <c r="H298" i="1" s="1"/>
  <c r="O297" i="1"/>
  <c r="N297" i="1"/>
  <c r="M297" i="1"/>
  <c r="J297" i="1"/>
  <c r="G297" i="1"/>
  <c r="F297" i="1"/>
  <c r="C297" i="1"/>
  <c r="H297" i="1" s="1"/>
  <c r="O296" i="1"/>
  <c r="N296" i="1"/>
  <c r="J296" i="1"/>
  <c r="M296" i="1" s="1"/>
  <c r="G296" i="1"/>
  <c r="F296" i="1"/>
  <c r="C296" i="1"/>
  <c r="H296" i="1" s="1"/>
  <c r="O295" i="1"/>
  <c r="N295" i="1"/>
  <c r="J295" i="1"/>
  <c r="M295" i="1" s="1"/>
  <c r="G295" i="1"/>
  <c r="F295" i="1"/>
  <c r="C295" i="1"/>
  <c r="H295" i="1" s="1"/>
  <c r="O294" i="1"/>
  <c r="N294" i="1"/>
  <c r="M294" i="1"/>
  <c r="J294" i="1"/>
  <c r="G294" i="1"/>
  <c r="F294" i="1"/>
  <c r="C294" i="1"/>
  <c r="H294" i="1" s="1"/>
  <c r="O293" i="1"/>
  <c r="N293" i="1"/>
  <c r="M293" i="1"/>
  <c r="J293" i="1"/>
  <c r="G293" i="1"/>
  <c r="F293" i="1"/>
  <c r="C293" i="1"/>
  <c r="H293" i="1" s="1"/>
  <c r="O292" i="1"/>
  <c r="N292" i="1"/>
  <c r="J292" i="1"/>
  <c r="M292" i="1" s="1"/>
  <c r="G292" i="1"/>
  <c r="F292" i="1"/>
  <c r="C292" i="1"/>
  <c r="H292" i="1" s="1"/>
  <c r="O291" i="1"/>
  <c r="N291" i="1"/>
  <c r="J291" i="1"/>
  <c r="M291" i="1" s="1"/>
  <c r="G291" i="1"/>
  <c r="F291" i="1"/>
  <c r="C291" i="1"/>
  <c r="H291" i="1" s="1"/>
  <c r="O290" i="1"/>
  <c r="N290" i="1"/>
  <c r="M290" i="1"/>
  <c r="J290" i="1"/>
  <c r="G290" i="1"/>
  <c r="F290" i="1"/>
  <c r="C290" i="1"/>
  <c r="H290" i="1" s="1"/>
  <c r="O289" i="1"/>
  <c r="N289" i="1"/>
  <c r="M289" i="1"/>
  <c r="J289" i="1"/>
  <c r="G289" i="1"/>
  <c r="F289" i="1"/>
  <c r="C289" i="1"/>
  <c r="H289" i="1" s="1"/>
  <c r="O288" i="1"/>
  <c r="N288" i="1"/>
  <c r="J288" i="1"/>
  <c r="M288" i="1" s="1"/>
  <c r="G288" i="1"/>
  <c r="F288" i="1"/>
  <c r="C288" i="1"/>
  <c r="H288" i="1" s="1"/>
  <c r="O287" i="1"/>
  <c r="N287" i="1"/>
  <c r="J287" i="1"/>
  <c r="M287" i="1" s="1"/>
  <c r="G287" i="1"/>
  <c r="F287" i="1"/>
  <c r="C287" i="1"/>
  <c r="H287" i="1" s="1"/>
  <c r="O286" i="1"/>
  <c r="N286" i="1"/>
  <c r="M286" i="1"/>
  <c r="J286" i="1"/>
  <c r="G286" i="1"/>
  <c r="F286" i="1"/>
  <c r="C286" i="1"/>
  <c r="H286" i="1" s="1"/>
  <c r="O285" i="1"/>
  <c r="N285" i="1"/>
  <c r="M285" i="1"/>
  <c r="J285" i="1"/>
  <c r="G285" i="1"/>
  <c r="F285" i="1"/>
  <c r="C285" i="1"/>
  <c r="H285" i="1" s="1"/>
  <c r="O284" i="1"/>
  <c r="N284" i="1"/>
  <c r="J284" i="1"/>
  <c r="M284" i="1" s="1"/>
  <c r="G284" i="1"/>
  <c r="F284" i="1"/>
  <c r="C284" i="1"/>
  <c r="H284" i="1" s="1"/>
  <c r="O283" i="1"/>
  <c r="N283" i="1"/>
  <c r="J283" i="1"/>
  <c r="M283" i="1" s="1"/>
  <c r="G283" i="1"/>
  <c r="F283" i="1"/>
  <c r="C283" i="1"/>
  <c r="H283" i="1" s="1"/>
  <c r="O282" i="1"/>
  <c r="N282" i="1"/>
  <c r="M282" i="1"/>
  <c r="J282" i="1"/>
  <c r="G282" i="1"/>
  <c r="F282" i="1"/>
  <c r="C282" i="1"/>
  <c r="H282" i="1" s="1"/>
  <c r="O281" i="1"/>
  <c r="N281" i="1"/>
  <c r="M281" i="1"/>
  <c r="J281" i="1"/>
  <c r="G281" i="1"/>
  <c r="F281" i="1"/>
  <c r="C281" i="1"/>
  <c r="H281" i="1" s="1"/>
  <c r="O280" i="1"/>
  <c r="N280" i="1"/>
  <c r="J280" i="1"/>
  <c r="M280" i="1" s="1"/>
  <c r="G280" i="1"/>
  <c r="F280" i="1"/>
  <c r="C280" i="1"/>
  <c r="H280" i="1" s="1"/>
  <c r="O279" i="1"/>
  <c r="N279" i="1"/>
  <c r="J279" i="1"/>
  <c r="M279" i="1" s="1"/>
  <c r="G279" i="1"/>
  <c r="F279" i="1"/>
  <c r="C279" i="1"/>
  <c r="H279" i="1" s="1"/>
  <c r="O278" i="1"/>
  <c r="N278" i="1"/>
  <c r="M278" i="1"/>
  <c r="J278" i="1"/>
  <c r="G278" i="1"/>
  <c r="F278" i="1"/>
  <c r="C278" i="1"/>
  <c r="H278" i="1" s="1"/>
  <c r="O277" i="1"/>
  <c r="N277" i="1"/>
  <c r="M277" i="1"/>
  <c r="J277" i="1"/>
  <c r="G277" i="1"/>
  <c r="F277" i="1"/>
  <c r="C277" i="1"/>
  <c r="H277" i="1" s="1"/>
  <c r="O276" i="1"/>
  <c r="N276" i="1"/>
  <c r="J276" i="1"/>
  <c r="M276" i="1" s="1"/>
  <c r="G276" i="1"/>
  <c r="F276" i="1"/>
  <c r="C276" i="1"/>
  <c r="H276" i="1" s="1"/>
  <c r="O275" i="1"/>
  <c r="N275" i="1"/>
  <c r="G275" i="1"/>
  <c r="F275" i="1"/>
  <c r="J275" i="1" s="1"/>
  <c r="M275" i="1" s="1"/>
  <c r="C275" i="1"/>
  <c r="H275" i="1" s="1"/>
  <c r="O274" i="1"/>
  <c r="N274" i="1"/>
  <c r="J274" i="1"/>
  <c r="M274" i="1" s="1"/>
  <c r="G274" i="1"/>
  <c r="F274" i="1"/>
  <c r="C274" i="1"/>
  <c r="H274" i="1" s="1"/>
  <c r="O273" i="1"/>
  <c r="N273" i="1"/>
  <c r="H273" i="1"/>
  <c r="G273" i="1"/>
  <c r="F273" i="1"/>
  <c r="J273" i="1" s="1"/>
  <c r="M273" i="1" s="1"/>
  <c r="C273" i="1"/>
  <c r="O272" i="1"/>
  <c r="N272" i="1"/>
  <c r="J272" i="1"/>
  <c r="M272" i="1" s="1"/>
  <c r="G272" i="1"/>
  <c r="F272" i="1"/>
  <c r="C272" i="1"/>
  <c r="H272" i="1" s="1"/>
  <c r="O271" i="1"/>
  <c r="N271" i="1"/>
  <c r="H271" i="1"/>
  <c r="G271" i="1"/>
  <c r="F271" i="1"/>
  <c r="J271" i="1" s="1"/>
  <c r="M271" i="1" s="1"/>
  <c r="C271" i="1"/>
  <c r="O270" i="1"/>
  <c r="N270" i="1"/>
  <c r="J270" i="1"/>
  <c r="M270" i="1" s="1"/>
  <c r="G270" i="1"/>
  <c r="F270" i="1"/>
  <c r="C270" i="1"/>
  <c r="H270" i="1" s="1"/>
  <c r="O269" i="1"/>
  <c r="N269" i="1"/>
  <c r="M269" i="1"/>
  <c r="H269" i="1"/>
  <c r="G269" i="1"/>
  <c r="F269" i="1"/>
  <c r="J269" i="1" s="1"/>
  <c r="C269" i="1"/>
  <c r="O268" i="1"/>
  <c r="N268" i="1"/>
  <c r="J268" i="1"/>
  <c r="M268" i="1" s="1"/>
  <c r="G268" i="1"/>
  <c r="F268" i="1"/>
  <c r="C268" i="1"/>
  <c r="H268" i="1" s="1"/>
  <c r="O267" i="1"/>
  <c r="N267" i="1"/>
  <c r="M267" i="1"/>
  <c r="H267" i="1"/>
  <c r="G267" i="1"/>
  <c r="F267" i="1"/>
  <c r="J267" i="1" s="1"/>
  <c r="C267" i="1"/>
  <c r="O266" i="1"/>
  <c r="N266" i="1"/>
  <c r="J266" i="1"/>
  <c r="M266" i="1" s="1"/>
  <c r="G266" i="1"/>
  <c r="F266" i="1"/>
  <c r="C266" i="1"/>
  <c r="H266" i="1" s="1"/>
  <c r="O265" i="1"/>
  <c r="N265" i="1"/>
  <c r="H265" i="1"/>
  <c r="G265" i="1"/>
  <c r="F265" i="1"/>
  <c r="J265" i="1" s="1"/>
  <c r="M265" i="1" s="1"/>
  <c r="C265" i="1"/>
  <c r="O264" i="1"/>
  <c r="N264" i="1"/>
  <c r="J264" i="1"/>
  <c r="M264" i="1" s="1"/>
  <c r="G264" i="1"/>
  <c r="F264" i="1"/>
  <c r="C264" i="1"/>
  <c r="H264" i="1" s="1"/>
  <c r="O263" i="1"/>
  <c r="N263" i="1"/>
  <c r="H263" i="1"/>
  <c r="G263" i="1"/>
  <c r="F263" i="1"/>
  <c r="J263" i="1" s="1"/>
  <c r="M263" i="1" s="1"/>
  <c r="C263" i="1"/>
  <c r="O262" i="1"/>
  <c r="N262" i="1"/>
  <c r="J262" i="1"/>
  <c r="M262" i="1" s="1"/>
  <c r="G262" i="1"/>
  <c r="F262" i="1"/>
  <c r="C262" i="1"/>
  <c r="H262" i="1" s="1"/>
  <c r="O261" i="1"/>
  <c r="N261" i="1"/>
  <c r="M261" i="1"/>
  <c r="H261" i="1"/>
  <c r="G261" i="1"/>
  <c r="F261" i="1"/>
  <c r="J261" i="1" s="1"/>
  <c r="C261" i="1"/>
  <c r="O260" i="1"/>
  <c r="N260" i="1"/>
  <c r="J260" i="1"/>
  <c r="M260" i="1" s="1"/>
  <c r="G260" i="1"/>
  <c r="F260" i="1"/>
  <c r="C260" i="1"/>
  <c r="H260" i="1" s="1"/>
  <c r="O259" i="1"/>
  <c r="N259" i="1"/>
  <c r="M259" i="1"/>
  <c r="H259" i="1"/>
  <c r="G259" i="1"/>
  <c r="F259" i="1"/>
  <c r="J259" i="1" s="1"/>
  <c r="C259" i="1"/>
  <c r="O258" i="1"/>
  <c r="N258" i="1"/>
  <c r="J258" i="1"/>
  <c r="M258" i="1" s="1"/>
  <c r="G258" i="1"/>
  <c r="F258" i="1"/>
  <c r="C258" i="1"/>
  <c r="H258" i="1" s="1"/>
  <c r="O257" i="1"/>
  <c r="N257" i="1"/>
  <c r="H257" i="1"/>
  <c r="G257" i="1"/>
  <c r="F257" i="1"/>
  <c r="J257" i="1" s="1"/>
  <c r="M257" i="1" s="1"/>
  <c r="C257" i="1"/>
  <c r="O256" i="1"/>
  <c r="N256" i="1"/>
  <c r="J256" i="1"/>
  <c r="M256" i="1" s="1"/>
  <c r="G256" i="1"/>
  <c r="F256" i="1"/>
  <c r="C256" i="1"/>
  <c r="H256" i="1" s="1"/>
  <c r="O255" i="1"/>
  <c r="N255" i="1"/>
  <c r="H255" i="1"/>
  <c r="G255" i="1"/>
  <c r="F255" i="1"/>
  <c r="J255" i="1" s="1"/>
  <c r="M255" i="1" s="1"/>
  <c r="C255" i="1"/>
  <c r="O254" i="1"/>
  <c r="N254" i="1"/>
  <c r="J254" i="1"/>
  <c r="M254" i="1" s="1"/>
  <c r="G254" i="1"/>
  <c r="F254" i="1"/>
  <c r="C254" i="1"/>
  <c r="H254" i="1" s="1"/>
  <c r="O253" i="1"/>
  <c r="N253" i="1"/>
  <c r="M253" i="1"/>
  <c r="H253" i="1"/>
  <c r="G253" i="1"/>
  <c r="F253" i="1"/>
  <c r="J253" i="1" s="1"/>
  <c r="C253" i="1"/>
  <c r="O252" i="1"/>
  <c r="N252" i="1"/>
  <c r="J252" i="1"/>
  <c r="M252" i="1" s="1"/>
  <c r="G252" i="1"/>
  <c r="F252" i="1"/>
  <c r="C252" i="1"/>
  <c r="H252" i="1" s="1"/>
  <c r="O251" i="1"/>
  <c r="N251" i="1"/>
  <c r="M251" i="1"/>
  <c r="H251" i="1"/>
  <c r="G251" i="1"/>
  <c r="F251" i="1"/>
  <c r="J251" i="1" s="1"/>
  <c r="C251" i="1"/>
  <c r="O250" i="1"/>
  <c r="N250" i="1"/>
  <c r="J250" i="1"/>
  <c r="M250" i="1" s="1"/>
  <c r="G250" i="1"/>
  <c r="F250" i="1"/>
  <c r="C250" i="1"/>
  <c r="H250" i="1" s="1"/>
  <c r="O249" i="1"/>
  <c r="N249" i="1"/>
  <c r="H249" i="1"/>
  <c r="G249" i="1"/>
  <c r="F249" i="1"/>
  <c r="J249" i="1" s="1"/>
  <c r="M249" i="1" s="1"/>
  <c r="C249" i="1"/>
  <c r="O248" i="1"/>
  <c r="N248" i="1"/>
  <c r="J248" i="1"/>
  <c r="M248" i="1" s="1"/>
  <c r="G248" i="1"/>
  <c r="F248" i="1"/>
  <c r="C248" i="1"/>
  <c r="H248" i="1" s="1"/>
  <c r="O247" i="1"/>
  <c r="N247" i="1"/>
  <c r="H247" i="1"/>
  <c r="G247" i="1"/>
  <c r="F247" i="1"/>
  <c r="J247" i="1" s="1"/>
  <c r="M247" i="1" s="1"/>
  <c r="C247" i="1"/>
  <c r="O246" i="1"/>
  <c r="N246" i="1"/>
  <c r="J246" i="1"/>
  <c r="M246" i="1" s="1"/>
  <c r="G246" i="1"/>
  <c r="F246" i="1"/>
  <c r="C246" i="1"/>
  <c r="H246" i="1" s="1"/>
  <c r="O245" i="1"/>
  <c r="N245" i="1"/>
  <c r="M245" i="1"/>
  <c r="H245" i="1"/>
  <c r="G245" i="1"/>
  <c r="F245" i="1"/>
  <c r="J245" i="1" s="1"/>
  <c r="C245" i="1"/>
  <c r="O244" i="1"/>
  <c r="N244" i="1"/>
  <c r="J244" i="1"/>
  <c r="M244" i="1" s="1"/>
  <c r="G244" i="1"/>
  <c r="F244" i="1"/>
  <c r="C244" i="1"/>
  <c r="H244" i="1" s="1"/>
  <c r="O243" i="1"/>
  <c r="N243" i="1"/>
  <c r="M243" i="1"/>
  <c r="H243" i="1"/>
  <c r="G243" i="1"/>
  <c r="F243" i="1"/>
  <c r="J243" i="1" s="1"/>
  <c r="C243" i="1"/>
  <c r="O242" i="1"/>
  <c r="N242" i="1"/>
  <c r="J242" i="1"/>
  <c r="M242" i="1" s="1"/>
  <c r="G242" i="1"/>
  <c r="F242" i="1"/>
  <c r="C242" i="1"/>
  <c r="H242" i="1" s="1"/>
  <c r="O241" i="1"/>
  <c r="N241" i="1"/>
  <c r="H241" i="1"/>
  <c r="G241" i="1"/>
  <c r="F241" i="1"/>
  <c r="J241" i="1" s="1"/>
  <c r="M241" i="1" s="1"/>
  <c r="C241" i="1"/>
  <c r="O240" i="1"/>
  <c r="N240" i="1"/>
  <c r="J240" i="1"/>
  <c r="M240" i="1" s="1"/>
  <c r="G240" i="1"/>
  <c r="F240" i="1"/>
  <c r="C240" i="1"/>
  <c r="H240" i="1" s="1"/>
  <c r="O239" i="1"/>
  <c r="N239" i="1"/>
  <c r="H239" i="1"/>
  <c r="G239" i="1"/>
  <c r="F239" i="1"/>
  <c r="J239" i="1" s="1"/>
  <c r="M239" i="1" s="1"/>
  <c r="C239" i="1"/>
  <c r="O238" i="1"/>
  <c r="N238" i="1"/>
  <c r="J238" i="1"/>
  <c r="M238" i="1" s="1"/>
  <c r="G238" i="1"/>
  <c r="F238" i="1"/>
  <c r="C238" i="1"/>
  <c r="H238" i="1" s="1"/>
  <c r="O237" i="1"/>
  <c r="N237" i="1"/>
  <c r="M237" i="1"/>
  <c r="H237" i="1"/>
  <c r="G237" i="1"/>
  <c r="F237" i="1"/>
  <c r="J237" i="1" s="1"/>
  <c r="C237" i="1"/>
  <c r="O236" i="1"/>
  <c r="N236" i="1"/>
  <c r="J236" i="1"/>
  <c r="M236" i="1" s="1"/>
  <c r="G236" i="1"/>
  <c r="F236" i="1"/>
  <c r="C236" i="1"/>
  <c r="H236" i="1" s="1"/>
  <c r="O235" i="1"/>
  <c r="N235" i="1"/>
  <c r="M235" i="1"/>
  <c r="H235" i="1"/>
  <c r="G235" i="1"/>
  <c r="F235" i="1"/>
  <c r="J235" i="1" s="1"/>
  <c r="C235" i="1"/>
  <c r="O234" i="1"/>
  <c r="N234" i="1"/>
  <c r="J234" i="1"/>
  <c r="M234" i="1" s="1"/>
  <c r="G234" i="1"/>
  <c r="F234" i="1"/>
  <c r="C234" i="1"/>
  <c r="H234" i="1" s="1"/>
  <c r="O233" i="1"/>
  <c r="N233" i="1"/>
  <c r="H233" i="1"/>
  <c r="G233" i="1"/>
  <c r="F233" i="1"/>
  <c r="J233" i="1" s="1"/>
  <c r="M233" i="1" s="1"/>
  <c r="C233" i="1"/>
  <c r="O232" i="1"/>
  <c r="N232" i="1"/>
  <c r="J232" i="1"/>
  <c r="M232" i="1" s="1"/>
  <c r="G232" i="1"/>
  <c r="F232" i="1"/>
  <c r="C232" i="1"/>
  <c r="H232" i="1" s="1"/>
  <c r="O231" i="1"/>
  <c r="N231" i="1"/>
  <c r="H231" i="1"/>
  <c r="G231" i="1"/>
  <c r="F231" i="1"/>
  <c r="J231" i="1" s="1"/>
  <c r="M231" i="1" s="1"/>
  <c r="C231" i="1"/>
  <c r="O230" i="1"/>
  <c r="N230" i="1"/>
  <c r="J230" i="1"/>
  <c r="M230" i="1" s="1"/>
  <c r="G230" i="1"/>
  <c r="F230" i="1"/>
  <c r="C230" i="1"/>
  <c r="H230" i="1" s="1"/>
  <c r="O229" i="1"/>
  <c r="N229" i="1"/>
  <c r="M229" i="1"/>
  <c r="H229" i="1"/>
  <c r="G229" i="1"/>
  <c r="F229" i="1"/>
  <c r="J229" i="1" s="1"/>
  <c r="C229" i="1"/>
  <c r="O228" i="1"/>
  <c r="N228" i="1"/>
  <c r="J228" i="1"/>
  <c r="M228" i="1" s="1"/>
  <c r="G228" i="1"/>
  <c r="F228" i="1"/>
  <c r="C228" i="1"/>
  <c r="H228" i="1" s="1"/>
  <c r="O227" i="1"/>
  <c r="N227" i="1"/>
  <c r="M227" i="1"/>
  <c r="H227" i="1"/>
  <c r="G227" i="1"/>
  <c r="F227" i="1"/>
  <c r="J227" i="1" s="1"/>
  <c r="C227" i="1"/>
  <c r="O226" i="1"/>
  <c r="N226" i="1"/>
  <c r="J226" i="1"/>
  <c r="M226" i="1" s="1"/>
  <c r="G226" i="1"/>
  <c r="F226" i="1"/>
  <c r="C226" i="1"/>
  <c r="H226" i="1" s="1"/>
  <c r="O225" i="1"/>
  <c r="N225" i="1"/>
  <c r="J225" i="1"/>
  <c r="M225" i="1" s="1"/>
  <c r="H225" i="1"/>
  <c r="G225" i="1"/>
  <c r="F225" i="1"/>
  <c r="C225" i="1"/>
  <c r="O224" i="1"/>
  <c r="N224" i="1"/>
  <c r="G224" i="1"/>
  <c r="F224" i="1"/>
  <c r="J224" i="1" s="1"/>
  <c r="M224" i="1" s="1"/>
  <c r="C224" i="1"/>
  <c r="H224" i="1" s="1"/>
  <c r="O223" i="1"/>
  <c r="N223" i="1"/>
  <c r="J223" i="1"/>
  <c r="M223" i="1" s="1"/>
  <c r="H223" i="1"/>
  <c r="G223" i="1"/>
  <c r="F223" i="1"/>
  <c r="C223" i="1"/>
  <c r="O222" i="1"/>
  <c r="N222" i="1"/>
  <c r="G222" i="1"/>
  <c r="F222" i="1"/>
  <c r="J222" i="1" s="1"/>
  <c r="M222" i="1" s="1"/>
  <c r="C222" i="1"/>
  <c r="H222" i="1" s="1"/>
  <c r="O221" i="1"/>
  <c r="N221" i="1"/>
  <c r="J221" i="1"/>
  <c r="M221" i="1" s="1"/>
  <c r="H221" i="1"/>
  <c r="G221" i="1"/>
  <c r="F221" i="1"/>
  <c r="C221" i="1"/>
  <c r="O220" i="1"/>
  <c r="N220" i="1"/>
  <c r="G220" i="1"/>
  <c r="F220" i="1"/>
  <c r="J220" i="1" s="1"/>
  <c r="M220" i="1" s="1"/>
  <c r="C220" i="1"/>
  <c r="H220" i="1" s="1"/>
  <c r="O219" i="1"/>
  <c r="N219" i="1"/>
  <c r="J219" i="1"/>
  <c r="M219" i="1" s="1"/>
  <c r="H219" i="1"/>
  <c r="G219" i="1"/>
  <c r="F219" i="1"/>
  <c r="C219" i="1"/>
  <c r="O218" i="1"/>
  <c r="N218" i="1"/>
  <c r="G218" i="1"/>
  <c r="F218" i="1"/>
  <c r="J218" i="1" s="1"/>
  <c r="M218" i="1" s="1"/>
  <c r="C218" i="1"/>
  <c r="H218" i="1" s="1"/>
  <c r="O217" i="1"/>
  <c r="N217" i="1"/>
  <c r="J217" i="1"/>
  <c r="M217" i="1" s="1"/>
  <c r="H217" i="1"/>
  <c r="G217" i="1"/>
  <c r="F217" i="1"/>
  <c r="C217" i="1"/>
  <c r="O216" i="1"/>
  <c r="N216" i="1"/>
  <c r="G216" i="1"/>
  <c r="F216" i="1"/>
  <c r="J216" i="1" s="1"/>
  <c r="M216" i="1" s="1"/>
  <c r="C216" i="1"/>
  <c r="H216" i="1" s="1"/>
  <c r="O215" i="1"/>
  <c r="N215" i="1"/>
  <c r="J215" i="1"/>
  <c r="M215" i="1" s="1"/>
  <c r="H215" i="1"/>
  <c r="G215" i="1"/>
  <c r="F215" i="1"/>
  <c r="C215" i="1"/>
  <c r="O214" i="1"/>
  <c r="N214" i="1"/>
  <c r="G214" i="1"/>
  <c r="F214" i="1"/>
  <c r="J214" i="1" s="1"/>
  <c r="M214" i="1" s="1"/>
  <c r="C214" i="1"/>
  <c r="H214" i="1" s="1"/>
  <c r="O213" i="1"/>
  <c r="N213" i="1"/>
  <c r="J213" i="1"/>
  <c r="M213" i="1" s="1"/>
  <c r="H213" i="1"/>
  <c r="G213" i="1"/>
  <c r="F213" i="1"/>
  <c r="C213" i="1"/>
  <c r="O212" i="1"/>
  <c r="N212" i="1"/>
  <c r="G212" i="1"/>
  <c r="F212" i="1"/>
  <c r="J212" i="1" s="1"/>
  <c r="M212" i="1" s="1"/>
  <c r="C212" i="1"/>
  <c r="H212" i="1" s="1"/>
  <c r="O211" i="1"/>
  <c r="N211" i="1"/>
  <c r="J211" i="1"/>
  <c r="M211" i="1" s="1"/>
  <c r="H211" i="1"/>
  <c r="G211" i="1"/>
  <c r="F211" i="1"/>
  <c r="C211" i="1"/>
  <c r="O210" i="1"/>
  <c r="N210" i="1"/>
  <c r="G210" i="1"/>
  <c r="F210" i="1"/>
  <c r="J210" i="1" s="1"/>
  <c r="M210" i="1" s="1"/>
  <c r="C210" i="1"/>
  <c r="H210" i="1" s="1"/>
  <c r="O209" i="1"/>
  <c r="N209" i="1"/>
  <c r="J209" i="1"/>
  <c r="M209" i="1" s="1"/>
  <c r="H209" i="1"/>
  <c r="G209" i="1"/>
  <c r="F209" i="1"/>
  <c r="C209" i="1"/>
  <c r="O208" i="1"/>
  <c r="N208" i="1"/>
  <c r="G208" i="1"/>
  <c r="F208" i="1"/>
  <c r="J208" i="1" s="1"/>
  <c r="M208" i="1" s="1"/>
  <c r="C208" i="1"/>
  <c r="H208" i="1" s="1"/>
  <c r="O207" i="1"/>
  <c r="N207" i="1"/>
  <c r="J207" i="1"/>
  <c r="M207" i="1" s="1"/>
  <c r="H207" i="1"/>
  <c r="G207" i="1"/>
  <c r="F207" i="1"/>
  <c r="C207" i="1"/>
  <c r="O206" i="1"/>
  <c r="N206" i="1"/>
  <c r="G206" i="1"/>
  <c r="F206" i="1"/>
  <c r="J206" i="1" s="1"/>
  <c r="M206" i="1" s="1"/>
  <c r="C206" i="1"/>
  <c r="H206" i="1" s="1"/>
  <c r="O205" i="1"/>
  <c r="N205" i="1"/>
  <c r="J205" i="1"/>
  <c r="M205" i="1" s="1"/>
  <c r="H205" i="1"/>
  <c r="G205" i="1"/>
  <c r="F205" i="1"/>
  <c r="C205" i="1"/>
  <c r="O204" i="1"/>
  <c r="N204" i="1"/>
  <c r="G204" i="1"/>
  <c r="F204" i="1"/>
  <c r="J204" i="1" s="1"/>
  <c r="M204" i="1" s="1"/>
  <c r="C204" i="1"/>
  <c r="H204" i="1" s="1"/>
  <c r="O203" i="1"/>
  <c r="N203" i="1"/>
  <c r="J203" i="1"/>
  <c r="M203" i="1" s="1"/>
  <c r="H203" i="1"/>
  <c r="G203" i="1"/>
  <c r="F203" i="1"/>
  <c r="C203" i="1"/>
  <c r="O202" i="1"/>
  <c r="N202" i="1"/>
  <c r="G202" i="1"/>
  <c r="F202" i="1"/>
  <c r="J202" i="1" s="1"/>
  <c r="M202" i="1" s="1"/>
  <c r="C202" i="1"/>
  <c r="H202" i="1" s="1"/>
  <c r="O201" i="1"/>
  <c r="N201" i="1"/>
  <c r="J201" i="1"/>
  <c r="M201" i="1" s="1"/>
  <c r="H201" i="1"/>
  <c r="G201" i="1"/>
  <c r="F201" i="1"/>
  <c r="C201" i="1"/>
  <c r="O200" i="1"/>
  <c r="N200" i="1"/>
  <c r="G200" i="1"/>
  <c r="F200" i="1"/>
  <c r="J200" i="1" s="1"/>
  <c r="M200" i="1" s="1"/>
  <c r="C200" i="1"/>
  <c r="H200" i="1" s="1"/>
  <c r="O199" i="1"/>
  <c r="N199" i="1"/>
  <c r="J199" i="1"/>
  <c r="M199" i="1" s="1"/>
  <c r="H199" i="1"/>
  <c r="G199" i="1"/>
  <c r="F199" i="1"/>
  <c r="C199" i="1"/>
  <c r="O198" i="1"/>
  <c r="N198" i="1"/>
  <c r="G198" i="1"/>
  <c r="F198" i="1"/>
  <c r="J198" i="1" s="1"/>
  <c r="M198" i="1" s="1"/>
  <c r="C198" i="1"/>
  <c r="H198" i="1" s="1"/>
  <c r="O197" i="1"/>
  <c r="N197" i="1"/>
  <c r="J197" i="1"/>
  <c r="M197" i="1" s="1"/>
  <c r="H197" i="1"/>
  <c r="G197" i="1"/>
  <c r="F197" i="1"/>
  <c r="C197" i="1"/>
  <c r="O196" i="1"/>
  <c r="N196" i="1"/>
  <c r="G196" i="1"/>
  <c r="F196" i="1"/>
  <c r="J196" i="1" s="1"/>
  <c r="M196" i="1" s="1"/>
  <c r="C196" i="1"/>
  <c r="H196" i="1" s="1"/>
  <c r="O195" i="1"/>
  <c r="N195" i="1"/>
  <c r="J195" i="1"/>
  <c r="M195" i="1" s="1"/>
  <c r="H195" i="1"/>
  <c r="G195" i="1"/>
  <c r="F195" i="1"/>
  <c r="C195" i="1"/>
  <c r="O194" i="1"/>
  <c r="N194" i="1"/>
  <c r="M194" i="1"/>
  <c r="G194" i="1"/>
  <c r="F194" i="1"/>
  <c r="J194" i="1" s="1"/>
  <c r="C194" i="1"/>
  <c r="H194" i="1" s="1"/>
  <c r="O193" i="1"/>
  <c r="N193" i="1"/>
  <c r="J193" i="1"/>
  <c r="M193" i="1" s="1"/>
  <c r="H193" i="1"/>
  <c r="G193" i="1"/>
  <c r="F193" i="1"/>
  <c r="C193" i="1"/>
  <c r="O192" i="1"/>
  <c r="N192" i="1"/>
  <c r="G192" i="1"/>
  <c r="F192" i="1"/>
  <c r="J192" i="1" s="1"/>
  <c r="M192" i="1" s="1"/>
  <c r="C192" i="1"/>
  <c r="H192" i="1" s="1"/>
  <c r="O191" i="1"/>
  <c r="N191" i="1"/>
  <c r="J191" i="1"/>
  <c r="M191" i="1" s="1"/>
  <c r="G191" i="1"/>
  <c r="F191" i="1"/>
  <c r="C191" i="1"/>
  <c r="H191" i="1" s="1"/>
  <c r="O190" i="1"/>
  <c r="N190" i="1"/>
  <c r="G190" i="1"/>
  <c r="F190" i="1"/>
  <c r="J190" i="1" s="1"/>
  <c r="M190" i="1" s="1"/>
  <c r="C190" i="1"/>
  <c r="H190" i="1" s="1"/>
  <c r="O189" i="1"/>
  <c r="N189" i="1"/>
  <c r="J189" i="1"/>
  <c r="M189" i="1" s="1"/>
  <c r="G189" i="1"/>
  <c r="F189" i="1"/>
  <c r="C189" i="1"/>
  <c r="H189" i="1" s="1"/>
  <c r="O188" i="1"/>
  <c r="N188" i="1"/>
  <c r="M188" i="1"/>
  <c r="G188" i="1"/>
  <c r="F188" i="1"/>
  <c r="J188" i="1" s="1"/>
  <c r="C188" i="1"/>
  <c r="H188" i="1" s="1"/>
  <c r="O187" i="1"/>
  <c r="N187" i="1"/>
  <c r="J187" i="1"/>
  <c r="M187" i="1" s="1"/>
  <c r="G187" i="1"/>
  <c r="F187" i="1"/>
  <c r="C187" i="1"/>
  <c r="H187" i="1" s="1"/>
  <c r="O186" i="1"/>
  <c r="N186" i="1"/>
  <c r="M186" i="1"/>
  <c r="G186" i="1"/>
  <c r="F186" i="1"/>
  <c r="J186" i="1" s="1"/>
  <c r="C186" i="1"/>
  <c r="H186" i="1" s="1"/>
  <c r="O185" i="1"/>
  <c r="N185" i="1"/>
  <c r="M185" i="1"/>
  <c r="J185" i="1"/>
  <c r="G185" i="1"/>
  <c r="F185" i="1"/>
  <c r="C185" i="1"/>
  <c r="H185" i="1" s="1"/>
  <c r="O184" i="1"/>
  <c r="N184" i="1"/>
  <c r="J184" i="1"/>
  <c r="M184" i="1" s="1"/>
  <c r="G184" i="1"/>
  <c r="F184" i="1"/>
  <c r="C184" i="1"/>
  <c r="H184" i="1" s="1"/>
  <c r="O183" i="1"/>
  <c r="N183" i="1"/>
  <c r="M183" i="1"/>
  <c r="J183" i="1"/>
  <c r="H183" i="1"/>
  <c r="G183" i="1"/>
  <c r="F183" i="1"/>
  <c r="C183" i="1"/>
  <c r="O182" i="1"/>
  <c r="N182" i="1"/>
  <c r="J182" i="1"/>
  <c r="M182" i="1" s="1"/>
  <c r="G182" i="1"/>
  <c r="F182" i="1"/>
  <c r="C182" i="1"/>
  <c r="H182" i="1" s="1"/>
  <c r="O181" i="1"/>
  <c r="N181" i="1"/>
  <c r="J181" i="1"/>
  <c r="M181" i="1" s="1"/>
  <c r="H181" i="1"/>
  <c r="G181" i="1"/>
  <c r="F181" i="1"/>
  <c r="C181" i="1"/>
  <c r="O180" i="1"/>
  <c r="N180" i="1"/>
  <c r="G180" i="1"/>
  <c r="F180" i="1"/>
  <c r="J180" i="1" s="1"/>
  <c r="M180" i="1" s="1"/>
  <c r="C180" i="1"/>
  <c r="H180" i="1" s="1"/>
  <c r="O179" i="1"/>
  <c r="N179" i="1"/>
  <c r="J179" i="1"/>
  <c r="M179" i="1" s="1"/>
  <c r="G179" i="1"/>
  <c r="F179" i="1"/>
  <c r="C179" i="1"/>
  <c r="H179" i="1" s="1"/>
  <c r="O178" i="1"/>
  <c r="N178" i="1"/>
  <c r="M178" i="1"/>
  <c r="G178" i="1"/>
  <c r="F178" i="1"/>
  <c r="J178" i="1" s="1"/>
  <c r="C178" i="1"/>
  <c r="H178" i="1" s="1"/>
  <c r="O177" i="1"/>
  <c r="N177" i="1"/>
  <c r="M177" i="1"/>
  <c r="J177" i="1"/>
  <c r="G177" i="1"/>
  <c r="F177" i="1"/>
  <c r="C177" i="1"/>
  <c r="H177" i="1" s="1"/>
  <c r="O176" i="1"/>
  <c r="N176" i="1"/>
  <c r="J176" i="1"/>
  <c r="M176" i="1" s="1"/>
  <c r="G176" i="1"/>
  <c r="F176" i="1"/>
  <c r="C176" i="1"/>
  <c r="H176" i="1" s="1"/>
  <c r="O175" i="1"/>
  <c r="N175" i="1"/>
  <c r="M175" i="1"/>
  <c r="J175" i="1"/>
  <c r="H175" i="1"/>
  <c r="G175" i="1"/>
  <c r="F175" i="1"/>
  <c r="C175" i="1"/>
  <c r="O174" i="1"/>
  <c r="N174" i="1"/>
  <c r="J174" i="1"/>
  <c r="M174" i="1" s="1"/>
  <c r="G174" i="1"/>
  <c r="F174" i="1"/>
  <c r="C174" i="1"/>
  <c r="H174" i="1" s="1"/>
  <c r="O173" i="1"/>
  <c r="N173" i="1"/>
  <c r="J173" i="1"/>
  <c r="M173" i="1" s="1"/>
  <c r="H173" i="1"/>
  <c r="G173" i="1"/>
  <c r="F173" i="1"/>
  <c r="C173" i="1"/>
  <c r="O172" i="1"/>
  <c r="N172" i="1"/>
  <c r="G172" i="1"/>
  <c r="F172" i="1"/>
  <c r="J172" i="1" s="1"/>
  <c r="M172" i="1" s="1"/>
  <c r="C172" i="1"/>
  <c r="H172" i="1" s="1"/>
  <c r="O171" i="1"/>
  <c r="N171" i="1"/>
  <c r="J171" i="1"/>
  <c r="M171" i="1" s="1"/>
  <c r="G171" i="1"/>
  <c r="F171" i="1"/>
  <c r="C171" i="1"/>
  <c r="H171" i="1" s="1"/>
  <c r="O170" i="1"/>
  <c r="N170" i="1"/>
  <c r="G170" i="1"/>
  <c r="F170" i="1"/>
  <c r="J170" i="1" s="1"/>
  <c r="M170" i="1" s="1"/>
  <c r="C170" i="1"/>
  <c r="H170" i="1" s="1"/>
  <c r="O169" i="1"/>
  <c r="N169" i="1"/>
  <c r="M169" i="1"/>
  <c r="J169" i="1"/>
  <c r="G169" i="1"/>
  <c r="F169" i="1"/>
  <c r="C169" i="1"/>
  <c r="H169" i="1" s="1"/>
  <c r="O168" i="1"/>
  <c r="N168" i="1"/>
  <c r="J168" i="1"/>
  <c r="M168" i="1" s="1"/>
  <c r="G168" i="1"/>
  <c r="F168" i="1"/>
  <c r="C168" i="1"/>
  <c r="H168" i="1" s="1"/>
  <c r="O167" i="1"/>
  <c r="N167" i="1"/>
  <c r="M167" i="1"/>
  <c r="J167" i="1"/>
  <c r="H167" i="1"/>
  <c r="G167" i="1"/>
  <c r="F167" i="1"/>
  <c r="C167" i="1"/>
  <c r="O166" i="1"/>
  <c r="N166" i="1"/>
  <c r="J166" i="1"/>
  <c r="M166" i="1" s="1"/>
  <c r="G166" i="1"/>
  <c r="F166" i="1"/>
  <c r="C166" i="1"/>
  <c r="H166" i="1" s="1"/>
  <c r="O165" i="1"/>
  <c r="N165" i="1"/>
  <c r="J165" i="1"/>
  <c r="M165" i="1" s="1"/>
  <c r="H165" i="1"/>
  <c r="G165" i="1"/>
  <c r="F165" i="1"/>
  <c r="C165" i="1"/>
  <c r="O164" i="1"/>
  <c r="N164" i="1"/>
  <c r="G164" i="1"/>
  <c r="F164" i="1"/>
  <c r="J164" i="1" s="1"/>
  <c r="M164" i="1" s="1"/>
  <c r="C164" i="1"/>
  <c r="H164" i="1" s="1"/>
  <c r="O163" i="1"/>
  <c r="N163" i="1"/>
  <c r="J163" i="1"/>
  <c r="M163" i="1" s="1"/>
  <c r="G163" i="1"/>
  <c r="F163" i="1"/>
  <c r="C163" i="1"/>
  <c r="H163" i="1" s="1"/>
  <c r="O162" i="1"/>
  <c r="N162" i="1"/>
  <c r="G162" i="1"/>
  <c r="F162" i="1"/>
  <c r="J162" i="1" s="1"/>
  <c r="M162" i="1" s="1"/>
  <c r="C162" i="1"/>
  <c r="H162" i="1" s="1"/>
  <c r="O161" i="1"/>
  <c r="N161" i="1"/>
  <c r="M161" i="1"/>
  <c r="G161" i="1"/>
  <c r="F161" i="1"/>
  <c r="J161" i="1" s="1"/>
  <c r="C161" i="1"/>
  <c r="H161" i="1" s="1"/>
  <c r="O160" i="1"/>
  <c r="N160" i="1"/>
  <c r="J160" i="1"/>
  <c r="M160" i="1" s="1"/>
  <c r="H160" i="1"/>
  <c r="G160" i="1"/>
  <c r="F160" i="1"/>
  <c r="C160" i="1"/>
  <c r="O159" i="1"/>
  <c r="N159" i="1"/>
  <c r="G159" i="1"/>
  <c r="F159" i="1"/>
  <c r="J159" i="1" s="1"/>
  <c r="M159" i="1" s="1"/>
  <c r="C159" i="1"/>
  <c r="H159" i="1" s="1"/>
  <c r="O158" i="1"/>
  <c r="N158" i="1"/>
  <c r="J158" i="1"/>
  <c r="M158" i="1" s="1"/>
  <c r="H158" i="1"/>
  <c r="G158" i="1"/>
  <c r="F158" i="1"/>
  <c r="C158" i="1"/>
  <c r="O157" i="1"/>
  <c r="N157" i="1"/>
  <c r="G157" i="1"/>
  <c r="F157" i="1"/>
  <c r="J157" i="1" s="1"/>
  <c r="M157" i="1" s="1"/>
  <c r="C157" i="1"/>
  <c r="H157" i="1" s="1"/>
  <c r="O156" i="1"/>
  <c r="N156" i="1"/>
  <c r="J156" i="1"/>
  <c r="M156" i="1" s="1"/>
  <c r="H156" i="1"/>
  <c r="G156" i="1"/>
  <c r="F156" i="1"/>
  <c r="C156" i="1"/>
  <c r="O155" i="1"/>
  <c r="N155" i="1"/>
  <c r="G155" i="1"/>
  <c r="F155" i="1"/>
  <c r="J155" i="1" s="1"/>
  <c r="M155" i="1" s="1"/>
  <c r="C155" i="1"/>
  <c r="H155" i="1" s="1"/>
  <c r="O154" i="1"/>
  <c r="N154" i="1"/>
  <c r="J154" i="1"/>
  <c r="M154" i="1" s="1"/>
  <c r="H154" i="1"/>
  <c r="G154" i="1"/>
  <c r="F154" i="1"/>
  <c r="C154" i="1"/>
  <c r="O153" i="1"/>
  <c r="N153" i="1"/>
  <c r="G153" i="1"/>
  <c r="F153" i="1"/>
  <c r="J153" i="1" s="1"/>
  <c r="M153" i="1" s="1"/>
  <c r="C153" i="1"/>
  <c r="H153" i="1" s="1"/>
  <c r="O152" i="1"/>
  <c r="N152" i="1"/>
  <c r="J152" i="1"/>
  <c r="M152" i="1" s="1"/>
  <c r="H152" i="1"/>
  <c r="G152" i="1"/>
  <c r="F152" i="1"/>
  <c r="C152" i="1"/>
  <c r="O151" i="1"/>
  <c r="N151" i="1"/>
  <c r="G151" i="1"/>
  <c r="F151" i="1"/>
  <c r="J151" i="1" s="1"/>
  <c r="M151" i="1" s="1"/>
  <c r="C151" i="1"/>
  <c r="H151" i="1" s="1"/>
  <c r="O150" i="1"/>
  <c r="N150" i="1"/>
  <c r="J150" i="1"/>
  <c r="M150" i="1" s="1"/>
  <c r="H150" i="1"/>
  <c r="G150" i="1"/>
  <c r="F150" i="1"/>
  <c r="C150" i="1"/>
  <c r="O149" i="1"/>
  <c r="N149" i="1"/>
  <c r="G149" i="1"/>
  <c r="F149" i="1"/>
  <c r="J149" i="1" s="1"/>
  <c r="M149" i="1" s="1"/>
  <c r="C149" i="1"/>
  <c r="H149" i="1" s="1"/>
  <c r="O148" i="1"/>
  <c r="N148" i="1"/>
  <c r="J148" i="1"/>
  <c r="M148" i="1" s="1"/>
  <c r="H148" i="1"/>
  <c r="G148" i="1"/>
  <c r="F148" i="1"/>
  <c r="C148" i="1"/>
  <c r="O147" i="1"/>
  <c r="N147" i="1"/>
  <c r="G147" i="1"/>
  <c r="F147" i="1"/>
  <c r="J147" i="1" s="1"/>
  <c r="M147" i="1" s="1"/>
  <c r="C147" i="1"/>
  <c r="H147" i="1" s="1"/>
  <c r="O146" i="1"/>
  <c r="N146" i="1"/>
  <c r="J146" i="1"/>
  <c r="M146" i="1" s="1"/>
  <c r="H146" i="1"/>
  <c r="G146" i="1"/>
  <c r="F146" i="1"/>
  <c r="C146" i="1"/>
  <c r="O145" i="1"/>
  <c r="N145" i="1"/>
  <c r="G145" i="1"/>
  <c r="F145" i="1"/>
  <c r="J145" i="1" s="1"/>
  <c r="M145" i="1" s="1"/>
  <c r="C145" i="1"/>
  <c r="H145" i="1" s="1"/>
  <c r="O144" i="1"/>
  <c r="N144" i="1"/>
  <c r="J144" i="1"/>
  <c r="M144" i="1" s="1"/>
  <c r="H144" i="1"/>
  <c r="G144" i="1"/>
  <c r="F144" i="1"/>
  <c r="C144" i="1"/>
  <c r="O143" i="1"/>
  <c r="N143" i="1"/>
  <c r="G143" i="1"/>
  <c r="F143" i="1"/>
  <c r="J143" i="1" s="1"/>
  <c r="M143" i="1" s="1"/>
  <c r="C143" i="1"/>
  <c r="H143" i="1" s="1"/>
  <c r="O142" i="1"/>
  <c r="N142" i="1"/>
  <c r="J142" i="1"/>
  <c r="M142" i="1" s="1"/>
  <c r="H142" i="1"/>
  <c r="G142" i="1"/>
  <c r="F142" i="1"/>
  <c r="C142" i="1"/>
  <c r="O141" i="1"/>
  <c r="N141" i="1"/>
  <c r="G141" i="1"/>
  <c r="F141" i="1"/>
  <c r="J141" i="1" s="1"/>
  <c r="M141" i="1" s="1"/>
  <c r="C141" i="1"/>
  <c r="H141" i="1" s="1"/>
  <c r="O140" i="1"/>
  <c r="N140" i="1"/>
  <c r="J140" i="1"/>
  <c r="M140" i="1" s="1"/>
  <c r="H140" i="1"/>
  <c r="G140" i="1"/>
  <c r="F140" i="1"/>
  <c r="C140" i="1"/>
  <c r="W139" i="1"/>
  <c r="O139" i="1"/>
  <c r="N139" i="1"/>
  <c r="M139" i="1"/>
  <c r="H139" i="1"/>
  <c r="G139" i="1"/>
  <c r="F139" i="1"/>
  <c r="J139" i="1" s="1"/>
  <c r="C139" i="1"/>
  <c r="W138" i="1"/>
  <c r="O138" i="1"/>
  <c r="N138" i="1"/>
  <c r="G138" i="1"/>
  <c r="F138" i="1"/>
  <c r="J138" i="1" s="1"/>
  <c r="M138" i="1" s="1"/>
  <c r="C138" i="1"/>
  <c r="H138" i="1" s="1"/>
  <c r="W137" i="1"/>
  <c r="O137" i="1"/>
  <c r="N137" i="1"/>
  <c r="J137" i="1"/>
  <c r="M137" i="1" s="1"/>
  <c r="G137" i="1"/>
  <c r="F137" i="1"/>
  <c r="C137" i="1"/>
  <c r="H137" i="1" s="1"/>
  <c r="W136" i="1"/>
  <c r="O136" i="1"/>
  <c r="N136" i="1"/>
  <c r="J136" i="1"/>
  <c r="M136" i="1" s="1"/>
  <c r="H136" i="1"/>
  <c r="G136" i="1"/>
  <c r="F136" i="1"/>
  <c r="C136" i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G134" i="1"/>
  <c r="F134" i="1"/>
  <c r="J134" i="1" s="1"/>
  <c r="M134" i="1" s="1"/>
  <c r="C134" i="1"/>
  <c r="H134" i="1" s="1"/>
  <c r="W133" i="1"/>
  <c r="O133" i="1"/>
  <c r="N133" i="1"/>
  <c r="J133" i="1"/>
  <c r="M133" i="1" s="1"/>
  <c r="G133" i="1"/>
  <c r="F133" i="1"/>
  <c r="C133" i="1"/>
  <c r="H133" i="1" s="1"/>
  <c r="W132" i="1"/>
  <c r="O132" i="1"/>
  <c r="N132" i="1"/>
  <c r="J132" i="1"/>
  <c r="M132" i="1" s="1"/>
  <c r="H132" i="1"/>
  <c r="G132" i="1"/>
  <c r="F132" i="1"/>
  <c r="C132" i="1"/>
  <c r="W131" i="1"/>
  <c r="O131" i="1"/>
  <c r="N131" i="1"/>
  <c r="M131" i="1"/>
  <c r="H131" i="1"/>
  <c r="G131" i="1"/>
  <c r="F131" i="1"/>
  <c r="J131" i="1" s="1"/>
  <c r="C131" i="1"/>
  <c r="W130" i="1"/>
  <c r="O130" i="1"/>
  <c r="N130" i="1"/>
  <c r="G130" i="1"/>
  <c r="F130" i="1"/>
  <c r="J130" i="1" s="1"/>
  <c r="M130" i="1" s="1"/>
  <c r="C130" i="1"/>
  <c r="H130" i="1" s="1"/>
  <c r="W129" i="1"/>
  <c r="O129" i="1"/>
  <c r="N129" i="1"/>
  <c r="J129" i="1"/>
  <c r="M129" i="1" s="1"/>
  <c r="G129" i="1"/>
  <c r="F129" i="1"/>
  <c r="C129" i="1"/>
  <c r="H129" i="1" s="1"/>
  <c r="W128" i="1"/>
  <c r="O128" i="1"/>
  <c r="N128" i="1"/>
  <c r="J128" i="1"/>
  <c r="M128" i="1" s="1"/>
  <c r="H128" i="1"/>
  <c r="G128" i="1"/>
  <c r="F128" i="1"/>
  <c r="C128" i="1"/>
  <c r="W127" i="1"/>
  <c r="O127" i="1"/>
  <c r="N127" i="1"/>
  <c r="M127" i="1"/>
  <c r="H127" i="1"/>
  <c r="G127" i="1"/>
  <c r="F127" i="1"/>
  <c r="J127" i="1" s="1"/>
  <c r="C127" i="1"/>
  <c r="W126" i="1"/>
  <c r="O126" i="1"/>
  <c r="N126" i="1"/>
  <c r="G126" i="1"/>
  <c r="F126" i="1"/>
  <c r="J126" i="1" s="1"/>
  <c r="M126" i="1" s="1"/>
  <c r="C126" i="1"/>
  <c r="H126" i="1" s="1"/>
  <c r="W125" i="1"/>
  <c r="O125" i="1"/>
  <c r="N125" i="1"/>
  <c r="J125" i="1"/>
  <c r="M125" i="1" s="1"/>
  <c r="G125" i="1"/>
  <c r="F125" i="1"/>
  <c r="C125" i="1"/>
  <c r="H125" i="1" s="1"/>
  <c r="W124" i="1"/>
  <c r="O124" i="1"/>
  <c r="N124" i="1"/>
  <c r="J124" i="1"/>
  <c r="M124" i="1" s="1"/>
  <c r="H124" i="1"/>
  <c r="G124" i="1"/>
  <c r="F124" i="1"/>
  <c r="C124" i="1"/>
  <c r="W123" i="1"/>
  <c r="O123" i="1"/>
  <c r="N123" i="1"/>
  <c r="M123" i="1"/>
  <c r="H123" i="1"/>
  <c r="G123" i="1"/>
  <c r="F123" i="1"/>
  <c r="J123" i="1" s="1"/>
  <c r="C123" i="1"/>
  <c r="W122" i="1"/>
  <c r="O122" i="1"/>
  <c r="N122" i="1"/>
  <c r="G122" i="1"/>
  <c r="F122" i="1"/>
  <c r="J122" i="1" s="1"/>
  <c r="M122" i="1" s="1"/>
  <c r="C122" i="1"/>
  <c r="H122" i="1" s="1"/>
  <c r="W121" i="1"/>
  <c r="O121" i="1"/>
  <c r="N121" i="1"/>
  <c r="J121" i="1"/>
  <c r="M121" i="1" s="1"/>
  <c r="G121" i="1"/>
  <c r="F121" i="1"/>
  <c r="C121" i="1"/>
  <c r="H121" i="1" s="1"/>
  <c r="W120" i="1"/>
  <c r="O120" i="1"/>
  <c r="N120" i="1"/>
  <c r="J120" i="1"/>
  <c r="M120" i="1" s="1"/>
  <c r="H120" i="1"/>
  <c r="G120" i="1"/>
  <c r="F120" i="1"/>
  <c r="C120" i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J117" i="1"/>
  <c r="M117" i="1" s="1"/>
  <c r="G117" i="1"/>
  <c r="F117" i="1"/>
  <c r="C117" i="1"/>
  <c r="H117" i="1" s="1"/>
  <c r="W116" i="1"/>
  <c r="O116" i="1"/>
  <c r="N116" i="1"/>
  <c r="J116" i="1"/>
  <c r="M116" i="1" s="1"/>
  <c r="H116" i="1"/>
  <c r="G116" i="1"/>
  <c r="F116" i="1"/>
  <c r="C116" i="1"/>
  <c r="W115" i="1"/>
  <c r="O115" i="1"/>
  <c r="N115" i="1"/>
  <c r="M115" i="1"/>
  <c r="H115" i="1"/>
  <c r="G115" i="1"/>
  <c r="F115" i="1"/>
  <c r="J115" i="1" s="1"/>
  <c r="C115" i="1"/>
  <c r="W114" i="1"/>
  <c r="O114" i="1"/>
  <c r="N114" i="1"/>
  <c r="G114" i="1"/>
  <c r="F114" i="1"/>
  <c r="J114" i="1" s="1"/>
  <c r="M114" i="1" s="1"/>
  <c r="C114" i="1"/>
  <c r="H114" i="1" s="1"/>
  <c r="W113" i="1"/>
  <c r="O113" i="1"/>
  <c r="N113" i="1"/>
  <c r="J113" i="1"/>
  <c r="M113" i="1" s="1"/>
  <c r="G113" i="1"/>
  <c r="F113" i="1"/>
  <c r="C113" i="1"/>
  <c r="H113" i="1" s="1"/>
  <c r="W112" i="1"/>
  <c r="O112" i="1"/>
  <c r="N112" i="1"/>
  <c r="J112" i="1"/>
  <c r="M112" i="1" s="1"/>
  <c r="H112" i="1"/>
  <c r="G112" i="1"/>
  <c r="F112" i="1"/>
  <c r="C112" i="1"/>
  <c r="W111" i="1"/>
  <c r="O111" i="1"/>
  <c r="N111" i="1"/>
  <c r="M111" i="1"/>
  <c r="H111" i="1"/>
  <c r="G111" i="1"/>
  <c r="F111" i="1"/>
  <c r="J111" i="1" s="1"/>
  <c r="C111" i="1"/>
  <c r="W110" i="1"/>
  <c r="O110" i="1"/>
  <c r="N110" i="1"/>
  <c r="G110" i="1"/>
  <c r="F110" i="1"/>
  <c r="J110" i="1" s="1"/>
  <c r="M110" i="1" s="1"/>
  <c r="C110" i="1"/>
  <c r="H110" i="1" s="1"/>
  <c r="W109" i="1"/>
  <c r="O109" i="1"/>
  <c r="N109" i="1"/>
  <c r="J109" i="1"/>
  <c r="M109" i="1" s="1"/>
  <c r="G109" i="1"/>
  <c r="F109" i="1"/>
  <c r="C109" i="1"/>
  <c r="H109" i="1" s="1"/>
  <c r="W108" i="1"/>
  <c r="O108" i="1"/>
  <c r="N108" i="1"/>
  <c r="J108" i="1"/>
  <c r="M108" i="1" s="1"/>
  <c r="H108" i="1"/>
  <c r="G108" i="1"/>
  <c r="F108" i="1"/>
  <c r="C108" i="1"/>
  <c r="W107" i="1"/>
  <c r="O107" i="1"/>
  <c r="N107" i="1"/>
  <c r="M107" i="1"/>
  <c r="H107" i="1"/>
  <c r="G107" i="1"/>
  <c r="F107" i="1"/>
  <c r="J107" i="1" s="1"/>
  <c r="C107" i="1"/>
  <c r="W106" i="1"/>
  <c r="O106" i="1"/>
  <c r="N106" i="1"/>
  <c r="G106" i="1"/>
  <c r="F106" i="1"/>
  <c r="J106" i="1" s="1"/>
  <c r="M106" i="1" s="1"/>
  <c r="C106" i="1"/>
  <c r="H106" i="1" s="1"/>
  <c r="W105" i="1"/>
  <c r="O105" i="1"/>
  <c r="N105" i="1"/>
  <c r="J105" i="1"/>
  <c r="M105" i="1" s="1"/>
  <c r="G105" i="1"/>
  <c r="F105" i="1"/>
  <c r="C105" i="1"/>
  <c r="H105" i="1" s="1"/>
  <c r="W104" i="1"/>
  <c r="O104" i="1"/>
  <c r="N104" i="1"/>
  <c r="J104" i="1"/>
  <c r="M104" i="1" s="1"/>
  <c r="H104" i="1"/>
  <c r="G104" i="1"/>
  <c r="F104" i="1"/>
  <c r="C104" i="1"/>
  <c r="W103" i="1"/>
  <c r="O103" i="1"/>
  <c r="N103" i="1"/>
  <c r="H103" i="1"/>
  <c r="G103" i="1"/>
  <c r="F103" i="1"/>
  <c r="J103" i="1" s="1"/>
  <c r="M103" i="1" s="1"/>
  <c r="C103" i="1"/>
  <c r="W102" i="1"/>
  <c r="O102" i="1"/>
  <c r="N102" i="1"/>
  <c r="G102" i="1"/>
  <c r="F102" i="1"/>
  <c r="J102" i="1" s="1"/>
  <c r="M102" i="1" s="1"/>
  <c r="C102" i="1"/>
  <c r="H102" i="1" s="1"/>
  <c r="W101" i="1"/>
  <c r="O101" i="1"/>
  <c r="N101" i="1"/>
  <c r="J101" i="1"/>
  <c r="M101" i="1" s="1"/>
  <c r="G101" i="1"/>
  <c r="F101" i="1"/>
  <c r="C101" i="1"/>
  <c r="H101" i="1" s="1"/>
  <c r="W100" i="1"/>
  <c r="O100" i="1"/>
  <c r="N100" i="1"/>
  <c r="J100" i="1"/>
  <c r="M100" i="1" s="1"/>
  <c r="H100" i="1"/>
  <c r="G100" i="1"/>
  <c r="F100" i="1"/>
  <c r="C100" i="1"/>
  <c r="W99" i="1"/>
  <c r="O99" i="1"/>
  <c r="N99" i="1"/>
  <c r="M99" i="1"/>
  <c r="H99" i="1"/>
  <c r="G99" i="1"/>
  <c r="F99" i="1"/>
  <c r="J99" i="1" s="1"/>
  <c r="C99" i="1"/>
  <c r="W98" i="1"/>
  <c r="O98" i="1"/>
  <c r="N98" i="1"/>
  <c r="G98" i="1"/>
  <c r="K98" i="1" s="1"/>
  <c r="P98" i="1" s="1"/>
  <c r="F98" i="1"/>
  <c r="J98" i="1" s="1"/>
  <c r="M98" i="1" s="1"/>
  <c r="C98" i="1"/>
  <c r="H98" i="1" s="1"/>
  <c r="W97" i="1"/>
  <c r="O97" i="1"/>
  <c r="N97" i="1"/>
  <c r="J97" i="1"/>
  <c r="M97" i="1" s="1"/>
  <c r="G97" i="1"/>
  <c r="F97" i="1"/>
  <c r="C97" i="1"/>
  <c r="H97" i="1" s="1"/>
  <c r="W96" i="1"/>
  <c r="O96" i="1"/>
  <c r="N96" i="1"/>
  <c r="J96" i="1"/>
  <c r="M96" i="1" s="1"/>
  <c r="H96" i="1"/>
  <c r="G96" i="1"/>
  <c r="F96" i="1"/>
  <c r="C96" i="1"/>
  <c r="W95" i="1"/>
  <c r="O95" i="1"/>
  <c r="N95" i="1"/>
  <c r="M95" i="1"/>
  <c r="H95" i="1"/>
  <c r="G95" i="1"/>
  <c r="F95" i="1"/>
  <c r="J95" i="1" s="1"/>
  <c r="C95" i="1"/>
  <c r="W94" i="1"/>
  <c r="O94" i="1"/>
  <c r="N94" i="1"/>
  <c r="M94" i="1"/>
  <c r="G94" i="1"/>
  <c r="F94" i="1"/>
  <c r="J94" i="1" s="1"/>
  <c r="C94" i="1"/>
  <c r="H94" i="1" s="1"/>
  <c r="W93" i="1"/>
  <c r="O93" i="1"/>
  <c r="N93" i="1"/>
  <c r="G93" i="1"/>
  <c r="F93" i="1"/>
  <c r="J93" i="1" s="1"/>
  <c r="M93" i="1" s="1"/>
  <c r="C93" i="1"/>
  <c r="H93" i="1" s="1"/>
  <c r="W92" i="1"/>
  <c r="O92" i="1"/>
  <c r="N92" i="1"/>
  <c r="J92" i="1"/>
  <c r="M92" i="1" s="1"/>
  <c r="G92" i="1"/>
  <c r="F92" i="1"/>
  <c r="C92" i="1"/>
  <c r="H92" i="1" s="1"/>
  <c r="W91" i="1"/>
  <c r="O91" i="1"/>
  <c r="N91" i="1"/>
  <c r="M91" i="1"/>
  <c r="H91" i="1"/>
  <c r="G91" i="1"/>
  <c r="F91" i="1"/>
  <c r="J91" i="1" s="1"/>
  <c r="C91" i="1"/>
  <c r="W90" i="1"/>
  <c r="O90" i="1"/>
  <c r="N90" i="1"/>
  <c r="G90" i="1"/>
  <c r="K90" i="1" s="1"/>
  <c r="P90" i="1" s="1"/>
  <c r="F90" i="1"/>
  <c r="J90" i="1" s="1"/>
  <c r="M90" i="1" s="1"/>
  <c r="C90" i="1"/>
  <c r="H90" i="1" s="1"/>
  <c r="W89" i="1"/>
  <c r="O89" i="1"/>
  <c r="N89" i="1"/>
  <c r="J89" i="1"/>
  <c r="M89" i="1" s="1"/>
  <c r="G89" i="1"/>
  <c r="F89" i="1"/>
  <c r="C89" i="1"/>
  <c r="H89" i="1" s="1"/>
  <c r="W88" i="1"/>
  <c r="O88" i="1"/>
  <c r="N88" i="1"/>
  <c r="J88" i="1"/>
  <c r="M88" i="1" s="1"/>
  <c r="H88" i="1"/>
  <c r="G88" i="1"/>
  <c r="F88" i="1"/>
  <c r="C88" i="1"/>
  <c r="W87" i="1"/>
  <c r="O87" i="1"/>
  <c r="N87" i="1"/>
  <c r="M87" i="1"/>
  <c r="H87" i="1"/>
  <c r="G87" i="1"/>
  <c r="F87" i="1"/>
  <c r="J87" i="1" s="1"/>
  <c r="C87" i="1"/>
  <c r="W86" i="1"/>
  <c r="O86" i="1"/>
  <c r="N86" i="1"/>
  <c r="M86" i="1"/>
  <c r="G86" i="1"/>
  <c r="F86" i="1"/>
  <c r="J86" i="1" s="1"/>
  <c r="C86" i="1"/>
  <c r="H86" i="1" s="1"/>
  <c r="W85" i="1"/>
  <c r="O85" i="1"/>
  <c r="N85" i="1"/>
  <c r="G85" i="1"/>
  <c r="F85" i="1"/>
  <c r="J85" i="1" s="1"/>
  <c r="M85" i="1" s="1"/>
  <c r="C85" i="1"/>
  <c r="H85" i="1" s="1"/>
  <c r="W84" i="1"/>
  <c r="O84" i="1"/>
  <c r="N84" i="1"/>
  <c r="J84" i="1"/>
  <c r="M84" i="1" s="1"/>
  <c r="G84" i="1"/>
  <c r="F84" i="1"/>
  <c r="C84" i="1"/>
  <c r="H84" i="1" s="1"/>
  <c r="W83" i="1"/>
  <c r="O83" i="1"/>
  <c r="N83" i="1"/>
  <c r="M83" i="1"/>
  <c r="H83" i="1"/>
  <c r="G83" i="1"/>
  <c r="F83" i="1"/>
  <c r="J83" i="1" s="1"/>
  <c r="C83" i="1"/>
  <c r="W82" i="1"/>
  <c r="O82" i="1"/>
  <c r="N82" i="1"/>
  <c r="G82" i="1"/>
  <c r="K82" i="1" s="1"/>
  <c r="P82" i="1" s="1"/>
  <c r="F82" i="1"/>
  <c r="J82" i="1" s="1"/>
  <c r="M82" i="1" s="1"/>
  <c r="C82" i="1"/>
  <c r="H82" i="1" s="1"/>
  <c r="W81" i="1"/>
  <c r="O81" i="1"/>
  <c r="N81" i="1"/>
  <c r="J81" i="1"/>
  <c r="M81" i="1" s="1"/>
  <c r="G81" i="1"/>
  <c r="F81" i="1"/>
  <c r="C81" i="1"/>
  <c r="H81" i="1" s="1"/>
  <c r="W80" i="1"/>
  <c r="O80" i="1"/>
  <c r="N80" i="1"/>
  <c r="J80" i="1"/>
  <c r="M80" i="1" s="1"/>
  <c r="H80" i="1"/>
  <c r="G80" i="1"/>
  <c r="F80" i="1"/>
  <c r="C80" i="1"/>
  <c r="W79" i="1"/>
  <c r="O79" i="1"/>
  <c r="N79" i="1"/>
  <c r="M79" i="1"/>
  <c r="H79" i="1"/>
  <c r="G79" i="1"/>
  <c r="F79" i="1"/>
  <c r="J79" i="1" s="1"/>
  <c r="C79" i="1"/>
  <c r="W78" i="1"/>
  <c r="O78" i="1"/>
  <c r="N78" i="1"/>
  <c r="M78" i="1"/>
  <c r="G78" i="1"/>
  <c r="F78" i="1"/>
  <c r="J78" i="1" s="1"/>
  <c r="C78" i="1"/>
  <c r="H78" i="1" s="1"/>
  <c r="W77" i="1"/>
  <c r="O77" i="1"/>
  <c r="N77" i="1"/>
  <c r="G77" i="1"/>
  <c r="F77" i="1"/>
  <c r="J77" i="1" s="1"/>
  <c r="M77" i="1" s="1"/>
  <c r="C77" i="1"/>
  <c r="H77" i="1" s="1"/>
  <c r="W76" i="1"/>
  <c r="O76" i="1"/>
  <c r="N76" i="1"/>
  <c r="J76" i="1"/>
  <c r="M76" i="1" s="1"/>
  <c r="G76" i="1"/>
  <c r="F76" i="1"/>
  <c r="C76" i="1"/>
  <c r="H76" i="1" s="1"/>
  <c r="W75" i="1"/>
  <c r="O75" i="1"/>
  <c r="N75" i="1"/>
  <c r="M75" i="1"/>
  <c r="H75" i="1"/>
  <c r="G75" i="1"/>
  <c r="F75" i="1"/>
  <c r="J75" i="1" s="1"/>
  <c r="C75" i="1"/>
  <c r="W74" i="1"/>
  <c r="O74" i="1"/>
  <c r="N74" i="1"/>
  <c r="G74" i="1"/>
  <c r="K74" i="1" s="1"/>
  <c r="F74" i="1"/>
  <c r="J74" i="1" s="1"/>
  <c r="M74" i="1" s="1"/>
  <c r="C74" i="1"/>
  <c r="H74" i="1" s="1"/>
  <c r="W73" i="1"/>
  <c r="O73" i="1"/>
  <c r="N73" i="1"/>
  <c r="J73" i="1"/>
  <c r="M73" i="1" s="1"/>
  <c r="G73" i="1"/>
  <c r="F73" i="1"/>
  <c r="C73" i="1"/>
  <c r="H73" i="1" s="1"/>
  <c r="W72" i="1"/>
  <c r="O72" i="1"/>
  <c r="N72" i="1"/>
  <c r="J72" i="1"/>
  <c r="M72" i="1" s="1"/>
  <c r="H72" i="1"/>
  <c r="G72" i="1"/>
  <c r="F72" i="1"/>
  <c r="C72" i="1"/>
  <c r="W71" i="1"/>
  <c r="O71" i="1"/>
  <c r="N71" i="1"/>
  <c r="M71" i="1"/>
  <c r="H71" i="1"/>
  <c r="G71" i="1"/>
  <c r="F71" i="1"/>
  <c r="J71" i="1" s="1"/>
  <c r="C71" i="1"/>
  <c r="W70" i="1"/>
  <c r="O70" i="1"/>
  <c r="N70" i="1"/>
  <c r="M70" i="1"/>
  <c r="G70" i="1"/>
  <c r="F70" i="1"/>
  <c r="J70" i="1" s="1"/>
  <c r="C70" i="1"/>
  <c r="H70" i="1" s="1"/>
  <c r="W69" i="1"/>
  <c r="O69" i="1"/>
  <c r="N69" i="1"/>
  <c r="H69" i="1"/>
  <c r="G69" i="1"/>
  <c r="F69" i="1"/>
  <c r="J69" i="1" s="1"/>
  <c r="M69" i="1" s="1"/>
  <c r="C69" i="1"/>
  <c r="W68" i="1"/>
  <c r="O68" i="1"/>
  <c r="N68" i="1"/>
  <c r="J68" i="1"/>
  <c r="M68" i="1" s="1"/>
  <c r="H68" i="1"/>
  <c r="G68" i="1"/>
  <c r="F68" i="1"/>
  <c r="C68" i="1"/>
  <c r="W67" i="1"/>
  <c r="O67" i="1"/>
  <c r="N67" i="1"/>
  <c r="H67" i="1"/>
  <c r="G67" i="1"/>
  <c r="F67" i="1"/>
  <c r="J67" i="1" s="1"/>
  <c r="M67" i="1" s="1"/>
  <c r="C67" i="1"/>
  <c r="W66" i="1"/>
  <c r="O66" i="1"/>
  <c r="N66" i="1"/>
  <c r="J66" i="1"/>
  <c r="M66" i="1" s="1"/>
  <c r="G66" i="1"/>
  <c r="K66" i="1" s="1"/>
  <c r="F66" i="1"/>
  <c r="C66" i="1"/>
  <c r="H66" i="1" s="1"/>
  <c r="W65" i="1"/>
  <c r="O65" i="1"/>
  <c r="N65" i="1"/>
  <c r="J65" i="1"/>
  <c r="M65" i="1" s="1"/>
  <c r="G65" i="1"/>
  <c r="F65" i="1"/>
  <c r="C65" i="1"/>
  <c r="H65" i="1" s="1"/>
  <c r="W64" i="1"/>
  <c r="O64" i="1"/>
  <c r="N64" i="1"/>
  <c r="M64" i="1"/>
  <c r="J64" i="1"/>
  <c r="H64" i="1"/>
  <c r="G64" i="1"/>
  <c r="F64" i="1"/>
  <c r="C64" i="1"/>
  <c r="W63" i="1"/>
  <c r="O63" i="1"/>
  <c r="N63" i="1"/>
  <c r="H63" i="1"/>
  <c r="G63" i="1"/>
  <c r="F63" i="1"/>
  <c r="J63" i="1" s="1"/>
  <c r="M63" i="1" s="1"/>
  <c r="C63" i="1"/>
  <c r="W62" i="1"/>
  <c r="O62" i="1"/>
  <c r="N62" i="1"/>
  <c r="G62" i="1"/>
  <c r="K62" i="1" s="1"/>
  <c r="F62" i="1"/>
  <c r="J62" i="1" s="1"/>
  <c r="M62" i="1" s="1"/>
  <c r="C62" i="1"/>
  <c r="H62" i="1" s="1"/>
  <c r="W61" i="1"/>
  <c r="O61" i="1"/>
  <c r="N61" i="1"/>
  <c r="J61" i="1"/>
  <c r="M61" i="1" s="1"/>
  <c r="H61" i="1"/>
  <c r="G61" i="1"/>
  <c r="F61" i="1"/>
  <c r="C61" i="1"/>
  <c r="W60" i="1"/>
  <c r="O60" i="1"/>
  <c r="N60" i="1"/>
  <c r="J60" i="1"/>
  <c r="M60" i="1" s="1"/>
  <c r="G60" i="1"/>
  <c r="F60" i="1"/>
  <c r="C60" i="1"/>
  <c r="H60" i="1" s="1"/>
  <c r="W59" i="1"/>
  <c r="O59" i="1"/>
  <c r="N59" i="1"/>
  <c r="H59" i="1"/>
  <c r="G59" i="1"/>
  <c r="K59" i="1" s="1"/>
  <c r="P59" i="1" s="1"/>
  <c r="F59" i="1"/>
  <c r="J59" i="1" s="1"/>
  <c r="M59" i="1" s="1"/>
  <c r="C59" i="1"/>
  <c r="W58" i="1"/>
  <c r="O58" i="1"/>
  <c r="N58" i="1"/>
  <c r="G58" i="1"/>
  <c r="F58" i="1"/>
  <c r="J58" i="1" s="1"/>
  <c r="M58" i="1" s="1"/>
  <c r="C58" i="1"/>
  <c r="H58" i="1" s="1"/>
  <c r="W57" i="1"/>
  <c r="O57" i="1"/>
  <c r="N57" i="1"/>
  <c r="J57" i="1"/>
  <c r="M57" i="1" s="1"/>
  <c r="H57" i="1"/>
  <c r="G57" i="1"/>
  <c r="F57" i="1"/>
  <c r="C57" i="1"/>
  <c r="W56" i="1"/>
  <c r="O56" i="1"/>
  <c r="N56" i="1"/>
  <c r="J56" i="1"/>
  <c r="M56" i="1" s="1"/>
  <c r="H56" i="1"/>
  <c r="G56" i="1"/>
  <c r="F56" i="1"/>
  <c r="C56" i="1"/>
  <c r="W55" i="1"/>
  <c r="O55" i="1"/>
  <c r="N55" i="1"/>
  <c r="H55" i="1"/>
  <c r="G55" i="1"/>
  <c r="K55" i="1" s="1"/>
  <c r="P55" i="1" s="1"/>
  <c r="F55" i="1"/>
  <c r="J55" i="1" s="1"/>
  <c r="M55" i="1" s="1"/>
  <c r="C55" i="1"/>
  <c r="W54" i="1"/>
  <c r="O54" i="1"/>
  <c r="N54" i="1"/>
  <c r="J54" i="1"/>
  <c r="M54" i="1" s="1"/>
  <c r="G54" i="1"/>
  <c r="F54" i="1"/>
  <c r="C54" i="1"/>
  <c r="H54" i="1" s="1"/>
  <c r="W53" i="1"/>
  <c r="O53" i="1"/>
  <c r="N53" i="1"/>
  <c r="H53" i="1"/>
  <c r="G53" i="1"/>
  <c r="F53" i="1"/>
  <c r="J53" i="1" s="1"/>
  <c r="M53" i="1" s="1"/>
  <c r="C53" i="1"/>
  <c r="W52" i="1"/>
  <c r="O52" i="1"/>
  <c r="N52" i="1"/>
  <c r="J52" i="1"/>
  <c r="M52" i="1" s="1"/>
  <c r="H52" i="1"/>
  <c r="G52" i="1"/>
  <c r="F52" i="1"/>
  <c r="C52" i="1"/>
  <c r="W51" i="1"/>
  <c r="O51" i="1"/>
  <c r="N51" i="1"/>
  <c r="H51" i="1"/>
  <c r="G51" i="1"/>
  <c r="F51" i="1"/>
  <c r="J51" i="1" s="1"/>
  <c r="M51" i="1" s="1"/>
  <c r="C51" i="1"/>
  <c r="W50" i="1"/>
  <c r="O50" i="1"/>
  <c r="N50" i="1"/>
  <c r="J50" i="1"/>
  <c r="M50" i="1" s="1"/>
  <c r="G50" i="1"/>
  <c r="K50" i="1" s="1"/>
  <c r="F50" i="1"/>
  <c r="C50" i="1"/>
  <c r="H50" i="1" s="1"/>
  <c r="W49" i="1"/>
  <c r="O49" i="1"/>
  <c r="N49" i="1"/>
  <c r="J49" i="1"/>
  <c r="M49" i="1" s="1"/>
  <c r="G49" i="1"/>
  <c r="F49" i="1"/>
  <c r="C49" i="1"/>
  <c r="H49" i="1" s="1"/>
  <c r="W48" i="1"/>
  <c r="O48" i="1"/>
  <c r="N48" i="1"/>
  <c r="M48" i="1"/>
  <c r="J48" i="1"/>
  <c r="H48" i="1"/>
  <c r="G48" i="1"/>
  <c r="F48" i="1"/>
  <c r="C48" i="1"/>
  <c r="W47" i="1"/>
  <c r="O47" i="1"/>
  <c r="N47" i="1"/>
  <c r="H47" i="1"/>
  <c r="G47" i="1"/>
  <c r="F47" i="1"/>
  <c r="J47" i="1" s="1"/>
  <c r="M47" i="1" s="1"/>
  <c r="C47" i="1"/>
  <c r="W46" i="1"/>
  <c r="O46" i="1"/>
  <c r="N46" i="1"/>
  <c r="G46" i="1"/>
  <c r="K46" i="1" s="1"/>
  <c r="F46" i="1"/>
  <c r="J46" i="1" s="1"/>
  <c r="M46" i="1" s="1"/>
  <c r="C46" i="1"/>
  <c r="H46" i="1" s="1"/>
  <c r="W45" i="1"/>
  <c r="O45" i="1"/>
  <c r="N45" i="1"/>
  <c r="J45" i="1"/>
  <c r="M45" i="1" s="1"/>
  <c r="H45" i="1"/>
  <c r="G45" i="1"/>
  <c r="F45" i="1"/>
  <c r="C45" i="1"/>
  <c r="W44" i="1"/>
  <c r="O44" i="1"/>
  <c r="N44" i="1"/>
  <c r="J44" i="1"/>
  <c r="M44" i="1" s="1"/>
  <c r="G44" i="1"/>
  <c r="F44" i="1"/>
  <c r="C44" i="1"/>
  <c r="H44" i="1" s="1"/>
  <c r="W43" i="1"/>
  <c r="O43" i="1"/>
  <c r="N43" i="1"/>
  <c r="H43" i="1"/>
  <c r="G43" i="1"/>
  <c r="K43" i="1" s="1"/>
  <c r="P43" i="1" s="1"/>
  <c r="F43" i="1"/>
  <c r="J43" i="1" s="1"/>
  <c r="M43" i="1" s="1"/>
  <c r="C43" i="1"/>
  <c r="W42" i="1"/>
  <c r="O42" i="1"/>
  <c r="N42" i="1"/>
  <c r="H42" i="1"/>
  <c r="G42" i="1"/>
  <c r="F42" i="1"/>
  <c r="J42" i="1" s="1"/>
  <c r="M42" i="1" s="1"/>
  <c r="C42" i="1"/>
  <c r="W41" i="1"/>
  <c r="O41" i="1"/>
  <c r="N41" i="1"/>
  <c r="J41" i="1"/>
  <c r="M41" i="1" s="1"/>
  <c r="G41" i="1"/>
  <c r="F41" i="1"/>
  <c r="C41" i="1"/>
  <c r="H41" i="1" s="1"/>
  <c r="W40" i="1"/>
  <c r="O40" i="1"/>
  <c r="N40" i="1"/>
  <c r="J40" i="1"/>
  <c r="M40" i="1" s="1"/>
  <c r="H40" i="1"/>
  <c r="G40" i="1"/>
  <c r="F40" i="1"/>
  <c r="C40" i="1"/>
  <c r="W39" i="1"/>
  <c r="O39" i="1"/>
  <c r="N39" i="1"/>
  <c r="M39" i="1"/>
  <c r="J39" i="1"/>
  <c r="H39" i="1"/>
  <c r="G39" i="1"/>
  <c r="K39" i="1" s="1"/>
  <c r="P39" i="1" s="1"/>
  <c r="F39" i="1"/>
  <c r="C39" i="1"/>
  <c r="W38" i="1"/>
  <c r="O38" i="1"/>
  <c r="N38" i="1"/>
  <c r="H38" i="1"/>
  <c r="G38" i="1"/>
  <c r="F38" i="1"/>
  <c r="J38" i="1" s="1"/>
  <c r="M38" i="1" s="1"/>
  <c r="C38" i="1"/>
  <c r="W37" i="1"/>
  <c r="O37" i="1"/>
  <c r="N37" i="1"/>
  <c r="J37" i="1"/>
  <c r="M37" i="1" s="1"/>
  <c r="G37" i="1"/>
  <c r="F37" i="1"/>
  <c r="C37" i="1"/>
  <c r="H37" i="1" s="1"/>
  <c r="W36" i="1"/>
  <c r="O36" i="1"/>
  <c r="N36" i="1"/>
  <c r="J36" i="1"/>
  <c r="M36" i="1" s="1"/>
  <c r="H36" i="1"/>
  <c r="G36" i="1"/>
  <c r="F36" i="1"/>
  <c r="C36" i="1"/>
  <c r="W35" i="1"/>
  <c r="O35" i="1"/>
  <c r="N35" i="1"/>
  <c r="M35" i="1"/>
  <c r="J35" i="1"/>
  <c r="H35" i="1"/>
  <c r="G35" i="1"/>
  <c r="K35" i="1" s="1"/>
  <c r="P35" i="1" s="1"/>
  <c r="F35" i="1"/>
  <c r="C35" i="1"/>
  <c r="W34" i="1"/>
  <c r="O34" i="1"/>
  <c r="N34" i="1"/>
  <c r="H34" i="1"/>
  <c r="G34" i="1"/>
  <c r="F34" i="1"/>
  <c r="J34" i="1" s="1"/>
  <c r="M34" i="1" s="1"/>
  <c r="C34" i="1"/>
  <c r="W33" i="1"/>
  <c r="O33" i="1"/>
  <c r="N33" i="1"/>
  <c r="J33" i="1"/>
  <c r="M33" i="1" s="1"/>
  <c r="G33" i="1"/>
  <c r="F33" i="1"/>
  <c r="C33" i="1"/>
  <c r="H33" i="1" s="1"/>
  <c r="W32" i="1"/>
  <c r="O32" i="1"/>
  <c r="N32" i="1"/>
  <c r="J32" i="1"/>
  <c r="M32" i="1" s="1"/>
  <c r="H32" i="1"/>
  <c r="G32" i="1"/>
  <c r="F32" i="1"/>
  <c r="C32" i="1"/>
  <c r="Z31" i="1"/>
  <c r="W31" i="1"/>
  <c r="O31" i="1"/>
  <c r="N31" i="1"/>
  <c r="J31" i="1"/>
  <c r="M31" i="1" s="1"/>
  <c r="H31" i="1"/>
  <c r="G31" i="1"/>
  <c r="F31" i="1"/>
  <c r="C31" i="1"/>
  <c r="Z30" i="1"/>
  <c r="W30" i="1"/>
  <c r="O30" i="1"/>
  <c r="N30" i="1"/>
  <c r="J30" i="1"/>
  <c r="M30" i="1" s="1"/>
  <c r="H30" i="1"/>
  <c r="G30" i="1"/>
  <c r="F30" i="1"/>
  <c r="C30" i="1"/>
  <c r="Z29" i="1"/>
  <c r="W29" i="1"/>
  <c r="O29" i="1"/>
  <c r="N29" i="1"/>
  <c r="J29" i="1"/>
  <c r="M29" i="1" s="1"/>
  <c r="H29" i="1"/>
  <c r="G29" i="1"/>
  <c r="F29" i="1"/>
  <c r="C29" i="1"/>
  <c r="Z28" i="1"/>
  <c r="W28" i="1"/>
  <c r="O28" i="1"/>
  <c r="N28" i="1"/>
  <c r="J28" i="1"/>
  <c r="M28" i="1" s="1"/>
  <c r="H28" i="1"/>
  <c r="G28" i="1"/>
  <c r="F28" i="1"/>
  <c r="C28" i="1"/>
  <c r="Z27" i="1"/>
  <c r="W27" i="1"/>
  <c r="O27" i="1"/>
  <c r="N27" i="1"/>
  <c r="J27" i="1"/>
  <c r="M27" i="1" s="1"/>
  <c r="H27" i="1"/>
  <c r="G27" i="1"/>
  <c r="F27" i="1"/>
  <c r="C27" i="1"/>
  <c r="Z26" i="1"/>
  <c r="W26" i="1"/>
  <c r="O26" i="1"/>
  <c r="N26" i="1"/>
  <c r="J26" i="1"/>
  <c r="M26" i="1" s="1"/>
  <c r="H26" i="1"/>
  <c r="G26" i="1"/>
  <c r="F26" i="1"/>
  <c r="C26" i="1"/>
  <c r="Z25" i="1"/>
  <c r="W25" i="1"/>
  <c r="O25" i="1"/>
  <c r="N25" i="1"/>
  <c r="J25" i="1"/>
  <c r="M25" i="1" s="1"/>
  <c r="H25" i="1"/>
  <c r="G25" i="1"/>
  <c r="F25" i="1"/>
  <c r="C25" i="1"/>
  <c r="Z24" i="1"/>
  <c r="W24" i="1"/>
  <c r="O24" i="1"/>
  <c r="N24" i="1"/>
  <c r="J24" i="1"/>
  <c r="M24" i="1" s="1"/>
  <c r="H24" i="1"/>
  <c r="G24" i="1"/>
  <c r="F24" i="1"/>
  <c r="C24" i="1"/>
  <c r="Z23" i="1"/>
  <c r="W23" i="1"/>
  <c r="O23" i="1"/>
  <c r="N23" i="1"/>
  <c r="J23" i="1"/>
  <c r="M23" i="1" s="1"/>
  <c r="H23" i="1"/>
  <c r="G23" i="1"/>
  <c r="F23" i="1"/>
  <c r="C23" i="1"/>
  <c r="Z22" i="1"/>
  <c r="W22" i="1"/>
  <c r="O22" i="1"/>
  <c r="N22" i="1"/>
  <c r="J22" i="1"/>
  <c r="M22" i="1" s="1"/>
  <c r="H22" i="1"/>
  <c r="G22" i="1"/>
  <c r="F22" i="1"/>
  <c r="C22" i="1"/>
  <c r="Z21" i="1"/>
  <c r="W21" i="1"/>
  <c r="O21" i="1"/>
  <c r="N21" i="1"/>
  <c r="J21" i="1"/>
  <c r="M21" i="1" s="1"/>
  <c r="H21" i="1"/>
  <c r="G21" i="1"/>
  <c r="F21" i="1"/>
  <c r="C21" i="1"/>
  <c r="Z20" i="1"/>
  <c r="W20" i="1"/>
  <c r="O20" i="1"/>
  <c r="N20" i="1"/>
  <c r="J20" i="1"/>
  <c r="M20" i="1" s="1"/>
  <c r="H20" i="1"/>
  <c r="G20" i="1"/>
  <c r="F20" i="1"/>
  <c r="C20" i="1"/>
  <c r="Z19" i="1"/>
  <c r="W19" i="1"/>
  <c r="O19" i="1"/>
  <c r="N19" i="1"/>
  <c r="J19" i="1"/>
  <c r="M19" i="1" s="1"/>
  <c r="H19" i="1"/>
  <c r="G19" i="1"/>
  <c r="F19" i="1"/>
  <c r="C19" i="1"/>
  <c r="Z18" i="1"/>
  <c r="W18" i="1"/>
  <c r="O18" i="1"/>
  <c r="N18" i="1"/>
  <c r="J18" i="1"/>
  <c r="M18" i="1" s="1"/>
  <c r="H18" i="1"/>
  <c r="G18" i="1"/>
  <c r="F18" i="1"/>
  <c r="C18" i="1"/>
  <c r="Z17" i="1"/>
  <c r="W17" i="1"/>
  <c r="O17" i="1"/>
  <c r="N17" i="1"/>
  <c r="J17" i="1"/>
  <c r="M17" i="1" s="1"/>
  <c r="H17" i="1"/>
  <c r="G17" i="1"/>
  <c r="F17" i="1"/>
  <c r="C17" i="1"/>
  <c r="Z16" i="1"/>
  <c r="W16" i="1"/>
  <c r="O16" i="1"/>
  <c r="N16" i="1"/>
  <c r="J16" i="1"/>
  <c r="M16" i="1" s="1"/>
  <c r="H16" i="1"/>
  <c r="G16" i="1"/>
  <c r="F16" i="1"/>
  <c r="C16" i="1"/>
  <c r="Z15" i="1"/>
  <c r="W15" i="1"/>
  <c r="O15" i="1"/>
  <c r="N15" i="1"/>
  <c r="J15" i="1"/>
  <c r="M15" i="1" s="1"/>
  <c r="H15" i="1"/>
  <c r="G15" i="1"/>
  <c r="F15" i="1"/>
  <c r="C15" i="1"/>
  <c r="Z14" i="1"/>
  <c r="W14" i="1"/>
  <c r="O14" i="1"/>
  <c r="N14" i="1"/>
  <c r="J14" i="1"/>
  <c r="M14" i="1" s="1"/>
  <c r="H14" i="1"/>
  <c r="G14" i="1"/>
  <c r="F14" i="1"/>
  <c r="C14" i="1"/>
  <c r="Z13" i="1"/>
  <c r="W13" i="1"/>
  <c r="O13" i="1"/>
  <c r="N13" i="1"/>
  <c r="J13" i="1"/>
  <c r="M13" i="1" s="1"/>
  <c r="H13" i="1"/>
  <c r="G13" i="1"/>
  <c r="F13" i="1"/>
  <c r="C13" i="1"/>
  <c r="Z12" i="1"/>
  <c r="W12" i="1"/>
  <c r="O12" i="1"/>
  <c r="N12" i="1"/>
  <c r="J12" i="1"/>
  <c r="M12" i="1" s="1"/>
  <c r="G12" i="1"/>
  <c r="F12" i="1"/>
  <c r="C12" i="1"/>
  <c r="H12" i="1" s="1"/>
  <c r="Z11" i="1"/>
  <c r="W11" i="1"/>
  <c r="O11" i="1"/>
  <c r="N11" i="1"/>
  <c r="H11" i="1"/>
  <c r="G11" i="1"/>
  <c r="F11" i="1"/>
  <c r="J11" i="1" s="1"/>
  <c r="M11" i="1" s="1"/>
  <c r="C11" i="1"/>
  <c r="Z10" i="1"/>
  <c r="W10" i="1"/>
  <c r="O10" i="1"/>
  <c r="N10" i="1"/>
  <c r="H10" i="1"/>
  <c r="G10" i="1"/>
  <c r="F10" i="1"/>
  <c r="J10" i="1" s="1"/>
  <c r="M10" i="1" s="1"/>
  <c r="C10" i="1"/>
  <c r="Z9" i="1"/>
  <c r="W9" i="1"/>
  <c r="O9" i="1"/>
  <c r="N9" i="1"/>
  <c r="H9" i="1"/>
  <c r="G9" i="1"/>
  <c r="F9" i="1"/>
  <c r="J9" i="1" s="1"/>
  <c r="M9" i="1" s="1"/>
  <c r="C9" i="1"/>
  <c r="Z8" i="1"/>
  <c r="W8" i="1"/>
  <c r="O8" i="1"/>
  <c r="N8" i="1"/>
  <c r="H8" i="1"/>
  <c r="G8" i="1"/>
  <c r="F8" i="1"/>
  <c r="J8" i="1" s="1"/>
  <c r="M8" i="1" s="1"/>
  <c r="C8" i="1"/>
  <c r="AC7" i="1"/>
  <c r="AC11" i="1" s="1"/>
  <c r="AC12" i="1" s="1"/>
  <c r="Z7" i="1"/>
  <c r="W7" i="1"/>
  <c r="O7" i="1"/>
  <c r="N7" i="1"/>
  <c r="M7" i="1"/>
  <c r="J7" i="1"/>
  <c r="H7" i="1"/>
  <c r="G7" i="1"/>
  <c r="K7" i="1" s="1"/>
  <c r="P7" i="1" s="1"/>
  <c r="F7" i="1"/>
  <c r="C7" i="1"/>
  <c r="Z6" i="1"/>
  <c r="W6" i="1"/>
  <c r="O6" i="1"/>
  <c r="N6" i="1"/>
  <c r="M6" i="1"/>
  <c r="J6" i="1"/>
  <c r="H6" i="1"/>
  <c r="G6" i="1"/>
  <c r="K6" i="1" s="1"/>
  <c r="P6" i="1" s="1"/>
  <c r="F6" i="1"/>
  <c r="C6" i="1"/>
  <c r="Z5" i="1"/>
  <c r="W5" i="1"/>
  <c r="O5" i="1"/>
  <c r="N5" i="1"/>
  <c r="M5" i="1"/>
  <c r="J5" i="1"/>
  <c r="H5" i="1"/>
  <c r="G5" i="1"/>
  <c r="K5" i="1" s="1"/>
  <c r="P5" i="1" s="1"/>
  <c r="F5" i="1"/>
  <c r="C5" i="1"/>
  <c r="Z4" i="1"/>
  <c r="W4" i="1"/>
  <c r="O4" i="1"/>
  <c r="N4" i="1"/>
  <c r="M4" i="1"/>
  <c r="J4" i="1"/>
  <c r="H4" i="1"/>
  <c r="G4" i="1"/>
  <c r="K4" i="1" s="1"/>
  <c r="P4" i="1" s="1"/>
  <c r="F4" i="1"/>
  <c r="C4" i="1"/>
  <c r="S2" i="1"/>
  <c r="N2" i="1"/>
  <c r="K164" i="1" s="1"/>
  <c r="P164" i="1" s="1"/>
  <c r="P46" i="1" l="1"/>
  <c r="P62" i="1"/>
  <c r="P74" i="1"/>
  <c r="P50" i="1"/>
  <c r="P66" i="1"/>
  <c r="K8" i="1"/>
  <c r="P8" i="1" s="1"/>
  <c r="K9" i="1"/>
  <c r="P9" i="1" s="1"/>
  <c r="K10" i="1"/>
  <c r="P10" i="1" s="1"/>
  <c r="K11" i="1"/>
  <c r="P11" i="1" s="1"/>
  <c r="K67" i="1"/>
  <c r="P67" i="1" s="1"/>
  <c r="K71" i="1"/>
  <c r="P71" i="1" s="1"/>
  <c r="K78" i="1"/>
  <c r="P78" i="1" s="1"/>
  <c r="K80" i="1"/>
  <c r="P80" i="1" s="1"/>
  <c r="K87" i="1"/>
  <c r="P87" i="1" s="1"/>
  <c r="K93" i="1"/>
  <c r="P93" i="1" s="1"/>
  <c r="K108" i="1"/>
  <c r="P108" i="1" s="1"/>
  <c r="K110" i="1"/>
  <c r="P110" i="1" s="1"/>
  <c r="K124" i="1"/>
  <c r="P124" i="1" s="1"/>
  <c r="K145" i="1"/>
  <c r="P145" i="1" s="1"/>
  <c r="K160" i="1"/>
  <c r="P160" i="1" s="1"/>
  <c r="K193" i="1"/>
  <c r="P193" i="1" s="1"/>
  <c r="K33" i="1"/>
  <c r="P33" i="1" s="1"/>
  <c r="K37" i="1"/>
  <c r="P37" i="1" s="1"/>
  <c r="K41" i="1"/>
  <c r="P41" i="1" s="1"/>
  <c r="K47" i="1"/>
  <c r="P47" i="1" s="1"/>
  <c r="K48" i="1"/>
  <c r="P48" i="1" s="1"/>
  <c r="K49" i="1"/>
  <c r="P49" i="1" s="1"/>
  <c r="K54" i="1"/>
  <c r="P54" i="1" s="1"/>
  <c r="K63" i="1"/>
  <c r="P63" i="1" s="1"/>
  <c r="K64" i="1"/>
  <c r="P64" i="1" s="1"/>
  <c r="K65" i="1"/>
  <c r="P65" i="1" s="1"/>
  <c r="K103" i="1"/>
  <c r="P103" i="1" s="1"/>
  <c r="K104" i="1"/>
  <c r="P104" i="1" s="1"/>
  <c r="K106" i="1"/>
  <c r="P106" i="1" s="1"/>
  <c r="K119" i="1"/>
  <c r="P119" i="1" s="1"/>
  <c r="K120" i="1"/>
  <c r="P120" i="1" s="1"/>
  <c r="K122" i="1"/>
  <c r="P122" i="1" s="1"/>
  <c r="K135" i="1"/>
  <c r="P135" i="1" s="1"/>
  <c r="K136" i="1"/>
  <c r="P136" i="1" s="1"/>
  <c r="K138" i="1"/>
  <c r="P138" i="1" s="1"/>
  <c r="K162" i="1"/>
  <c r="P162" i="1" s="1"/>
  <c r="K167" i="1"/>
  <c r="P167" i="1" s="1"/>
  <c r="K168" i="1"/>
  <c r="P168" i="1" s="1"/>
  <c r="K231" i="1"/>
  <c r="P231" i="1" s="1"/>
  <c r="K247" i="1"/>
  <c r="P247" i="1" s="1"/>
  <c r="K263" i="1"/>
  <c r="P263" i="1" s="1"/>
  <c r="K52" i="1"/>
  <c r="P52" i="1" s="1"/>
  <c r="K70" i="1"/>
  <c r="P70" i="1" s="1"/>
  <c r="K79" i="1"/>
  <c r="P79" i="1" s="1"/>
  <c r="K85" i="1"/>
  <c r="P85" i="1" s="1"/>
  <c r="K95" i="1"/>
  <c r="P95" i="1" s="1"/>
  <c r="K107" i="1"/>
  <c r="P107" i="1" s="1"/>
  <c r="K123" i="1"/>
  <c r="P123" i="1" s="1"/>
  <c r="K140" i="1"/>
  <c r="P140" i="1" s="1"/>
  <c r="K141" i="1"/>
  <c r="P141" i="1" s="1"/>
  <c r="K149" i="1"/>
  <c r="P149" i="1" s="1"/>
  <c r="K156" i="1"/>
  <c r="P156" i="1" s="1"/>
  <c r="K157" i="1"/>
  <c r="P157" i="1" s="1"/>
  <c r="K180" i="1"/>
  <c r="P180" i="1" s="1"/>
  <c r="K186" i="1"/>
  <c r="P186" i="1" s="1"/>
  <c r="K190" i="1"/>
  <c r="P190" i="1" s="1"/>
  <c r="K194" i="1"/>
  <c r="P194" i="1" s="1"/>
  <c r="L193" i="3"/>
  <c r="K12" i="1"/>
  <c r="P12" i="1" s="1"/>
  <c r="K13" i="1"/>
  <c r="P13" i="1" s="1"/>
  <c r="K16" i="1"/>
  <c r="P16" i="1" s="1"/>
  <c r="K18" i="1"/>
  <c r="P18" i="1" s="1"/>
  <c r="K19" i="1"/>
  <c r="P19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6" i="1"/>
  <c r="P36" i="1" s="1"/>
  <c r="K40" i="1"/>
  <c r="P40" i="1" s="1"/>
  <c r="K44" i="1"/>
  <c r="P44" i="1" s="1"/>
  <c r="K45" i="1"/>
  <c r="P45" i="1" s="1"/>
  <c r="K60" i="1"/>
  <c r="P60" i="1" s="1"/>
  <c r="K61" i="1"/>
  <c r="P61" i="1" s="1"/>
  <c r="K73" i="1"/>
  <c r="P73" i="1" s="1"/>
  <c r="K75" i="1"/>
  <c r="P75" i="1" s="1"/>
  <c r="K76" i="1"/>
  <c r="P76" i="1" s="1"/>
  <c r="K81" i="1"/>
  <c r="P81" i="1" s="1"/>
  <c r="K83" i="1"/>
  <c r="P83" i="1" s="1"/>
  <c r="K84" i="1"/>
  <c r="P84" i="1" s="1"/>
  <c r="K89" i="1"/>
  <c r="P89" i="1" s="1"/>
  <c r="K91" i="1"/>
  <c r="P91" i="1" s="1"/>
  <c r="K92" i="1"/>
  <c r="P92" i="1" s="1"/>
  <c r="K97" i="1"/>
  <c r="P97" i="1" s="1"/>
  <c r="K99" i="1"/>
  <c r="P99" i="1" s="1"/>
  <c r="K100" i="1"/>
  <c r="P100" i="1" s="1"/>
  <c r="K102" i="1"/>
  <c r="P102" i="1" s="1"/>
  <c r="K115" i="1"/>
  <c r="P115" i="1" s="1"/>
  <c r="K116" i="1"/>
  <c r="P116" i="1" s="1"/>
  <c r="K118" i="1"/>
  <c r="P118" i="1" s="1"/>
  <c r="K131" i="1"/>
  <c r="P131" i="1" s="1"/>
  <c r="K132" i="1"/>
  <c r="P132" i="1" s="1"/>
  <c r="K134" i="1"/>
  <c r="P134" i="1" s="1"/>
  <c r="K142" i="1"/>
  <c r="P142" i="1" s="1"/>
  <c r="K143" i="1"/>
  <c r="P143" i="1" s="1"/>
  <c r="K146" i="1"/>
  <c r="P146" i="1" s="1"/>
  <c r="K147" i="1"/>
  <c r="P147" i="1" s="1"/>
  <c r="K150" i="1"/>
  <c r="P150" i="1" s="1"/>
  <c r="K151" i="1"/>
  <c r="P151" i="1" s="1"/>
  <c r="K154" i="1"/>
  <c r="P154" i="1" s="1"/>
  <c r="K155" i="1"/>
  <c r="P155" i="1" s="1"/>
  <c r="K158" i="1"/>
  <c r="P158" i="1" s="1"/>
  <c r="K159" i="1"/>
  <c r="P159" i="1" s="1"/>
  <c r="K170" i="1"/>
  <c r="P170" i="1" s="1"/>
  <c r="K175" i="1"/>
  <c r="P175" i="1" s="1"/>
  <c r="K176" i="1"/>
  <c r="P176" i="1" s="1"/>
  <c r="K274" i="1"/>
  <c r="P274" i="1" s="1"/>
  <c r="K272" i="1"/>
  <c r="P272" i="1" s="1"/>
  <c r="K270" i="1"/>
  <c r="P270" i="1" s="1"/>
  <c r="K268" i="1"/>
  <c r="P268" i="1" s="1"/>
  <c r="K266" i="1"/>
  <c r="P266" i="1" s="1"/>
  <c r="K264" i="1"/>
  <c r="P264" i="1" s="1"/>
  <c r="K262" i="1"/>
  <c r="P262" i="1" s="1"/>
  <c r="K260" i="1"/>
  <c r="P260" i="1" s="1"/>
  <c r="K258" i="1"/>
  <c r="P258" i="1" s="1"/>
  <c r="K256" i="1"/>
  <c r="P256" i="1" s="1"/>
  <c r="K254" i="1"/>
  <c r="P254" i="1" s="1"/>
  <c r="K252" i="1"/>
  <c r="P252" i="1" s="1"/>
  <c r="K250" i="1"/>
  <c r="P250" i="1" s="1"/>
  <c r="K248" i="1"/>
  <c r="P248" i="1" s="1"/>
  <c r="K246" i="1"/>
  <c r="P246" i="1" s="1"/>
  <c r="K244" i="1"/>
  <c r="P244" i="1" s="1"/>
  <c r="K242" i="1"/>
  <c r="P242" i="1" s="1"/>
  <c r="K240" i="1"/>
  <c r="P240" i="1" s="1"/>
  <c r="K238" i="1"/>
  <c r="P238" i="1" s="1"/>
  <c r="K236" i="1"/>
  <c r="P236" i="1" s="1"/>
  <c r="K234" i="1"/>
  <c r="P234" i="1" s="1"/>
  <c r="K232" i="1"/>
  <c r="P232" i="1" s="1"/>
  <c r="K230" i="1"/>
  <c r="P230" i="1" s="1"/>
  <c r="K228" i="1"/>
  <c r="P228" i="1" s="1"/>
  <c r="K226" i="1"/>
  <c r="P226" i="1" s="1"/>
  <c r="I1" i="3"/>
  <c r="L194" i="3" s="1"/>
  <c r="K224" i="1"/>
  <c r="P224" i="1" s="1"/>
  <c r="K220" i="1"/>
  <c r="P220" i="1" s="1"/>
  <c r="K216" i="1"/>
  <c r="P216" i="1" s="1"/>
  <c r="K212" i="1"/>
  <c r="P212" i="1" s="1"/>
  <c r="K208" i="1"/>
  <c r="P208" i="1" s="1"/>
  <c r="K204" i="1"/>
  <c r="P204" i="1" s="1"/>
  <c r="K200" i="1"/>
  <c r="P200" i="1" s="1"/>
  <c r="K196" i="1"/>
  <c r="P196" i="1" s="1"/>
  <c r="K188" i="1"/>
  <c r="P188" i="1" s="1"/>
  <c r="K222" i="1"/>
  <c r="P222" i="1" s="1"/>
  <c r="K218" i="1"/>
  <c r="P218" i="1" s="1"/>
  <c r="K214" i="1"/>
  <c r="P214" i="1" s="1"/>
  <c r="K210" i="1"/>
  <c r="P210" i="1" s="1"/>
  <c r="K206" i="1"/>
  <c r="P206" i="1" s="1"/>
  <c r="K202" i="1"/>
  <c r="P202" i="1" s="1"/>
  <c r="K198" i="1"/>
  <c r="P198" i="1" s="1"/>
  <c r="K182" i="1"/>
  <c r="P182" i="1" s="1"/>
  <c r="K174" i="1"/>
  <c r="P174" i="1" s="1"/>
  <c r="K166" i="1"/>
  <c r="P166" i="1" s="1"/>
  <c r="K137" i="1"/>
  <c r="P137" i="1" s="1"/>
  <c r="K133" i="1"/>
  <c r="P133" i="1" s="1"/>
  <c r="K129" i="1"/>
  <c r="P129" i="1" s="1"/>
  <c r="K125" i="1"/>
  <c r="P125" i="1" s="1"/>
  <c r="K121" i="1"/>
  <c r="P121" i="1" s="1"/>
  <c r="K117" i="1"/>
  <c r="P117" i="1" s="1"/>
  <c r="K113" i="1"/>
  <c r="P113" i="1" s="1"/>
  <c r="K109" i="1"/>
  <c r="P109" i="1" s="1"/>
  <c r="K105" i="1"/>
  <c r="P105" i="1" s="1"/>
  <c r="K101" i="1"/>
  <c r="P101" i="1" s="1"/>
  <c r="K34" i="1"/>
  <c r="P34" i="1" s="1"/>
  <c r="K38" i="1"/>
  <c r="P38" i="1" s="1"/>
  <c r="K42" i="1"/>
  <c r="P42" i="1" s="1"/>
  <c r="K51" i="1"/>
  <c r="P51" i="1" s="1"/>
  <c r="K53" i="1"/>
  <c r="P53" i="1" s="1"/>
  <c r="K58" i="1"/>
  <c r="P58" i="1" s="1"/>
  <c r="K68" i="1"/>
  <c r="P68" i="1" s="1"/>
  <c r="K69" i="1"/>
  <c r="P69" i="1" s="1"/>
  <c r="K72" i="1"/>
  <c r="P72" i="1" s="1"/>
  <c r="K77" i="1"/>
  <c r="P77" i="1" s="1"/>
  <c r="K86" i="1"/>
  <c r="P86" i="1" s="1"/>
  <c r="K88" i="1"/>
  <c r="P88" i="1" s="1"/>
  <c r="K94" i="1"/>
  <c r="P94" i="1" s="1"/>
  <c r="K96" i="1"/>
  <c r="P96" i="1" s="1"/>
  <c r="K126" i="1"/>
  <c r="P126" i="1" s="1"/>
  <c r="K139" i="1"/>
  <c r="P139" i="1" s="1"/>
  <c r="K144" i="1"/>
  <c r="P144" i="1" s="1"/>
  <c r="K148" i="1"/>
  <c r="P148" i="1" s="1"/>
  <c r="K152" i="1"/>
  <c r="P152" i="1" s="1"/>
  <c r="K153" i="1"/>
  <c r="P153" i="1" s="1"/>
  <c r="K14" i="1"/>
  <c r="P14" i="1" s="1"/>
  <c r="K15" i="1"/>
  <c r="P15" i="1" s="1"/>
  <c r="K17" i="1"/>
  <c r="P17" i="1" s="1"/>
  <c r="K20" i="1"/>
  <c r="P20" i="1" s="1"/>
  <c r="K56" i="1"/>
  <c r="P56" i="1" s="1"/>
  <c r="K57" i="1"/>
  <c r="P57" i="1" s="1"/>
  <c r="K111" i="1"/>
  <c r="P111" i="1" s="1"/>
  <c r="K112" i="1"/>
  <c r="P112" i="1" s="1"/>
  <c r="K114" i="1"/>
  <c r="P114" i="1" s="1"/>
  <c r="K127" i="1"/>
  <c r="P127" i="1" s="1"/>
  <c r="K128" i="1"/>
  <c r="P128" i="1" s="1"/>
  <c r="K130" i="1"/>
  <c r="P130" i="1" s="1"/>
  <c r="K172" i="1"/>
  <c r="P172" i="1" s="1"/>
  <c r="K178" i="1"/>
  <c r="P178" i="1" s="1"/>
  <c r="K183" i="1"/>
  <c r="P183" i="1" s="1"/>
  <c r="K184" i="1"/>
  <c r="P184" i="1" s="1"/>
  <c r="K192" i="1"/>
  <c r="P192" i="1" s="1"/>
  <c r="K239" i="1"/>
  <c r="P239" i="1" s="1"/>
  <c r="K255" i="1"/>
  <c r="P255" i="1" s="1"/>
  <c r="K271" i="1"/>
  <c r="P271" i="1" s="1"/>
  <c r="K161" i="1"/>
  <c r="P161" i="1" s="1"/>
  <c r="K169" i="1"/>
  <c r="P169" i="1" s="1"/>
  <c r="K177" i="1"/>
  <c r="P177" i="1" s="1"/>
  <c r="K185" i="1"/>
  <c r="P185" i="1" s="1"/>
  <c r="K191" i="1"/>
  <c r="P191" i="1" s="1"/>
  <c r="K197" i="1"/>
  <c r="P197" i="1" s="1"/>
  <c r="K201" i="1"/>
  <c r="P201" i="1" s="1"/>
  <c r="K205" i="1"/>
  <c r="P205" i="1" s="1"/>
  <c r="K209" i="1"/>
  <c r="P209" i="1" s="1"/>
  <c r="K213" i="1"/>
  <c r="P213" i="1" s="1"/>
  <c r="K217" i="1"/>
  <c r="P217" i="1" s="1"/>
  <c r="K221" i="1"/>
  <c r="P221" i="1" s="1"/>
  <c r="K225" i="1"/>
  <c r="P225" i="1" s="1"/>
  <c r="R225" i="1"/>
  <c r="K233" i="1"/>
  <c r="P233" i="1" s="1"/>
  <c r="K241" i="1"/>
  <c r="P241" i="1" s="1"/>
  <c r="K249" i="1"/>
  <c r="P249" i="1" s="1"/>
  <c r="K257" i="1"/>
  <c r="P257" i="1" s="1"/>
  <c r="K265" i="1"/>
  <c r="P265" i="1" s="1"/>
  <c r="K273" i="1"/>
  <c r="P273" i="1" s="1"/>
  <c r="K283" i="1"/>
  <c r="P283" i="1" s="1"/>
  <c r="K291" i="1"/>
  <c r="P291" i="1" s="1"/>
  <c r="K299" i="1"/>
  <c r="P299" i="1" s="1"/>
  <c r="L14" i="3"/>
  <c r="L15" i="3"/>
  <c r="L46" i="3"/>
  <c r="L47" i="3"/>
  <c r="L85" i="3"/>
  <c r="K163" i="1"/>
  <c r="P163" i="1" s="1"/>
  <c r="K171" i="1"/>
  <c r="P171" i="1" s="1"/>
  <c r="K179" i="1"/>
  <c r="P179" i="1" s="1"/>
  <c r="K187" i="1"/>
  <c r="P187" i="1" s="1"/>
  <c r="K189" i="1"/>
  <c r="P189" i="1" s="1"/>
  <c r="K227" i="1"/>
  <c r="P227" i="1" s="1"/>
  <c r="K235" i="1"/>
  <c r="P235" i="1" s="1"/>
  <c r="K243" i="1"/>
  <c r="P243" i="1" s="1"/>
  <c r="K251" i="1"/>
  <c r="P251" i="1" s="1"/>
  <c r="K259" i="1"/>
  <c r="P259" i="1" s="1"/>
  <c r="K267" i="1"/>
  <c r="P267" i="1" s="1"/>
  <c r="K275" i="1"/>
  <c r="P275" i="1" s="1"/>
  <c r="L7" i="3"/>
  <c r="L35" i="3"/>
  <c r="L67" i="3"/>
  <c r="K165" i="1"/>
  <c r="P165" i="1" s="1"/>
  <c r="K173" i="1"/>
  <c r="P173" i="1" s="1"/>
  <c r="K181" i="1"/>
  <c r="P181" i="1" s="1"/>
  <c r="K195" i="1"/>
  <c r="P195" i="1" s="1"/>
  <c r="K199" i="1"/>
  <c r="P199" i="1" s="1"/>
  <c r="K203" i="1"/>
  <c r="P203" i="1" s="1"/>
  <c r="K207" i="1"/>
  <c r="P207" i="1" s="1"/>
  <c r="K211" i="1"/>
  <c r="P211" i="1" s="1"/>
  <c r="K215" i="1"/>
  <c r="P215" i="1" s="1"/>
  <c r="K219" i="1"/>
  <c r="P219" i="1" s="1"/>
  <c r="K223" i="1"/>
  <c r="P223" i="1" s="1"/>
  <c r="K229" i="1"/>
  <c r="P229" i="1" s="1"/>
  <c r="K237" i="1"/>
  <c r="P237" i="1" s="1"/>
  <c r="K245" i="1"/>
  <c r="P245" i="1" s="1"/>
  <c r="K253" i="1"/>
  <c r="P253" i="1" s="1"/>
  <c r="K261" i="1"/>
  <c r="P261" i="1" s="1"/>
  <c r="K269" i="1"/>
  <c r="P269" i="1" s="1"/>
  <c r="K279" i="1"/>
  <c r="P279" i="1" s="1"/>
  <c r="K287" i="1"/>
  <c r="P287" i="1" s="1"/>
  <c r="K295" i="1"/>
  <c r="P295" i="1" s="1"/>
  <c r="L2" i="3"/>
  <c r="L28" i="3"/>
  <c r="L60" i="3"/>
  <c r="K278" i="1"/>
  <c r="P278" i="1" s="1"/>
  <c r="K282" i="1"/>
  <c r="P282" i="1" s="1"/>
  <c r="K286" i="1"/>
  <c r="P286" i="1" s="1"/>
  <c r="K290" i="1"/>
  <c r="P290" i="1" s="1"/>
  <c r="K294" i="1"/>
  <c r="P294" i="1" s="1"/>
  <c r="K298" i="1"/>
  <c r="P298" i="1" s="1"/>
  <c r="K302" i="1"/>
  <c r="P302" i="1" s="1"/>
  <c r="L4" i="3"/>
  <c r="L8" i="3"/>
  <c r="L23" i="3"/>
  <c r="L33" i="3"/>
  <c r="L36" i="3"/>
  <c r="L37" i="3"/>
  <c r="L55" i="3"/>
  <c r="L65" i="3"/>
  <c r="L68" i="3"/>
  <c r="L69" i="3"/>
  <c r="L81" i="3"/>
  <c r="L175" i="3"/>
  <c r="K277" i="1"/>
  <c r="P277" i="1" s="1"/>
  <c r="K281" i="1"/>
  <c r="P281" i="1" s="1"/>
  <c r="K285" i="1"/>
  <c r="P285" i="1" s="1"/>
  <c r="K289" i="1"/>
  <c r="P289" i="1" s="1"/>
  <c r="K293" i="1"/>
  <c r="P293" i="1" s="1"/>
  <c r="K297" i="1"/>
  <c r="P297" i="1" s="1"/>
  <c r="K301" i="1"/>
  <c r="P301" i="1" s="1"/>
  <c r="L12" i="3"/>
  <c r="L19" i="3"/>
  <c r="L30" i="3"/>
  <c r="L31" i="3"/>
  <c r="L44" i="3"/>
  <c r="L51" i="3"/>
  <c r="L62" i="3"/>
  <c r="L63" i="3"/>
  <c r="L77" i="3"/>
  <c r="K276" i="1"/>
  <c r="P276" i="1" s="1"/>
  <c r="K280" i="1"/>
  <c r="P280" i="1" s="1"/>
  <c r="K284" i="1"/>
  <c r="P284" i="1" s="1"/>
  <c r="K288" i="1"/>
  <c r="P288" i="1" s="1"/>
  <c r="K292" i="1"/>
  <c r="P292" i="1" s="1"/>
  <c r="K296" i="1"/>
  <c r="P296" i="1" s="1"/>
  <c r="K300" i="1"/>
  <c r="P300" i="1" s="1"/>
  <c r="K303" i="1"/>
  <c r="P303" i="1" s="1"/>
  <c r="L3" i="3"/>
  <c r="L17" i="3"/>
  <c r="L20" i="3"/>
  <c r="L21" i="3"/>
  <c r="L39" i="3"/>
  <c r="L49" i="3"/>
  <c r="L52" i="3"/>
  <c r="L53" i="3"/>
  <c r="L71" i="3"/>
  <c r="L128" i="3"/>
  <c r="L137" i="3"/>
  <c r="L139" i="3"/>
  <c r="L144" i="3"/>
  <c r="K6" i="3"/>
  <c r="L6" i="3" s="1"/>
  <c r="K10" i="3"/>
  <c r="L10" i="3" s="1"/>
  <c r="K26" i="3"/>
  <c r="L26" i="3" s="1"/>
  <c r="K42" i="3"/>
  <c r="L42" i="3" s="1"/>
  <c r="K58" i="3"/>
  <c r="L58" i="3" s="1"/>
  <c r="K74" i="3"/>
  <c r="L74" i="3" s="1"/>
  <c r="L122" i="3"/>
  <c r="L126" i="3"/>
  <c r="L135" i="3"/>
  <c r="L140" i="3"/>
  <c r="L145" i="3"/>
  <c r="L146" i="3"/>
  <c r="L191" i="3"/>
  <c r="L11" i="3"/>
  <c r="L22" i="3"/>
  <c r="L27" i="3"/>
  <c r="L38" i="3"/>
  <c r="L43" i="3"/>
  <c r="L54" i="3"/>
  <c r="L59" i="3"/>
  <c r="L70" i="3"/>
  <c r="L75" i="3"/>
  <c r="L78" i="3"/>
  <c r="L79" i="3"/>
  <c r="L82" i="3"/>
  <c r="L83" i="3"/>
  <c r="L86" i="3"/>
  <c r="L87" i="3"/>
  <c r="L90" i="3"/>
  <c r="L91" i="3"/>
  <c r="L94" i="3"/>
  <c r="L95" i="3"/>
  <c r="L98" i="3"/>
  <c r="L99" i="3"/>
  <c r="L102" i="3"/>
  <c r="L103" i="3"/>
  <c r="L106" i="3"/>
  <c r="L107" i="3"/>
  <c r="L110" i="3"/>
  <c r="L111" i="3"/>
  <c r="L114" i="3"/>
  <c r="L115" i="3"/>
  <c r="K118" i="3"/>
  <c r="L118" i="3" s="1"/>
  <c r="L119" i="3"/>
  <c r="L123" i="3"/>
  <c r="L129" i="3"/>
  <c r="L131" i="3"/>
  <c r="L161" i="3"/>
  <c r="L162" i="3"/>
  <c r="K18" i="3"/>
  <c r="L18" i="3" s="1"/>
  <c r="K34" i="3"/>
  <c r="L34" i="3" s="1"/>
  <c r="K50" i="3"/>
  <c r="L50" i="3" s="1"/>
  <c r="K66" i="3"/>
  <c r="L66" i="3" s="1"/>
  <c r="L76" i="3"/>
  <c r="L80" i="3"/>
  <c r="L84" i="3"/>
  <c r="L88" i="3"/>
  <c r="L92" i="3"/>
  <c r="L96" i="3"/>
  <c r="L100" i="3"/>
  <c r="L104" i="3"/>
  <c r="L108" i="3"/>
  <c r="L112" i="3"/>
  <c r="L116" i="3"/>
  <c r="L120" i="3"/>
  <c r="L124" i="3"/>
  <c r="L132" i="3"/>
  <c r="L143" i="3"/>
  <c r="L159" i="3"/>
  <c r="L177" i="3"/>
  <c r="L178" i="3"/>
  <c r="K130" i="3"/>
  <c r="L130" i="3" s="1"/>
  <c r="K138" i="3"/>
  <c r="L138" i="3" s="1"/>
  <c r="L147" i="3"/>
  <c r="K149" i="3"/>
  <c r="L149" i="3" s="1"/>
  <c r="L150" i="3"/>
  <c r="L163" i="3"/>
  <c r="K165" i="3"/>
  <c r="L165" i="3" s="1"/>
  <c r="L166" i="3"/>
  <c r="L179" i="3"/>
  <c r="K181" i="3"/>
  <c r="L181" i="3" s="1"/>
  <c r="L182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K121" i="3"/>
  <c r="L121" i="3" s="1"/>
  <c r="K133" i="3"/>
  <c r="L133" i="3" s="1"/>
  <c r="K141" i="3"/>
  <c r="L141" i="3" s="1"/>
  <c r="L151" i="3"/>
  <c r="K153" i="3"/>
  <c r="L153" i="3" s="1"/>
  <c r="L154" i="3"/>
  <c r="L167" i="3"/>
  <c r="K169" i="3"/>
  <c r="L169" i="3" s="1"/>
  <c r="L170" i="3"/>
  <c r="L183" i="3"/>
  <c r="K185" i="3"/>
  <c r="L185" i="3" s="1"/>
  <c r="L186" i="3"/>
  <c r="L134" i="3"/>
  <c r="L142" i="3"/>
  <c r="L155" i="3"/>
  <c r="L157" i="3"/>
  <c r="L158" i="3"/>
  <c r="L171" i="3"/>
  <c r="L173" i="3"/>
  <c r="L174" i="3"/>
  <c r="L187" i="3"/>
  <c r="L189" i="3"/>
  <c r="L190" i="3"/>
  <c r="L192" i="3" l="1"/>
  <c r="L176" i="3"/>
  <c r="L160" i="3"/>
  <c r="L136" i="3"/>
  <c r="L188" i="3"/>
  <c r="L172" i="3"/>
  <c r="L156" i="3"/>
  <c r="L184" i="3"/>
  <c r="L168" i="3"/>
  <c r="L152" i="3"/>
  <c r="L180" i="3"/>
  <c r="L61" i="3"/>
  <c r="L45" i="3"/>
  <c r="L29" i="3"/>
  <c r="L13" i="3"/>
  <c r="L164" i="3"/>
  <c r="L72" i="3"/>
  <c r="L56" i="3"/>
  <c r="L40" i="3"/>
  <c r="L24" i="3"/>
  <c r="L148" i="3"/>
  <c r="L125" i="3"/>
  <c r="L117" i="3"/>
  <c r="L113" i="3"/>
  <c r="L109" i="3"/>
  <c r="L105" i="3"/>
  <c r="L101" i="3"/>
  <c r="L97" i="3"/>
  <c r="L93" i="3"/>
  <c r="L89" i="3"/>
  <c r="L127" i="3"/>
  <c r="L73" i="3"/>
  <c r="L48" i="3"/>
  <c r="L41" i="3"/>
  <c r="L16" i="3"/>
  <c r="L9" i="3"/>
  <c r="L5" i="3"/>
  <c r="L64" i="3"/>
  <c r="L57" i="3"/>
  <c r="L32" i="3"/>
  <c r="L25" i="3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<sst xmlns="http://schemas.openxmlformats.org/spreadsheetml/2006/main" count="40" uniqueCount="33">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</sst>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A2" zoomScale="40" zoomScaleNormal="40" workbookViewId="0">
      <selection activeCell="AG16" sqref="AG16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-0.44789000000000001</v>
      </c>
      <c r="AC3" t="s">
        <v>24</v>
      </c>
    </row>
    <row r="4" spans="1:29" x14ac:dyDescent="0.3">
      <c r="A4">
        <v>3.9146599999999997E-2</v>
      </c>
      <c r="B4">
        <v>0.91008</v>
      </c>
      <c r="C4">
        <f t="shared" ref="C4:C67" si="0">A4*B4</f>
        <v>3.5626537728E-2</v>
      </c>
      <c r="D4">
        <v>1.6299999999999999E-2</v>
      </c>
      <c r="E4">
        <v>3.3E-3</v>
      </c>
      <c r="F4">
        <f t="shared" ref="F4:F67" si="1">A4*200</f>
        <v>7.8293199999999992</v>
      </c>
      <c r="G4">
        <f t="shared" ref="G4:G67" si="2">-B4</f>
        <v>-0.91008</v>
      </c>
      <c r="H4">
        <f t="shared" ref="H4:H67" si="3">-C4*200</f>
        <v>-7.1253075456000001</v>
      </c>
      <c r="I4">
        <v>1</v>
      </c>
      <c r="J4">
        <f t="shared" ref="J4:J67" si="4">LN(F4/1000)</f>
        <v>-4.8498796182168675</v>
      </c>
      <c r="K4">
        <f t="shared" ref="K4:K67" si="5">((-G4)-$N$2)</f>
        <v>-0.31164515177521745</v>
      </c>
      <c r="L4">
        <v>1</v>
      </c>
      <c r="M4">
        <f t="shared" ref="M4:M67" si="6">-1*($S$4+($S$5*J4))</f>
        <v>0.29602563386745062</v>
      </c>
      <c r="N4">
        <f t="shared" ref="N4:N67" si="7">D4*A4</f>
        <v>6.3808957999999985E-4</v>
      </c>
      <c r="O4">
        <f t="shared" ref="O4:O67" si="8">E4*A4</f>
        <v>1.2918378E-4</v>
      </c>
      <c r="P4">
        <f t="shared" ref="P4:P67" si="9">-K4-M4-N4-O4</f>
        <v>1.4852244547766834E-2</v>
      </c>
      <c r="R4" s="2" t="s">
        <v>25</v>
      </c>
      <c r="S4">
        <v>-0.52300000000000002</v>
      </c>
      <c r="V4">
        <v>-6</v>
      </c>
      <c r="W4">
        <f t="shared" ref="W4:W35" si="10">V4*$S$5+$S$4</f>
        <v>-0.24220000000000003</v>
      </c>
      <c r="Y4">
        <v>0</v>
      </c>
      <c r="Z4">
        <f t="shared" ref="Z4:Z31" si="11">$AB$4*Y4+$AB$3</f>
        <v>-0.44789000000000001</v>
      </c>
      <c r="AB4">
        <v>12.781650000000001</v>
      </c>
      <c r="AC4" t="s">
        <v>26</v>
      </c>
    </row>
    <row r="5" spans="1:29" x14ac:dyDescent="0.3">
      <c r="A5">
        <v>9.0574100000000005E-2</v>
      </c>
      <c r="B5">
        <v>0.88249999999999995</v>
      </c>
      <c r="C5">
        <f t="shared" si="0"/>
        <v>7.9931643250000003E-2</v>
      </c>
      <c r="D5">
        <v>1.6299999999999999E-2</v>
      </c>
      <c r="E5">
        <v>3.3E-3</v>
      </c>
      <c r="F5">
        <f t="shared" si="1"/>
        <v>18.114820000000002</v>
      </c>
      <c r="G5">
        <f t="shared" si="2"/>
        <v>-0.88249999999999995</v>
      </c>
      <c r="H5">
        <f t="shared" si="3"/>
        <v>-15.986328650000001</v>
      </c>
      <c r="I5">
        <v>1</v>
      </c>
      <c r="J5">
        <f t="shared" si="4"/>
        <v>-4.0110248912011626</v>
      </c>
      <c r="K5">
        <f t="shared" si="5"/>
        <v>-0.3392251517752175</v>
      </c>
      <c r="L5">
        <v>1</v>
      </c>
      <c r="M5">
        <f t="shared" si="6"/>
        <v>0.33528403509178561</v>
      </c>
      <c r="N5">
        <f t="shared" si="7"/>
        <v>1.4763578299999999E-3</v>
      </c>
      <c r="O5">
        <f t="shared" si="8"/>
        <v>2.9889453000000001E-4</v>
      </c>
      <c r="P5">
        <f t="shared" si="9"/>
        <v>2.1658643234318889E-3</v>
      </c>
      <c r="R5" s="2" t="s">
        <v>27</v>
      </c>
      <c r="S5">
        <v>-4.6800000000000001E-2</v>
      </c>
      <c r="V5">
        <v>-5.9</v>
      </c>
      <c r="W5">
        <f t="shared" si="10"/>
        <v>-0.24687999999999999</v>
      </c>
      <c r="Y5">
        <v>0.01</v>
      </c>
      <c r="Z5">
        <f t="shared" si="11"/>
        <v>-0.32007350000000001</v>
      </c>
    </row>
    <row r="6" spans="1:29" x14ac:dyDescent="0.3">
      <c r="A6">
        <v>0.14251079999999999</v>
      </c>
      <c r="B6">
        <v>0.84340999999999999</v>
      </c>
      <c r="C6">
        <f t="shared" si="0"/>
        <v>0.12019503382799999</v>
      </c>
      <c r="D6">
        <v>1.6299999999999999E-2</v>
      </c>
      <c r="E6">
        <v>3.3E-3</v>
      </c>
      <c r="F6">
        <f t="shared" si="1"/>
        <v>28.50216</v>
      </c>
      <c r="G6">
        <f t="shared" si="2"/>
        <v>-0.84340999999999999</v>
      </c>
      <c r="H6">
        <f t="shared" si="3"/>
        <v>-24.0390067656</v>
      </c>
      <c r="I6">
        <v>1</v>
      </c>
      <c r="J6">
        <f t="shared" si="4"/>
        <v>-3.5577754051057253</v>
      </c>
      <c r="K6">
        <f t="shared" si="5"/>
        <v>-0.37831515177521746</v>
      </c>
      <c r="L6">
        <v>1</v>
      </c>
      <c r="M6">
        <f t="shared" si="6"/>
        <v>0.35649611104105206</v>
      </c>
      <c r="N6">
        <f t="shared" si="7"/>
        <v>2.3229260399999997E-3</v>
      </c>
      <c r="O6">
        <f t="shared" si="8"/>
        <v>4.7028563999999996E-4</v>
      </c>
      <c r="P6">
        <f t="shared" si="9"/>
        <v>1.9025829054165409E-2</v>
      </c>
      <c r="V6">
        <v>-5.8</v>
      </c>
      <c r="W6">
        <f t="shared" si="10"/>
        <v>-0.25156000000000001</v>
      </c>
      <c r="Y6">
        <v>0.02</v>
      </c>
      <c r="Z6">
        <f t="shared" si="11"/>
        <v>-0.19225700000000001</v>
      </c>
      <c r="AB6" t="s">
        <v>28</v>
      </c>
    </row>
    <row r="7" spans="1:29" x14ac:dyDescent="0.3">
      <c r="A7">
        <v>0.19495665000000001</v>
      </c>
      <c r="B7">
        <v>0.82643999999999995</v>
      </c>
      <c r="C7">
        <f t="shared" si="0"/>
        <v>0.16111997382599999</v>
      </c>
      <c r="D7">
        <v>1.6299999999999999E-2</v>
      </c>
      <c r="E7">
        <v>3.3E-3</v>
      </c>
      <c r="F7">
        <f t="shared" si="1"/>
        <v>38.991330000000005</v>
      </c>
      <c r="G7">
        <f t="shared" si="2"/>
        <v>-0.82643999999999995</v>
      </c>
      <c r="H7">
        <f t="shared" si="3"/>
        <v>-32.223994765199997</v>
      </c>
      <c r="I7">
        <v>1</v>
      </c>
      <c r="J7">
        <f t="shared" si="4"/>
        <v>-3.244415965258816</v>
      </c>
      <c r="K7">
        <f t="shared" si="5"/>
        <v>-0.3952851517752175</v>
      </c>
      <c r="L7">
        <v>1</v>
      </c>
      <c r="M7">
        <f t="shared" si="6"/>
        <v>0.37116133282588742</v>
      </c>
      <c r="N7">
        <f t="shared" si="7"/>
        <v>3.1777933949999997E-3</v>
      </c>
      <c r="O7">
        <f t="shared" si="8"/>
        <v>6.43356945E-4</v>
      </c>
      <c r="P7">
        <f t="shared" si="9"/>
        <v>2.0302668609330079E-2</v>
      </c>
      <c r="V7">
        <v>-5.7</v>
      </c>
      <c r="W7">
        <f t="shared" si="10"/>
        <v>-0.25624000000000002</v>
      </c>
      <c r="Y7">
        <v>0.03</v>
      </c>
      <c r="Z7">
        <f t="shared" si="11"/>
        <v>-6.4440500000000012E-2</v>
      </c>
      <c r="AB7" t="s">
        <v>29</v>
      </c>
      <c r="AC7">
        <f>-AB3/AB4</f>
        <v>3.5041641728571819E-2</v>
      </c>
    </row>
    <row r="8" spans="1:29" x14ac:dyDescent="0.3">
      <c r="A8">
        <v>0.2484209</v>
      </c>
      <c r="B8">
        <v>0.81418000000000001</v>
      </c>
      <c r="C8">
        <f t="shared" si="0"/>
        <v>0.202259328362</v>
      </c>
      <c r="D8">
        <v>1.6299999999999999E-2</v>
      </c>
      <c r="E8">
        <v>3.3E-3</v>
      </c>
      <c r="F8">
        <f t="shared" si="1"/>
        <v>49.684179999999998</v>
      </c>
      <c r="G8">
        <f t="shared" si="2"/>
        <v>-0.81418000000000001</v>
      </c>
      <c r="H8">
        <f t="shared" si="3"/>
        <v>-40.451865672400004</v>
      </c>
      <c r="I8">
        <v>1</v>
      </c>
      <c r="J8">
        <f t="shared" si="4"/>
        <v>-3.0020687064100455</v>
      </c>
      <c r="K8">
        <f t="shared" si="5"/>
        <v>-0.40754515177521744</v>
      </c>
      <c r="L8">
        <v>1</v>
      </c>
      <c r="M8">
        <f t="shared" si="6"/>
        <v>0.38250318454000987</v>
      </c>
      <c r="N8">
        <f t="shared" si="7"/>
        <v>4.0492606699999998E-3</v>
      </c>
      <c r="O8">
        <f t="shared" si="8"/>
        <v>8.1978897000000003E-4</v>
      </c>
      <c r="P8">
        <f t="shared" si="9"/>
        <v>2.0172917595207576E-2</v>
      </c>
      <c r="V8">
        <v>-5.6</v>
      </c>
      <c r="W8">
        <f t="shared" si="10"/>
        <v>-0.26092000000000004</v>
      </c>
      <c r="Y8">
        <v>0.04</v>
      </c>
      <c r="Z8">
        <f t="shared" si="11"/>
        <v>6.3375999999999988E-2</v>
      </c>
    </row>
    <row r="9" spans="1:29" x14ac:dyDescent="0.3">
      <c r="A9">
        <v>0.29933925</v>
      </c>
      <c r="B9">
        <v>0.80456000000000005</v>
      </c>
      <c r="C9">
        <f t="shared" si="0"/>
        <v>0.24083638698000001</v>
      </c>
      <c r="D9">
        <v>1.6299999999999999E-2</v>
      </c>
      <c r="E9">
        <v>3.3E-3</v>
      </c>
      <c r="F9">
        <f t="shared" si="1"/>
        <v>59.867849999999997</v>
      </c>
      <c r="G9">
        <f t="shared" si="2"/>
        <v>-0.80456000000000005</v>
      </c>
      <c r="H9">
        <f t="shared" si="3"/>
        <v>-48.167277396000003</v>
      </c>
      <c r="I9">
        <v>1</v>
      </c>
      <c r="J9">
        <f t="shared" si="4"/>
        <v>-2.8156156458305017</v>
      </c>
      <c r="K9">
        <f t="shared" si="5"/>
        <v>-0.4171651517752174</v>
      </c>
      <c r="L9">
        <v>1</v>
      </c>
      <c r="M9">
        <f t="shared" si="6"/>
        <v>0.39122918777513255</v>
      </c>
      <c r="N9">
        <f t="shared" si="7"/>
        <v>4.8792297749999996E-3</v>
      </c>
      <c r="O9">
        <f t="shared" si="8"/>
        <v>9.8781952500000009E-4</v>
      </c>
      <c r="P9">
        <f t="shared" si="9"/>
        <v>2.0068914700084855E-2</v>
      </c>
      <c r="V9">
        <v>-5.5</v>
      </c>
      <c r="W9">
        <f t="shared" si="10"/>
        <v>-0.2656</v>
      </c>
      <c r="Y9">
        <v>0.05</v>
      </c>
      <c r="Z9">
        <f t="shared" si="11"/>
        <v>0.1911925000000001</v>
      </c>
      <c r="AB9" t="s">
        <v>30</v>
      </c>
      <c r="AC9">
        <v>3.4079999999999999E-2</v>
      </c>
    </row>
    <row r="10" spans="1:29" x14ac:dyDescent="0.3">
      <c r="A10">
        <v>0.34974840000000001</v>
      </c>
      <c r="B10">
        <v>0.79691999999999996</v>
      </c>
      <c r="C10">
        <f t="shared" si="0"/>
        <v>0.27872149492800002</v>
      </c>
      <c r="D10">
        <v>1.6299999999999999E-2</v>
      </c>
      <c r="E10">
        <v>3.3E-3</v>
      </c>
      <c r="F10">
        <f t="shared" si="1"/>
        <v>69.949680000000001</v>
      </c>
      <c r="G10">
        <f t="shared" si="2"/>
        <v>-0.79691999999999996</v>
      </c>
      <c r="H10">
        <f t="shared" si="3"/>
        <v>-55.744298985600004</v>
      </c>
      <c r="I10">
        <v>1</v>
      </c>
      <c r="J10">
        <f t="shared" si="4"/>
        <v>-2.6599791525773222</v>
      </c>
      <c r="K10">
        <f t="shared" si="5"/>
        <v>-0.42480515177521749</v>
      </c>
      <c r="L10">
        <v>1</v>
      </c>
      <c r="M10">
        <f t="shared" si="6"/>
        <v>0.39851297565938132</v>
      </c>
      <c r="N10">
        <f t="shared" si="7"/>
        <v>5.70089892E-3</v>
      </c>
      <c r="O10">
        <f t="shared" si="8"/>
        <v>1.15416972E-3</v>
      </c>
      <c r="P10">
        <f t="shared" si="9"/>
        <v>1.9437107475836175E-2</v>
      </c>
      <c r="V10">
        <v>-5.4</v>
      </c>
      <c r="W10">
        <f t="shared" si="10"/>
        <v>-0.27028000000000002</v>
      </c>
      <c r="Y10">
        <v>0.06</v>
      </c>
      <c r="Z10">
        <f t="shared" si="11"/>
        <v>0.31900899999999999</v>
      </c>
    </row>
    <row r="11" spans="1:29" x14ac:dyDescent="0.3">
      <c r="A11">
        <v>0.40015754999999997</v>
      </c>
      <c r="B11">
        <v>0.79015999999999997</v>
      </c>
      <c r="C11">
        <f t="shared" si="0"/>
        <v>0.31618848970799995</v>
      </c>
      <c r="D11">
        <v>1.6299999999999999E-2</v>
      </c>
      <c r="E11">
        <v>3.3E-3</v>
      </c>
      <c r="F11">
        <f t="shared" si="1"/>
        <v>80.031509999999997</v>
      </c>
      <c r="G11">
        <f t="shared" si="2"/>
        <v>-0.79015999999999997</v>
      </c>
      <c r="H11">
        <f t="shared" si="3"/>
        <v>-63.23769794159999</v>
      </c>
      <c r="I11">
        <v>1</v>
      </c>
      <c r="J11">
        <f t="shared" si="4"/>
        <v>-2.525334846856651</v>
      </c>
      <c r="K11">
        <f t="shared" si="5"/>
        <v>-0.43156515177521748</v>
      </c>
      <c r="L11">
        <v>1</v>
      </c>
      <c r="M11">
        <f t="shared" si="6"/>
        <v>0.40481432916710874</v>
      </c>
      <c r="N11">
        <f t="shared" si="7"/>
        <v>6.5225680649999987E-3</v>
      </c>
      <c r="O11">
        <f t="shared" si="8"/>
        <v>1.3205199149999998E-3</v>
      </c>
      <c r="P11">
        <f t="shared" si="9"/>
        <v>1.8907734628108741E-2</v>
      </c>
      <c r="V11">
        <v>-5.3</v>
      </c>
      <c r="W11">
        <f t="shared" si="10"/>
        <v>-0.27495999999999998</v>
      </c>
      <c r="Y11">
        <v>7.0000000000000007E-2</v>
      </c>
      <c r="Z11">
        <f t="shared" si="11"/>
        <v>0.4468255000000001</v>
      </c>
      <c r="AB11" t="s">
        <v>31</v>
      </c>
      <c r="AC11">
        <f>AC7-AC9</f>
        <v>9.6164172857182012E-4</v>
      </c>
    </row>
    <row r="12" spans="1:29" x14ac:dyDescent="0.3">
      <c r="A12">
        <v>0.45209424999999998</v>
      </c>
      <c r="B12">
        <v>0.78383999999999998</v>
      </c>
      <c r="C12">
        <f t="shared" si="0"/>
        <v>0.35436955692</v>
      </c>
      <c r="D12">
        <v>1.6299999999999999E-2</v>
      </c>
      <c r="E12">
        <v>3.3E-3</v>
      </c>
      <c r="F12">
        <f t="shared" si="1"/>
        <v>90.418849999999992</v>
      </c>
      <c r="G12">
        <f t="shared" si="2"/>
        <v>-0.78383999999999998</v>
      </c>
      <c r="H12">
        <f t="shared" si="3"/>
        <v>-70.873911383999996</v>
      </c>
      <c r="I12">
        <v>1</v>
      </c>
      <c r="J12">
        <f t="shared" si="4"/>
        <v>-2.403302515621685</v>
      </c>
      <c r="K12">
        <f t="shared" si="5"/>
        <v>-0.43788515177521747</v>
      </c>
      <c r="L12">
        <v>1</v>
      </c>
      <c r="M12">
        <f t="shared" si="6"/>
        <v>0.41052544226890519</v>
      </c>
      <c r="N12">
        <f t="shared" si="7"/>
        <v>7.3691362749999986E-3</v>
      </c>
      <c r="O12">
        <f t="shared" si="8"/>
        <v>1.491911025E-3</v>
      </c>
      <c r="P12">
        <f t="shared" si="9"/>
        <v>1.8498662206312279E-2</v>
      </c>
      <c r="V12">
        <v>-5.2</v>
      </c>
      <c r="W12">
        <f t="shared" si="10"/>
        <v>-0.27964</v>
      </c>
      <c r="Y12">
        <v>0.08</v>
      </c>
      <c r="Z12">
        <f t="shared" si="11"/>
        <v>0.57464199999999999</v>
      </c>
      <c r="AC12">
        <f>AC11*3</f>
        <v>2.8849251857154604E-3</v>
      </c>
    </row>
    <row r="13" spans="1:29" x14ac:dyDescent="0.3">
      <c r="A13">
        <v>0.50250340000000004</v>
      </c>
      <c r="B13">
        <v>0.77830999999999995</v>
      </c>
      <c r="C13">
        <f t="shared" si="0"/>
        <v>0.39110342125399999</v>
      </c>
      <c r="D13">
        <v>1.6299999999999999E-2</v>
      </c>
      <c r="E13">
        <v>3.3E-3</v>
      </c>
      <c r="F13">
        <f t="shared" si="1"/>
        <v>100.50068</v>
      </c>
      <c r="G13">
        <f t="shared" si="2"/>
        <v>-0.77830999999999995</v>
      </c>
      <c r="H13">
        <f t="shared" si="3"/>
        <v>-78.220684250800005</v>
      </c>
      <c r="I13">
        <v>1</v>
      </c>
      <c r="J13">
        <f t="shared" si="4"/>
        <v>-2.2975907853367428</v>
      </c>
      <c r="K13">
        <f t="shared" si="5"/>
        <v>-0.44341515177521751</v>
      </c>
      <c r="L13">
        <v>1</v>
      </c>
      <c r="M13">
        <f t="shared" si="6"/>
        <v>0.41547275124624045</v>
      </c>
      <c r="N13">
        <f t="shared" si="7"/>
        <v>8.1908054200000007E-3</v>
      </c>
      <c r="O13">
        <f t="shared" si="8"/>
        <v>1.6582612200000001E-3</v>
      </c>
      <c r="P13">
        <f t="shared" si="9"/>
        <v>1.8093333888977062E-2</v>
      </c>
      <c r="V13">
        <v>-5.0999999999999996</v>
      </c>
      <c r="W13">
        <f t="shared" si="10"/>
        <v>-0.28432000000000002</v>
      </c>
      <c r="Y13">
        <v>0.09</v>
      </c>
      <c r="Z13">
        <f t="shared" si="11"/>
        <v>0.70245849999999999</v>
      </c>
    </row>
    <row r="14" spans="1:29" x14ac:dyDescent="0.3">
      <c r="A14">
        <v>0.55545849999999997</v>
      </c>
      <c r="B14">
        <v>0.77276999999999996</v>
      </c>
      <c r="C14">
        <f t="shared" si="0"/>
        <v>0.42924166504499994</v>
      </c>
      <c r="D14">
        <v>1.6299999999999999E-2</v>
      </c>
      <c r="E14">
        <v>3.3E-3</v>
      </c>
      <c r="F14">
        <f t="shared" si="1"/>
        <v>111.09169999999999</v>
      </c>
      <c r="G14">
        <f t="shared" si="2"/>
        <v>-0.77276999999999996</v>
      </c>
      <c r="H14">
        <f t="shared" si="3"/>
        <v>-85.848333008999987</v>
      </c>
      <c r="I14">
        <v>1</v>
      </c>
      <c r="J14">
        <f t="shared" si="4"/>
        <v>-2.1973992925980421</v>
      </c>
      <c r="K14">
        <f t="shared" si="5"/>
        <v>-0.4489551517752175</v>
      </c>
      <c r="L14">
        <v>1</v>
      </c>
      <c r="M14">
        <f t="shared" si="6"/>
        <v>0.42016171310641165</v>
      </c>
      <c r="N14">
        <f t="shared" si="7"/>
        <v>9.0539735499999986E-3</v>
      </c>
      <c r="O14">
        <f t="shared" si="8"/>
        <v>1.8330130499999999E-3</v>
      </c>
      <c r="P14">
        <f t="shared" si="9"/>
        <v>1.7906452068805853E-2</v>
      </c>
      <c r="V14">
        <v>-5</v>
      </c>
      <c r="W14">
        <f t="shared" si="10"/>
        <v>-0.28900000000000003</v>
      </c>
      <c r="Y14">
        <v>0.1</v>
      </c>
      <c r="Z14">
        <f t="shared" si="11"/>
        <v>0.83027500000000021</v>
      </c>
    </row>
    <row r="15" spans="1:29" x14ac:dyDescent="0.3">
      <c r="A15">
        <v>0.60688600000000004</v>
      </c>
      <c r="B15">
        <v>0.76768999999999998</v>
      </c>
      <c r="C15">
        <f t="shared" si="0"/>
        <v>0.46590031334000004</v>
      </c>
      <c r="D15">
        <v>1.6299999999999999E-2</v>
      </c>
      <c r="E15">
        <v>3.3E-3</v>
      </c>
      <c r="F15">
        <f t="shared" si="1"/>
        <v>121.3772</v>
      </c>
      <c r="G15">
        <f t="shared" si="2"/>
        <v>-0.76768999999999998</v>
      </c>
      <c r="H15">
        <f t="shared" si="3"/>
        <v>-93.180062668000005</v>
      </c>
      <c r="I15">
        <v>1</v>
      </c>
      <c r="J15">
        <f t="shared" si="4"/>
        <v>-2.1088522268912491</v>
      </c>
      <c r="K15">
        <f t="shared" si="5"/>
        <v>-0.45403515177521747</v>
      </c>
      <c r="L15">
        <v>1</v>
      </c>
      <c r="M15">
        <f t="shared" si="6"/>
        <v>0.42430571578148957</v>
      </c>
      <c r="N15">
        <f t="shared" si="7"/>
        <v>9.8922417999999998E-3</v>
      </c>
      <c r="O15">
        <f t="shared" si="8"/>
        <v>2.0027237999999999E-3</v>
      </c>
      <c r="P15">
        <f t="shared" si="9"/>
        <v>1.7834470393727903E-2</v>
      </c>
      <c r="V15">
        <v>-4.9000000000000004</v>
      </c>
      <c r="W15">
        <f t="shared" si="10"/>
        <v>-0.29368</v>
      </c>
      <c r="Y15">
        <v>0.11</v>
      </c>
      <c r="Z15">
        <f t="shared" si="11"/>
        <v>0.95809149999999998</v>
      </c>
    </row>
    <row r="16" spans="1:29" x14ac:dyDescent="0.3">
      <c r="A16">
        <v>0.65729510000000002</v>
      </c>
      <c r="B16">
        <v>0.76310999999999996</v>
      </c>
      <c r="C16">
        <f t="shared" si="0"/>
        <v>0.50158846376099997</v>
      </c>
      <c r="D16">
        <v>1.6299999999999999E-2</v>
      </c>
      <c r="E16">
        <v>3.3E-3</v>
      </c>
      <c r="F16">
        <f t="shared" si="1"/>
        <v>131.45902000000001</v>
      </c>
      <c r="G16">
        <f t="shared" si="2"/>
        <v>-0.76310999999999996</v>
      </c>
      <c r="H16">
        <f t="shared" si="3"/>
        <v>-100.31769275219999</v>
      </c>
      <c r="I16">
        <v>1</v>
      </c>
      <c r="J16">
        <f t="shared" si="4"/>
        <v>-2.0290601109135777</v>
      </c>
      <c r="K16">
        <f t="shared" si="5"/>
        <v>-0.4586151517752175</v>
      </c>
      <c r="L16">
        <v>1</v>
      </c>
      <c r="M16">
        <f t="shared" si="6"/>
        <v>0.4280399868092446</v>
      </c>
      <c r="N16">
        <f t="shared" si="7"/>
        <v>1.0713910129999999E-2</v>
      </c>
      <c r="O16">
        <f t="shared" si="8"/>
        <v>2.1690738300000002E-3</v>
      </c>
      <c r="P16">
        <f t="shared" si="9"/>
        <v>1.7692181005972904E-2</v>
      </c>
      <c r="V16">
        <v>-4.8</v>
      </c>
      <c r="W16">
        <f t="shared" si="10"/>
        <v>-0.29836000000000001</v>
      </c>
      <c r="Y16">
        <v>0.12</v>
      </c>
      <c r="Z16">
        <f t="shared" si="11"/>
        <v>1.0859079999999999</v>
      </c>
    </row>
    <row r="17" spans="1:26" x14ac:dyDescent="0.3">
      <c r="A17">
        <v>0.70770420000000001</v>
      </c>
      <c r="B17">
        <v>0.75853999999999999</v>
      </c>
      <c r="C17">
        <f t="shared" si="0"/>
        <v>0.53682194386799997</v>
      </c>
      <c r="D17">
        <v>1.6299999999999999E-2</v>
      </c>
      <c r="E17">
        <v>3.3E-3</v>
      </c>
      <c r="F17">
        <f t="shared" si="1"/>
        <v>141.54084</v>
      </c>
      <c r="G17">
        <f t="shared" si="2"/>
        <v>-0.75853999999999999</v>
      </c>
      <c r="H17">
        <f t="shared" si="3"/>
        <v>-107.3643887736</v>
      </c>
      <c r="I17">
        <v>1</v>
      </c>
      <c r="J17">
        <f t="shared" si="4"/>
        <v>-1.9551669816340078</v>
      </c>
      <c r="K17">
        <f t="shared" si="5"/>
        <v>-0.46318515177521746</v>
      </c>
      <c r="L17">
        <v>1</v>
      </c>
      <c r="M17">
        <f t="shared" si="6"/>
        <v>0.43149818525952843</v>
      </c>
      <c r="N17">
        <f t="shared" si="7"/>
        <v>1.1535578459999999E-2</v>
      </c>
      <c r="O17">
        <f t="shared" si="8"/>
        <v>2.3354238600000001E-3</v>
      </c>
      <c r="P17">
        <f t="shared" si="9"/>
        <v>1.7815964195689028E-2</v>
      </c>
      <c r="V17">
        <v>-4.7</v>
      </c>
      <c r="W17">
        <f t="shared" si="10"/>
        <v>-0.30303999999999998</v>
      </c>
      <c r="Y17">
        <v>0.13</v>
      </c>
      <c r="Z17">
        <f t="shared" si="11"/>
        <v>1.2137245000000001</v>
      </c>
    </row>
    <row r="18" spans="1:26" x14ac:dyDescent="0.3">
      <c r="A18">
        <v>0.76015014999999997</v>
      </c>
      <c r="B18">
        <v>0.75390000000000001</v>
      </c>
      <c r="C18">
        <f t="shared" si="0"/>
        <v>0.57307719808500002</v>
      </c>
      <c r="D18">
        <v>1.6299999999999999E-2</v>
      </c>
      <c r="E18">
        <v>3.3E-3</v>
      </c>
      <c r="F18">
        <f t="shared" si="1"/>
        <v>152.03002999999998</v>
      </c>
      <c r="G18">
        <f t="shared" si="2"/>
        <v>-0.75390000000000001</v>
      </c>
      <c r="H18">
        <f t="shared" si="3"/>
        <v>-114.61543961700001</v>
      </c>
      <c r="I18">
        <v>1</v>
      </c>
      <c r="J18">
        <f t="shared" si="4"/>
        <v>-1.8836772118599376</v>
      </c>
      <c r="K18">
        <f t="shared" si="5"/>
        <v>-0.46782515177521744</v>
      </c>
      <c r="L18">
        <v>1</v>
      </c>
      <c r="M18">
        <f t="shared" si="6"/>
        <v>0.43484390648495497</v>
      </c>
      <c r="N18">
        <f t="shared" si="7"/>
        <v>1.2390447444999998E-2</v>
      </c>
      <c r="O18">
        <f t="shared" si="8"/>
        <v>2.5084954950000001E-3</v>
      </c>
      <c r="P18">
        <f t="shared" si="9"/>
        <v>1.8082302350262477E-2</v>
      </c>
      <c r="V18">
        <v>-4.5999999999999996</v>
      </c>
      <c r="W18">
        <f t="shared" si="10"/>
        <v>-0.30771999999999999</v>
      </c>
      <c r="Y18">
        <v>0.14000000000000001</v>
      </c>
      <c r="Z18">
        <f t="shared" si="11"/>
        <v>1.3415410000000003</v>
      </c>
    </row>
    <row r="19" spans="1:26" x14ac:dyDescent="0.3">
      <c r="A19">
        <v>0.81106834999999999</v>
      </c>
      <c r="B19">
        <v>0.74948999999999999</v>
      </c>
      <c r="C19">
        <f t="shared" si="0"/>
        <v>0.60788761764150001</v>
      </c>
      <c r="D19">
        <v>1.6299999999999999E-2</v>
      </c>
      <c r="E19">
        <v>3.3E-3</v>
      </c>
      <c r="F19">
        <f t="shared" si="1"/>
        <v>162.21367000000001</v>
      </c>
      <c r="G19">
        <f t="shared" si="2"/>
        <v>-0.74948999999999999</v>
      </c>
      <c r="H19">
        <f t="shared" si="3"/>
        <v>-121.57752352830001</v>
      </c>
      <c r="I19">
        <v>1</v>
      </c>
      <c r="J19">
        <f t="shared" si="4"/>
        <v>-1.8188408621837613</v>
      </c>
      <c r="K19">
        <f t="shared" si="5"/>
        <v>-0.47223515177521747</v>
      </c>
      <c r="L19">
        <v>1</v>
      </c>
      <c r="M19">
        <f t="shared" si="6"/>
        <v>0.43787824764979999</v>
      </c>
      <c r="N19">
        <f t="shared" si="7"/>
        <v>1.3220414104999998E-2</v>
      </c>
      <c r="O19">
        <f t="shared" si="8"/>
        <v>2.6765255549999999E-3</v>
      </c>
      <c r="P19">
        <f t="shared" si="9"/>
        <v>1.8459964465417478E-2</v>
      </c>
      <c r="V19">
        <v>-4.5000000000000098</v>
      </c>
      <c r="W19">
        <f t="shared" si="10"/>
        <v>-0.31239999999999957</v>
      </c>
      <c r="Y19">
        <v>0.15</v>
      </c>
      <c r="Z19">
        <f t="shared" si="11"/>
        <v>1.4693575000000001</v>
      </c>
    </row>
    <row r="20" spans="1:26" x14ac:dyDescent="0.3">
      <c r="A20">
        <v>0.86147759999999995</v>
      </c>
      <c r="B20">
        <v>0.74614999999999998</v>
      </c>
      <c r="C20">
        <f t="shared" si="0"/>
        <v>0.64279151124</v>
      </c>
      <c r="D20">
        <v>1.6299999999999999E-2</v>
      </c>
      <c r="E20">
        <v>3.3E-3</v>
      </c>
      <c r="F20">
        <f t="shared" si="1"/>
        <v>172.29551999999998</v>
      </c>
      <c r="G20">
        <f t="shared" si="2"/>
        <v>-0.74614999999999998</v>
      </c>
      <c r="H20">
        <f t="shared" si="3"/>
        <v>-128.55830224799999</v>
      </c>
      <c r="I20">
        <v>1</v>
      </c>
      <c r="J20">
        <f t="shared" si="4"/>
        <v>-1.7585441369470554</v>
      </c>
      <c r="K20">
        <f t="shared" si="5"/>
        <v>-0.47557515177521748</v>
      </c>
      <c r="L20">
        <v>1</v>
      </c>
      <c r="M20">
        <f t="shared" si="6"/>
        <v>0.44070013439087785</v>
      </c>
      <c r="N20">
        <f t="shared" si="7"/>
        <v>1.4042084879999998E-2</v>
      </c>
      <c r="O20">
        <f t="shared" si="8"/>
        <v>2.8428760799999999E-3</v>
      </c>
      <c r="P20">
        <f t="shared" si="9"/>
        <v>1.7990056424339623E-2</v>
      </c>
      <c r="V20">
        <v>-4.4000000000000101</v>
      </c>
      <c r="W20">
        <f t="shared" si="10"/>
        <v>-0.31707999999999953</v>
      </c>
      <c r="Y20">
        <v>0.16</v>
      </c>
      <c r="Z20">
        <f t="shared" si="11"/>
        <v>1.5971739999999999</v>
      </c>
    </row>
    <row r="21" spans="1:26" x14ac:dyDescent="0.3">
      <c r="A21">
        <v>0.91188670000000005</v>
      </c>
      <c r="B21">
        <v>0.74187999999999998</v>
      </c>
      <c r="C21">
        <f t="shared" si="0"/>
        <v>0.67651050499600007</v>
      </c>
      <c r="D21">
        <v>1.6299999999999999E-2</v>
      </c>
      <c r="E21">
        <v>3.3E-3</v>
      </c>
      <c r="F21">
        <f t="shared" si="1"/>
        <v>182.37734</v>
      </c>
      <c r="G21">
        <f t="shared" si="2"/>
        <v>-0.74187999999999998</v>
      </c>
      <c r="H21">
        <f t="shared" si="3"/>
        <v>-135.30210099920001</v>
      </c>
      <c r="I21">
        <v>1</v>
      </c>
      <c r="J21">
        <f t="shared" si="4"/>
        <v>-1.7016774415155371</v>
      </c>
      <c r="K21">
        <f t="shared" si="5"/>
        <v>-0.47984515177521747</v>
      </c>
      <c r="L21">
        <v>1</v>
      </c>
      <c r="M21">
        <f t="shared" si="6"/>
        <v>0.4433614957370729</v>
      </c>
      <c r="N21">
        <f t="shared" si="7"/>
        <v>1.4863753209999999E-2</v>
      </c>
      <c r="O21">
        <f t="shared" si="8"/>
        <v>3.0092261100000003E-3</v>
      </c>
      <c r="P21">
        <f t="shared" si="9"/>
        <v>1.8610676718144578E-2</v>
      </c>
      <c r="V21">
        <v>-4.3000000000000096</v>
      </c>
      <c r="W21">
        <f t="shared" si="10"/>
        <v>-0.3217599999999996</v>
      </c>
      <c r="Y21">
        <v>0.17</v>
      </c>
      <c r="Z21">
        <f t="shared" si="11"/>
        <v>1.7249905000000001</v>
      </c>
    </row>
    <row r="22" spans="1:26" x14ac:dyDescent="0.3">
      <c r="A22">
        <v>0.96433265000000001</v>
      </c>
      <c r="B22">
        <v>0.73804000000000003</v>
      </c>
      <c r="C22">
        <f t="shared" si="0"/>
        <v>0.71171606900600004</v>
      </c>
      <c r="D22">
        <v>1.6299999999999999E-2</v>
      </c>
      <c r="E22">
        <v>3.3E-3</v>
      </c>
      <c r="F22">
        <f t="shared" si="1"/>
        <v>192.86653000000001</v>
      </c>
      <c r="G22">
        <f t="shared" si="2"/>
        <v>-0.73804000000000003</v>
      </c>
      <c r="H22">
        <f t="shared" si="3"/>
        <v>-142.34321380120002</v>
      </c>
      <c r="I22">
        <v>1</v>
      </c>
      <c r="J22">
        <f t="shared" si="4"/>
        <v>-1.6457568837154455</v>
      </c>
      <c r="K22">
        <f t="shared" si="5"/>
        <v>-0.48368515177521743</v>
      </c>
      <c r="L22">
        <v>1</v>
      </c>
      <c r="M22">
        <f t="shared" si="6"/>
        <v>0.44597857784211714</v>
      </c>
      <c r="N22">
        <f t="shared" si="7"/>
        <v>1.5718622195E-2</v>
      </c>
      <c r="O22">
        <f t="shared" si="8"/>
        <v>3.1822977450000002E-3</v>
      </c>
      <c r="P22">
        <f t="shared" si="9"/>
        <v>1.8805653993100285E-2</v>
      </c>
      <c r="V22">
        <v>-4.2000000000000099</v>
      </c>
      <c r="W22">
        <f t="shared" si="10"/>
        <v>-0.32643999999999951</v>
      </c>
      <c r="Y22">
        <v>0.18</v>
      </c>
      <c r="Z22">
        <f t="shared" si="11"/>
        <v>1.8528069999999999</v>
      </c>
    </row>
    <row r="23" spans="1:26" x14ac:dyDescent="0.3">
      <c r="A23">
        <v>1.0152509000000001</v>
      </c>
      <c r="B23">
        <v>0.73416000000000003</v>
      </c>
      <c r="C23">
        <f t="shared" si="0"/>
        <v>0.74535660074400012</v>
      </c>
      <c r="D23">
        <v>1.6299999999999999E-2</v>
      </c>
      <c r="E23">
        <v>3.3E-3</v>
      </c>
      <c r="F23">
        <f t="shared" si="1"/>
        <v>203.05018000000001</v>
      </c>
      <c r="G23">
        <f t="shared" si="2"/>
        <v>-0.73416000000000003</v>
      </c>
      <c r="H23">
        <f t="shared" si="3"/>
        <v>-149.07132014880003</v>
      </c>
      <c r="I23">
        <v>1</v>
      </c>
      <c r="J23">
        <f t="shared" si="4"/>
        <v>-1.5943021383690608</v>
      </c>
      <c r="K23">
        <f t="shared" si="5"/>
        <v>-0.48756515177521742</v>
      </c>
      <c r="L23">
        <v>1</v>
      </c>
      <c r="M23">
        <f t="shared" si="6"/>
        <v>0.44838665992432797</v>
      </c>
      <c r="N23">
        <f t="shared" si="7"/>
        <v>1.6548589669999999E-2</v>
      </c>
      <c r="O23">
        <f t="shared" si="8"/>
        <v>3.3503279700000002E-3</v>
      </c>
      <c r="P23">
        <f t="shared" si="9"/>
        <v>1.9279574210889452E-2</v>
      </c>
      <c r="V23">
        <v>-4.1000000000000103</v>
      </c>
      <c r="W23">
        <f t="shared" si="10"/>
        <v>-0.33111999999999953</v>
      </c>
      <c r="Y23">
        <v>0.19</v>
      </c>
      <c r="Z23">
        <f t="shared" si="11"/>
        <v>1.9806235000000001</v>
      </c>
    </row>
    <row r="24" spans="1:26" x14ac:dyDescent="0.3">
      <c r="A24">
        <v>1.0676969000000001</v>
      </c>
      <c r="B24">
        <v>0.73089999999999999</v>
      </c>
      <c r="C24">
        <f t="shared" si="0"/>
        <v>0.78037966421000005</v>
      </c>
      <c r="D24">
        <v>1.6299999999999999E-2</v>
      </c>
      <c r="E24">
        <v>3.3E-3</v>
      </c>
      <c r="F24">
        <f t="shared" si="1"/>
        <v>213.53938000000002</v>
      </c>
      <c r="G24">
        <f t="shared" si="2"/>
        <v>-0.73089999999999999</v>
      </c>
      <c r="H24">
        <f t="shared" si="3"/>
        <v>-156.07593284200001</v>
      </c>
      <c r="I24">
        <v>1</v>
      </c>
      <c r="J24">
        <f t="shared" si="4"/>
        <v>-1.5439340136734907</v>
      </c>
      <c r="K24">
        <f t="shared" si="5"/>
        <v>-0.49082515177521746</v>
      </c>
      <c r="L24">
        <v>1</v>
      </c>
      <c r="M24">
        <f t="shared" si="6"/>
        <v>0.45074388816008065</v>
      </c>
      <c r="N24">
        <f t="shared" si="7"/>
        <v>1.740345947E-2</v>
      </c>
      <c r="O24">
        <f t="shared" si="8"/>
        <v>3.5233997700000004E-3</v>
      </c>
      <c r="P24">
        <f t="shared" si="9"/>
        <v>1.9154404375136807E-2</v>
      </c>
      <c r="V24">
        <v>-4.0000000000000098</v>
      </c>
      <c r="W24">
        <f t="shared" si="10"/>
        <v>-0.33579999999999954</v>
      </c>
      <c r="Y24">
        <v>0.2</v>
      </c>
      <c r="Z24">
        <f t="shared" si="11"/>
        <v>2.1084400000000003</v>
      </c>
    </row>
    <row r="25" spans="1:26" x14ac:dyDescent="0.3">
      <c r="A25">
        <v>1.1191244</v>
      </c>
      <c r="B25">
        <v>0.72694999999999999</v>
      </c>
      <c r="C25">
        <f t="shared" si="0"/>
        <v>0.81354748257999998</v>
      </c>
      <c r="D25">
        <v>1.6299999999999999E-2</v>
      </c>
      <c r="E25">
        <v>3.3E-3</v>
      </c>
      <c r="F25">
        <f t="shared" si="1"/>
        <v>223.82488000000001</v>
      </c>
      <c r="G25">
        <f t="shared" si="2"/>
        <v>-0.72694999999999999</v>
      </c>
      <c r="H25">
        <f t="shared" si="3"/>
        <v>-162.709496516</v>
      </c>
      <c r="I25">
        <v>1</v>
      </c>
      <c r="J25">
        <f t="shared" si="4"/>
        <v>-1.4968913185952009</v>
      </c>
      <c r="K25">
        <f t="shared" si="5"/>
        <v>-0.49477515177521747</v>
      </c>
      <c r="L25">
        <v>1</v>
      </c>
      <c r="M25">
        <f t="shared" si="6"/>
        <v>0.45294548628974463</v>
      </c>
      <c r="N25">
        <f t="shared" si="7"/>
        <v>1.824172772E-2</v>
      </c>
      <c r="O25">
        <f t="shared" si="8"/>
        <v>3.69311052E-3</v>
      </c>
      <c r="P25">
        <f t="shared" si="9"/>
        <v>1.9894827245472844E-2</v>
      </c>
      <c r="V25">
        <v>-3.9000000000000101</v>
      </c>
      <c r="W25">
        <f t="shared" si="10"/>
        <v>-0.34047999999999956</v>
      </c>
      <c r="Y25">
        <v>0.21</v>
      </c>
      <c r="Z25">
        <f t="shared" si="11"/>
        <v>2.2362565000000001</v>
      </c>
    </row>
    <row r="26" spans="1:26" x14ac:dyDescent="0.3">
      <c r="A26">
        <v>1.1695333999999999</v>
      </c>
      <c r="B26">
        <v>0.72338999999999998</v>
      </c>
      <c r="C26">
        <f t="shared" si="0"/>
        <v>0.84602876622599998</v>
      </c>
      <c r="D26">
        <v>1.6299999999999999E-2</v>
      </c>
      <c r="E26">
        <v>3.3E-3</v>
      </c>
      <c r="F26">
        <f t="shared" si="1"/>
        <v>233.90667999999999</v>
      </c>
      <c r="G26">
        <f t="shared" si="2"/>
        <v>-0.72338999999999998</v>
      </c>
      <c r="H26">
        <f t="shared" si="3"/>
        <v>-169.20575324519999</v>
      </c>
      <c r="I26">
        <v>1</v>
      </c>
      <c r="J26">
        <f t="shared" si="4"/>
        <v>-1.4528330465864712</v>
      </c>
      <c r="K26">
        <f t="shared" si="5"/>
        <v>-0.49833515177521748</v>
      </c>
      <c r="L26">
        <v>1</v>
      </c>
      <c r="M26">
        <f t="shared" si="6"/>
        <v>0.45500741341975315</v>
      </c>
      <c r="N26">
        <f t="shared" si="7"/>
        <v>1.9063394419999997E-2</v>
      </c>
      <c r="O26">
        <f t="shared" si="8"/>
        <v>3.8594602199999999E-3</v>
      </c>
      <c r="P26">
        <f t="shared" si="9"/>
        <v>2.0404883715464332E-2</v>
      </c>
      <c r="V26">
        <v>-3.80000000000001</v>
      </c>
      <c r="W26">
        <f t="shared" si="10"/>
        <v>-0.34515999999999958</v>
      </c>
      <c r="Y26">
        <v>0.22</v>
      </c>
      <c r="Z26">
        <f t="shared" si="11"/>
        <v>2.3640729999999999</v>
      </c>
    </row>
    <row r="27" spans="1:26" x14ac:dyDescent="0.3">
      <c r="A27">
        <v>1.2204519</v>
      </c>
      <c r="B27">
        <v>0.71982000000000002</v>
      </c>
      <c r="C27">
        <f t="shared" si="0"/>
        <v>0.878505686658</v>
      </c>
      <c r="D27">
        <v>1.6299999999999999E-2</v>
      </c>
      <c r="E27">
        <v>3.3E-3</v>
      </c>
      <c r="F27">
        <f t="shared" si="1"/>
        <v>244.09038000000001</v>
      </c>
      <c r="G27">
        <f t="shared" si="2"/>
        <v>-0.71982000000000002</v>
      </c>
      <c r="H27">
        <f t="shared" si="3"/>
        <v>-175.70113733159999</v>
      </c>
      <c r="I27">
        <v>1</v>
      </c>
      <c r="J27">
        <f t="shared" si="4"/>
        <v>-1.410216712437657</v>
      </c>
      <c r="K27">
        <f t="shared" si="5"/>
        <v>-0.50190515177521744</v>
      </c>
      <c r="L27">
        <v>1</v>
      </c>
      <c r="M27">
        <f t="shared" si="6"/>
        <v>0.45700185785791769</v>
      </c>
      <c r="N27">
        <f t="shared" si="7"/>
        <v>1.989336597E-2</v>
      </c>
      <c r="O27">
        <f t="shared" si="8"/>
        <v>4.02749127E-3</v>
      </c>
      <c r="P27">
        <f t="shared" si="9"/>
        <v>2.0982436677299748E-2</v>
      </c>
      <c r="V27">
        <v>-3.7000000000000099</v>
      </c>
      <c r="W27">
        <f t="shared" si="10"/>
        <v>-0.34983999999999954</v>
      </c>
      <c r="Y27">
        <v>0.23</v>
      </c>
      <c r="Z27">
        <f t="shared" si="11"/>
        <v>2.4918895000000001</v>
      </c>
    </row>
    <row r="28" spans="1:26" x14ac:dyDescent="0.3">
      <c r="A28">
        <v>1.2718792999999999</v>
      </c>
      <c r="B28">
        <v>0.71636999999999995</v>
      </c>
      <c r="C28">
        <f t="shared" si="0"/>
        <v>0.9111361741409999</v>
      </c>
      <c r="D28">
        <v>1.6299999999999999E-2</v>
      </c>
      <c r="E28">
        <v>3.3E-3</v>
      </c>
      <c r="F28">
        <f t="shared" si="1"/>
        <v>254.37585999999999</v>
      </c>
      <c r="G28">
        <f t="shared" si="2"/>
        <v>-0.71636999999999995</v>
      </c>
      <c r="H28">
        <f t="shared" si="3"/>
        <v>-182.22723482819998</v>
      </c>
      <c r="I28">
        <v>1</v>
      </c>
      <c r="J28">
        <f t="shared" si="4"/>
        <v>-1.3689423419556117</v>
      </c>
      <c r="K28">
        <f t="shared" si="5"/>
        <v>-0.5053551517752175</v>
      </c>
      <c r="L28">
        <v>1</v>
      </c>
      <c r="M28">
        <f t="shared" si="6"/>
        <v>0.4589334983964774</v>
      </c>
      <c r="N28">
        <f t="shared" si="7"/>
        <v>2.0731632589999997E-2</v>
      </c>
      <c r="O28">
        <f t="shared" si="8"/>
        <v>4.1972016900000001E-3</v>
      </c>
      <c r="P28">
        <f t="shared" si="9"/>
        <v>2.1492819098740106E-2</v>
      </c>
      <c r="V28">
        <v>-3.6000000000000099</v>
      </c>
      <c r="W28">
        <f t="shared" si="10"/>
        <v>-0.35451999999999956</v>
      </c>
      <c r="Y28">
        <v>0.24</v>
      </c>
      <c r="Z28">
        <f t="shared" si="11"/>
        <v>2.6197059999999999</v>
      </c>
    </row>
    <row r="29" spans="1:26" x14ac:dyDescent="0.3">
      <c r="A29">
        <v>1.3238159</v>
      </c>
      <c r="B29">
        <v>0.71275999999999995</v>
      </c>
      <c r="C29">
        <f t="shared" si="0"/>
        <v>0.94356302088400001</v>
      </c>
      <c r="D29">
        <v>1.6299999999999999E-2</v>
      </c>
      <c r="E29">
        <v>3.3E-3</v>
      </c>
      <c r="F29">
        <f t="shared" si="1"/>
        <v>264.76318000000003</v>
      </c>
      <c r="G29">
        <f t="shared" si="2"/>
        <v>-0.71275999999999995</v>
      </c>
      <c r="H29">
        <f t="shared" si="3"/>
        <v>-188.7126041768</v>
      </c>
      <c r="I29">
        <v>1</v>
      </c>
      <c r="J29">
        <f t="shared" si="4"/>
        <v>-1.3289195129257687</v>
      </c>
      <c r="K29">
        <f t="shared" si="5"/>
        <v>-0.50896515177521751</v>
      </c>
      <c r="L29">
        <v>1</v>
      </c>
      <c r="M29">
        <f t="shared" si="6"/>
        <v>0.46080656679507404</v>
      </c>
      <c r="N29">
        <f t="shared" si="7"/>
        <v>2.1578199169999999E-2</v>
      </c>
      <c r="O29">
        <f t="shared" si="8"/>
        <v>4.36859247E-3</v>
      </c>
      <c r="P29">
        <f t="shared" si="9"/>
        <v>2.2211793340143469E-2</v>
      </c>
      <c r="V29">
        <v>-3.5000000000000102</v>
      </c>
      <c r="W29">
        <f t="shared" si="10"/>
        <v>-0.35919999999999952</v>
      </c>
      <c r="Y29">
        <v>0.25</v>
      </c>
      <c r="Z29">
        <f t="shared" si="11"/>
        <v>2.7475225000000001</v>
      </c>
    </row>
    <row r="30" spans="1:26" x14ac:dyDescent="0.3">
      <c r="A30">
        <v>1.3793171</v>
      </c>
      <c r="B30">
        <v>0.7097</v>
      </c>
      <c r="C30">
        <f t="shared" si="0"/>
        <v>0.97890134586999999</v>
      </c>
      <c r="D30">
        <v>1.6299999999999999E-2</v>
      </c>
      <c r="E30">
        <v>3.3E-3</v>
      </c>
      <c r="F30">
        <f t="shared" si="1"/>
        <v>275.86342000000002</v>
      </c>
      <c r="G30">
        <f t="shared" si="2"/>
        <v>-0.7097</v>
      </c>
      <c r="H30">
        <f t="shared" si="3"/>
        <v>-195.78026917400001</v>
      </c>
      <c r="I30">
        <v>1</v>
      </c>
      <c r="J30">
        <f t="shared" si="4"/>
        <v>-1.2878493908186308</v>
      </c>
      <c r="K30">
        <f t="shared" si="5"/>
        <v>-0.51202515177521746</v>
      </c>
      <c r="L30">
        <v>1</v>
      </c>
      <c r="M30">
        <f t="shared" si="6"/>
        <v>0.46272864850968809</v>
      </c>
      <c r="N30">
        <f t="shared" si="7"/>
        <v>2.2482868729999998E-2</v>
      </c>
      <c r="O30">
        <f t="shared" si="8"/>
        <v>4.5517464299999998E-3</v>
      </c>
      <c r="P30">
        <f t="shared" si="9"/>
        <v>2.226188810552937E-2</v>
      </c>
      <c r="V30">
        <v>-3.4000000000000101</v>
      </c>
      <c r="W30">
        <f t="shared" si="10"/>
        <v>-0.36387999999999954</v>
      </c>
      <c r="Y30">
        <v>0.26</v>
      </c>
      <c r="Z30">
        <f t="shared" si="11"/>
        <v>2.8753390000000003</v>
      </c>
    </row>
    <row r="31" spans="1:26" x14ac:dyDescent="0.3">
      <c r="A31">
        <v>1.4327813</v>
      </c>
      <c r="B31">
        <v>0.70613000000000004</v>
      </c>
      <c r="C31">
        <f t="shared" si="0"/>
        <v>1.0117298593690001</v>
      </c>
      <c r="D31">
        <v>1.6299999999999999E-2</v>
      </c>
      <c r="E31">
        <v>3.3E-3</v>
      </c>
      <c r="F31">
        <f t="shared" si="1"/>
        <v>286.55626000000001</v>
      </c>
      <c r="G31">
        <f t="shared" si="2"/>
        <v>-0.70613000000000004</v>
      </c>
      <c r="H31">
        <f t="shared" si="3"/>
        <v>-202.34597187380001</v>
      </c>
      <c r="I31">
        <v>1</v>
      </c>
      <c r="J31">
        <f t="shared" si="4"/>
        <v>-1.2498203921228561</v>
      </c>
      <c r="K31">
        <f t="shared" si="5"/>
        <v>-0.51559515177521742</v>
      </c>
      <c r="L31">
        <v>1</v>
      </c>
      <c r="M31">
        <f t="shared" si="6"/>
        <v>0.46450840564865037</v>
      </c>
      <c r="N31">
        <f t="shared" si="7"/>
        <v>2.3354335189999999E-2</v>
      </c>
      <c r="O31">
        <f t="shared" si="8"/>
        <v>4.7281782900000001E-3</v>
      </c>
      <c r="P31">
        <f t="shared" si="9"/>
        <v>2.3004232646567053E-2</v>
      </c>
      <c r="V31">
        <v>-3.30000000000001</v>
      </c>
      <c r="W31">
        <f t="shared" si="10"/>
        <v>-0.36855999999999955</v>
      </c>
      <c r="Y31">
        <v>0.27</v>
      </c>
      <c r="Z31">
        <f t="shared" si="11"/>
        <v>3.0031555000000005</v>
      </c>
    </row>
    <row r="32" spans="1:26" x14ac:dyDescent="0.3">
      <c r="A32">
        <v>1.4836996</v>
      </c>
      <c r="B32">
        <v>0.70265999999999995</v>
      </c>
      <c r="C32">
        <f t="shared" si="0"/>
        <v>1.0425363609359999</v>
      </c>
      <c r="D32">
        <v>1.6299999999999999E-2</v>
      </c>
      <c r="E32">
        <v>3.3E-3</v>
      </c>
      <c r="F32">
        <f t="shared" si="1"/>
        <v>296.73991999999998</v>
      </c>
      <c r="G32">
        <f t="shared" si="2"/>
        <v>-0.70265999999999995</v>
      </c>
      <c r="H32">
        <f t="shared" si="3"/>
        <v>-208.50727218719999</v>
      </c>
      <c r="I32">
        <v>1</v>
      </c>
      <c r="J32">
        <f t="shared" si="4"/>
        <v>-1.2148992140558055</v>
      </c>
      <c r="K32">
        <f t="shared" si="5"/>
        <v>-0.5190651517752175</v>
      </c>
      <c r="L32">
        <v>1</v>
      </c>
      <c r="M32">
        <f t="shared" si="6"/>
        <v>0.46614271678218833</v>
      </c>
      <c r="N32">
        <f t="shared" si="7"/>
        <v>2.4184303479999999E-2</v>
      </c>
      <c r="O32">
        <f t="shared" si="8"/>
        <v>4.8962086799999999E-3</v>
      </c>
      <c r="P32">
        <f t="shared" si="9"/>
        <v>2.3841922833029178E-2</v>
      </c>
      <c r="V32">
        <v>-3.2000000000000099</v>
      </c>
      <c r="W32">
        <f t="shared" si="10"/>
        <v>-0.37323999999999957</v>
      </c>
    </row>
    <row r="33" spans="1:23" x14ac:dyDescent="0.3">
      <c r="A33">
        <v>1.5356361999999999</v>
      </c>
      <c r="B33">
        <v>0.69974000000000003</v>
      </c>
      <c r="C33">
        <f t="shared" si="0"/>
        <v>1.074546074588</v>
      </c>
      <c r="D33">
        <v>1.6299999999999999E-2</v>
      </c>
      <c r="E33">
        <v>3.3E-3</v>
      </c>
      <c r="F33">
        <f t="shared" si="1"/>
        <v>307.12723999999997</v>
      </c>
      <c r="G33">
        <f t="shared" si="2"/>
        <v>-0.69974000000000003</v>
      </c>
      <c r="H33">
        <f t="shared" si="3"/>
        <v>-214.9092149176</v>
      </c>
      <c r="I33">
        <v>1</v>
      </c>
      <c r="J33">
        <f t="shared" si="4"/>
        <v>-1.1804931547200976</v>
      </c>
      <c r="K33">
        <f t="shared" si="5"/>
        <v>-0.52198515177521743</v>
      </c>
      <c r="L33">
        <v>1</v>
      </c>
      <c r="M33">
        <f t="shared" si="6"/>
        <v>0.46775292035909943</v>
      </c>
      <c r="N33">
        <f t="shared" si="7"/>
        <v>2.5030870059999995E-2</v>
      </c>
      <c r="O33">
        <f t="shared" si="8"/>
        <v>5.0675994599999998E-3</v>
      </c>
      <c r="P33">
        <f t="shared" si="9"/>
        <v>2.4133761896117999E-2</v>
      </c>
      <c r="V33">
        <v>-3.1000000000000099</v>
      </c>
      <c r="W33">
        <f t="shared" si="10"/>
        <v>-0.37791999999999959</v>
      </c>
    </row>
    <row r="34" spans="1:23" x14ac:dyDescent="0.3">
      <c r="A34">
        <v>1.5860453999999999</v>
      </c>
      <c r="B34">
        <v>0.69645000000000001</v>
      </c>
      <c r="C34">
        <f t="shared" si="0"/>
        <v>1.1046013188299999</v>
      </c>
      <c r="D34">
        <v>1.6299999999999999E-2</v>
      </c>
      <c r="E34">
        <v>3.3E-3</v>
      </c>
      <c r="F34">
        <f t="shared" si="1"/>
        <v>317.20907999999997</v>
      </c>
      <c r="G34">
        <f t="shared" si="2"/>
        <v>-0.69645000000000001</v>
      </c>
      <c r="H34">
        <f t="shared" si="3"/>
        <v>-220.92026376599998</v>
      </c>
      <c r="I34">
        <v>1</v>
      </c>
      <c r="J34">
        <f t="shared" si="4"/>
        <v>-1.1481941641582574</v>
      </c>
      <c r="K34">
        <f t="shared" si="5"/>
        <v>-0.52527515177521744</v>
      </c>
      <c r="L34">
        <v>1</v>
      </c>
      <c r="M34">
        <f t="shared" si="6"/>
        <v>0.46926451311739359</v>
      </c>
      <c r="N34">
        <f t="shared" si="7"/>
        <v>2.5852540019999995E-2</v>
      </c>
      <c r="O34">
        <f t="shared" si="8"/>
        <v>5.2339498200000001E-3</v>
      </c>
      <c r="P34">
        <f t="shared" si="9"/>
        <v>2.4924148817823857E-2</v>
      </c>
      <c r="V34">
        <v>-3.0000000000000102</v>
      </c>
      <c r="W34">
        <f t="shared" si="10"/>
        <v>-0.38259999999999955</v>
      </c>
    </row>
    <row r="35" spans="1:23" x14ac:dyDescent="0.3">
      <c r="A35">
        <v>1.6384912</v>
      </c>
      <c r="B35">
        <v>0.69367000000000001</v>
      </c>
      <c r="C35">
        <f t="shared" si="0"/>
        <v>1.1365721907040001</v>
      </c>
      <c r="D35">
        <v>1.6299999999999999E-2</v>
      </c>
      <c r="E35">
        <v>3.3E-3</v>
      </c>
      <c r="F35">
        <f t="shared" si="1"/>
        <v>327.69824</v>
      </c>
      <c r="G35">
        <f t="shared" si="2"/>
        <v>-0.69367000000000001</v>
      </c>
      <c r="H35">
        <f t="shared" si="3"/>
        <v>-227.31443814080001</v>
      </c>
      <c r="I35">
        <v>1</v>
      </c>
      <c r="J35">
        <f t="shared" si="4"/>
        <v>-1.1156620940577353</v>
      </c>
      <c r="K35">
        <f t="shared" si="5"/>
        <v>-0.52805515177521745</v>
      </c>
      <c r="L35">
        <v>1</v>
      </c>
      <c r="M35">
        <f t="shared" si="6"/>
        <v>0.47078701399809803</v>
      </c>
      <c r="N35">
        <f t="shared" si="7"/>
        <v>2.6707406559999997E-2</v>
      </c>
      <c r="O35">
        <f t="shared" si="8"/>
        <v>5.4070209599999999E-3</v>
      </c>
      <c r="P35">
        <f t="shared" si="9"/>
        <v>2.5153710257119426E-2</v>
      </c>
      <c r="V35">
        <v>-2.9000000000000101</v>
      </c>
      <c r="W35">
        <f t="shared" si="10"/>
        <v>-0.38727999999999951</v>
      </c>
    </row>
    <row r="36" spans="1:23" x14ac:dyDescent="0.3">
      <c r="A36">
        <v>1.6889004000000001</v>
      </c>
      <c r="B36">
        <v>0.69018999999999997</v>
      </c>
      <c r="C36">
        <f t="shared" si="0"/>
        <v>1.1656621670759999</v>
      </c>
      <c r="D36">
        <v>1.6299999999999999E-2</v>
      </c>
      <c r="E36">
        <v>3.3E-3</v>
      </c>
      <c r="F36">
        <f t="shared" si="1"/>
        <v>337.78008</v>
      </c>
      <c r="G36">
        <f t="shared" si="2"/>
        <v>-0.69018999999999997</v>
      </c>
      <c r="H36">
        <f t="shared" si="3"/>
        <v>-233.13243341519998</v>
      </c>
      <c r="I36">
        <v>1</v>
      </c>
      <c r="J36">
        <f t="shared" si="4"/>
        <v>-1.0853602461518428</v>
      </c>
      <c r="K36">
        <f t="shared" si="5"/>
        <v>-0.53153515177521748</v>
      </c>
      <c r="L36">
        <v>1</v>
      </c>
      <c r="M36">
        <f t="shared" si="6"/>
        <v>0.47220514048009377</v>
      </c>
      <c r="N36">
        <f t="shared" si="7"/>
        <v>2.7529076519999997E-2</v>
      </c>
      <c r="O36">
        <f t="shared" si="8"/>
        <v>5.5733713200000002E-3</v>
      </c>
      <c r="P36">
        <f t="shared" si="9"/>
        <v>2.6227563455123719E-2</v>
      </c>
      <c r="V36">
        <v>-2.80000000000001</v>
      </c>
      <c r="W36">
        <f t="shared" ref="W36:W67" si="12">V36*$S$5+$S$4</f>
        <v>-0.39195999999999953</v>
      </c>
    </row>
    <row r="37" spans="1:23" x14ac:dyDescent="0.3">
      <c r="A37">
        <v>1.7413463</v>
      </c>
      <c r="B37">
        <v>0.68725000000000003</v>
      </c>
      <c r="C37">
        <f t="shared" si="0"/>
        <v>1.196740244675</v>
      </c>
      <c r="D37">
        <v>1.6299999999999999E-2</v>
      </c>
      <c r="E37">
        <v>3.3E-3</v>
      </c>
      <c r="F37">
        <f t="shared" si="1"/>
        <v>348.26926000000003</v>
      </c>
      <c r="G37">
        <f t="shared" si="2"/>
        <v>-0.68725000000000003</v>
      </c>
      <c r="H37">
        <f t="shared" si="3"/>
        <v>-239.34804893499998</v>
      </c>
      <c r="I37">
        <v>1</v>
      </c>
      <c r="J37">
        <f t="shared" si="4"/>
        <v>-1.0547793627545792</v>
      </c>
      <c r="K37">
        <f t="shared" si="5"/>
        <v>-0.53447515177521743</v>
      </c>
      <c r="L37">
        <v>1</v>
      </c>
      <c r="M37">
        <f t="shared" si="6"/>
        <v>0.47363632582308574</v>
      </c>
      <c r="N37">
        <f t="shared" si="7"/>
        <v>2.8383944689999999E-2</v>
      </c>
      <c r="O37">
        <f t="shared" si="8"/>
        <v>5.7464427900000004E-3</v>
      </c>
      <c r="P37">
        <f t="shared" si="9"/>
        <v>2.6708438472131696E-2</v>
      </c>
      <c r="V37">
        <v>-2.7000000000000099</v>
      </c>
      <c r="W37">
        <f t="shared" si="12"/>
        <v>-0.39663999999999955</v>
      </c>
    </row>
    <row r="38" spans="1:23" x14ac:dyDescent="0.3">
      <c r="A38">
        <v>1.7917555000000001</v>
      </c>
      <c r="B38">
        <v>0.68403999999999998</v>
      </c>
      <c r="C38">
        <f t="shared" si="0"/>
        <v>1.2256324322200001</v>
      </c>
      <c r="D38">
        <v>1.6299999999999999E-2</v>
      </c>
      <c r="E38">
        <v>3.3E-3</v>
      </c>
      <c r="F38">
        <f t="shared" si="1"/>
        <v>358.35110000000003</v>
      </c>
      <c r="G38">
        <f t="shared" si="2"/>
        <v>-0.68403999999999998</v>
      </c>
      <c r="H38">
        <f t="shared" si="3"/>
        <v>-245.12648644400002</v>
      </c>
      <c r="I38">
        <v>1</v>
      </c>
      <c r="J38">
        <f t="shared" si="4"/>
        <v>-1.0262420469222513</v>
      </c>
      <c r="K38">
        <f t="shared" si="5"/>
        <v>-0.53768515177521747</v>
      </c>
      <c r="L38">
        <v>1</v>
      </c>
      <c r="M38">
        <f t="shared" si="6"/>
        <v>0.47497187220403864</v>
      </c>
      <c r="N38">
        <f t="shared" si="7"/>
        <v>2.920561465E-2</v>
      </c>
      <c r="O38">
        <f t="shared" si="8"/>
        <v>5.9127931499999998E-3</v>
      </c>
      <c r="P38">
        <f t="shared" si="9"/>
        <v>2.7594871771178836E-2</v>
      </c>
      <c r="V38">
        <v>-2.6000000000000099</v>
      </c>
      <c r="W38">
        <f t="shared" si="12"/>
        <v>-0.40131999999999957</v>
      </c>
    </row>
    <row r="39" spans="1:23" x14ac:dyDescent="0.3">
      <c r="A39">
        <v>1.8421646</v>
      </c>
      <c r="B39">
        <v>0.68125999999999998</v>
      </c>
      <c r="C39">
        <f t="shared" si="0"/>
        <v>1.254993055396</v>
      </c>
      <c r="D39">
        <v>1.6299999999999999E-2</v>
      </c>
      <c r="E39">
        <v>3.3E-3</v>
      </c>
      <c r="F39">
        <f t="shared" si="1"/>
        <v>368.43292000000002</v>
      </c>
      <c r="G39">
        <f t="shared" si="2"/>
        <v>-0.68125999999999998</v>
      </c>
      <c r="H39">
        <f t="shared" si="3"/>
        <v>-250.9986110792</v>
      </c>
      <c r="I39">
        <v>1</v>
      </c>
      <c r="J39">
        <f t="shared" si="4"/>
        <v>-0.9984966192013327</v>
      </c>
      <c r="K39">
        <f t="shared" si="5"/>
        <v>-0.54046515177521748</v>
      </c>
      <c r="L39">
        <v>1</v>
      </c>
      <c r="M39">
        <f t="shared" si="6"/>
        <v>0.47627035822137764</v>
      </c>
      <c r="N39">
        <f t="shared" si="7"/>
        <v>3.0027282979999997E-2</v>
      </c>
      <c r="O39">
        <f t="shared" si="8"/>
        <v>6.0791431799999997E-3</v>
      </c>
      <c r="P39">
        <f t="shared" si="9"/>
        <v>2.8088367393839835E-2</v>
      </c>
      <c r="V39">
        <v>-2.5000000000000102</v>
      </c>
      <c r="W39">
        <f t="shared" si="12"/>
        <v>-0.40599999999999953</v>
      </c>
    </row>
    <row r="40" spans="1:23" x14ac:dyDescent="0.3">
      <c r="A40">
        <v>1.8925737</v>
      </c>
      <c r="B40">
        <v>0.67820000000000003</v>
      </c>
      <c r="C40">
        <f t="shared" si="0"/>
        <v>1.2835434833400001</v>
      </c>
      <c r="D40">
        <v>1.6299999999999999E-2</v>
      </c>
      <c r="E40">
        <v>3.3E-3</v>
      </c>
      <c r="F40">
        <f t="shared" si="1"/>
        <v>378.51474000000002</v>
      </c>
      <c r="G40">
        <f t="shared" si="2"/>
        <v>-0.67820000000000003</v>
      </c>
      <c r="H40">
        <f t="shared" si="3"/>
        <v>-256.70869666800002</v>
      </c>
      <c r="I40">
        <v>1</v>
      </c>
      <c r="J40">
        <f t="shared" si="4"/>
        <v>-0.97150026366607056</v>
      </c>
      <c r="K40">
        <f t="shared" si="5"/>
        <v>-0.54352515177521743</v>
      </c>
      <c r="L40">
        <v>1</v>
      </c>
      <c r="M40">
        <f t="shared" si="6"/>
        <v>0.47753378766042792</v>
      </c>
      <c r="N40">
        <f t="shared" si="7"/>
        <v>3.0848951309999997E-2</v>
      </c>
      <c r="O40">
        <f t="shared" si="8"/>
        <v>6.2454932100000004E-3</v>
      </c>
      <c r="P40">
        <f t="shared" si="9"/>
        <v>2.8896919594789509E-2</v>
      </c>
      <c r="V40">
        <v>-2.4000000000000101</v>
      </c>
      <c r="W40">
        <f t="shared" si="12"/>
        <v>-0.41067999999999955</v>
      </c>
    </row>
    <row r="41" spans="1:23" x14ac:dyDescent="0.3">
      <c r="A41">
        <v>1.9470563000000001</v>
      </c>
      <c r="B41">
        <v>0.67542999999999997</v>
      </c>
      <c r="C41">
        <f t="shared" si="0"/>
        <v>1.3151002367089999</v>
      </c>
      <c r="D41">
        <v>1.6299999999999999E-2</v>
      </c>
      <c r="E41">
        <v>3.3E-3</v>
      </c>
      <c r="F41">
        <f t="shared" si="1"/>
        <v>389.41126000000003</v>
      </c>
      <c r="G41">
        <f t="shared" si="2"/>
        <v>-0.67542999999999997</v>
      </c>
      <c r="H41">
        <f t="shared" si="3"/>
        <v>-263.02004734179997</v>
      </c>
      <c r="I41">
        <v>1</v>
      </c>
      <c r="J41">
        <f t="shared" si="4"/>
        <v>-0.94311927018064656</v>
      </c>
      <c r="K41">
        <f t="shared" si="5"/>
        <v>-0.54629515177521748</v>
      </c>
      <c r="L41">
        <v>1</v>
      </c>
      <c r="M41">
        <f t="shared" si="6"/>
        <v>0.47886201815554574</v>
      </c>
      <c r="N41">
        <f t="shared" si="7"/>
        <v>3.1737017690000001E-2</v>
      </c>
      <c r="O41">
        <f t="shared" si="8"/>
        <v>6.4252857900000005E-3</v>
      </c>
      <c r="P41">
        <f t="shared" si="9"/>
        <v>2.9270830139671737E-2</v>
      </c>
      <c r="V41">
        <v>-2.30000000000001</v>
      </c>
      <c r="W41">
        <f t="shared" si="12"/>
        <v>-0.41535999999999956</v>
      </c>
    </row>
    <row r="42" spans="1:23" x14ac:dyDescent="0.3">
      <c r="A42">
        <v>1.9974654999999999</v>
      </c>
      <c r="B42">
        <v>0.67234000000000005</v>
      </c>
      <c r="C42">
        <f t="shared" si="0"/>
        <v>1.3429759542699999</v>
      </c>
      <c r="D42">
        <v>1.6299999999999999E-2</v>
      </c>
      <c r="E42">
        <v>3.3E-3</v>
      </c>
      <c r="F42">
        <f t="shared" si="1"/>
        <v>399.49309999999997</v>
      </c>
      <c r="G42">
        <f t="shared" si="2"/>
        <v>-0.67234000000000005</v>
      </c>
      <c r="H42">
        <f t="shared" si="3"/>
        <v>-268.59519085400001</v>
      </c>
      <c r="I42">
        <v>1</v>
      </c>
      <c r="J42">
        <f t="shared" si="4"/>
        <v>-0.91755878551445025</v>
      </c>
      <c r="K42">
        <f t="shared" si="5"/>
        <v>-0.54938515177521741</v>
      </c>
      <c r="L42">
        <v>1</v>
      </c>
      <c r="M42">
        <f t="shared" si="6"/>
        <v>0.48005824883792375</v>
      </c>
      <c r="N42">
        <f t="shared" si="7"/>
        <v>3.2558687649999994E-2</v>
      </c>
      <c r="O42">
        <f t="shared" si="8"/>
        <v>6.5916361499999999E-3</v>
      </c>
      <c r="P42">
        <f t="shared" si="9"/>
        <v>3.0176579137293661E-2</v>
      </c>
      <c r="V42">
        <v>-2.2000000000000099</v>
      </c>
      <c r="W42">
        <f t="shared" si="12"/>
        <v>-0.42003999999999952</v>
      </c>
    </row>
    <row r="43" spans="1:23" x14ac:dyDescent="0.3">
      <c r="A43">
        <v>2.048384</v>
      </c>
      <c r="B43">
        <v>0.66954999999999998</v>
      </c>
      <c r="C43">
        <f t="shared" si="0"/>
        <v>1.3714955071999999</v>
      </c>
      <c r="D43">
        <v>1.6299999999999999E-2</v>
      </c>
      <c r="E43">
        <v>3.3E-3</v>
      </c>
      <c r="F43">
        <f t="shared" si="1"/>
        <v>409.67680000000001</v>
      </c>
      <c r="G43">
        <f t="shared" si="2"/>
        <v>-0.66954999999999998</v>
      </c>
      <c r="H43">
        <f t="shared" si="3"/>
        <v>-274.29910143999996</v>
      </c>
      <c r="I43">
        <v>1</v>
      </c>
      <c r="J43">
        <f t="shared" si="4"/>
        <v>-0.8923867228327671</v>
      </c>
      <c r="K43">
        <f t="shared" si="5"/>
        <v>-0.55217515177521748</v>
      </c>
      <c r="L43">
        <v>1</v>
      </c>
      <c r="M43">
        <f t="shared" si="6"/>
        <v>0.48123630137142653</v>
      </c>
      <c r="N43">
        <f t="shared" si="7"/>
        <v>3.3388659199999997E-2</v>
      </c>
      <c r="O43">
        <f t="shared" si="8"/>
        <v>6.7596671999999997E-3</v>
      </c>
      <c r="P43">
        <f t="shared" si="9"/>
        <v>3.0790524003790946E-2</v>
      </c>
      <c r="V43">
        <v>-2.1000000000000099</v>
      </c>
      <c r="W43">
        <f t="shared" si="12"/>
        <v>-0.42471999999999954</v>
      </c>
    </row>
    <row r="44" spans="1:23" x14ac:dyDescent="0.3">
      <c r="A44">
        <v>2.0987930000000001</v>
      </c>
      <c r="B44">
        <v>0.66690000000000005</v>
      </c>
      <c r="C44">
        <f t="shared" si="0"/>
        <v>1.3996850517000001</v>
      </c>
      <c r="D44">
        <v>1.6299999999999999E-2</v>
      </c>
      <c r="E44">
        <v>3.3E-3</v>
      </c>
      <c r="F44">
        <f t="shared" si="1"/>
        <v>419.7586</v>
      </c>
      <c r="G44">
        <f t="shared" si="2"/>
        <v>-0.66690000000000005</v>
      </c>
      <c r="H44">
        <f t="shared" si="3"/>
        <v>-279.93701034000003</v>
      </c>
      <c r="I44">
        <v>1</v>
      </c>
      <c r="J44">
        <f t="shared" si="4"/>
        <v>-0.86807549484842694</v>
      </c>
      <c r="K44">
        <f t="shared" si="5"/>
        <v>-0.55482515177521741</v>
      </c>
      <c r="L44">
        <v>1</v>
      </c>
      <c r="M44">
        <f t="shared" si="6"/>
        <v>0.48237406684109363</v>
      </c>
      <c r="N44">
        <f t="shared" si="7"/>
        <v>3.4210325899999998E-2</v>
      </c>
      <c r="O44">
        <f t="shared" si="8"/>
        <v>6.9260169E-3</v>
      </c>
      <c r="P44">
        <f t="shared" si="9"/>
        <v>3.1314742134123781E-2</v>
      </c>
      <c r="V44">
        <v>-2.0000000000000102</v>
      </c>
      <c r="W44">
        <f t="shared" si="12"/>
        <v>-0.42939999999999956</v>
      </c>
    </row>
    <row r="45" spans="1:23" x14ac:dyDescent="0.3">
      <c r="A45">
        <v>2.1502207000000002</v>
      </c>
      <c r="B45">
        <v>0.66376999999999997</v>
      </c>
      <c r="C45">
        <f t="shared" si="0"/>
        <v>1.427251994039</v>
      </c>
      <c r="D45">
        <v>1.6299999999999999E-2</v>
      </c>
      <c r="E45">
        <v>3.3E-3</v>
      </c>
      <c r="F45">
        <f t="shared" si="1"/>
        <v>430.04414000000003</v>
      </c>
      <c r="G45">
        <f t="shared" si="2"/>
        <v>-0.66376999999999997</v>
      </c>
      <c r="H45">
        <f t="shared" si="3"/>
        <v>-285.45039880780001</v>
      </c>
      <c r="I45">
        <v>1</v>
      </c>
      <c r="J45">
        <f t="shared" si="4"/>
        <v>-0.84386742440000828</v>
      </c>
      <c r="K45">
        <f t="shared" si="5"/>
        <v>-0.55795515177521748</v>
      </c>
      <c r="L45">
        <v>1</v>
      </c>
      <c r="M45">
        <f t="shared" si="6"/>
        <v>0.48350700453807965</v>
      </c>
      <c r="N45">
        <f t="shared" si="7"/>
        <v>3.504859741E-2</v>
      </c>
      <c r="O45">
        <f t="shared" si="8"/>
        <v>7.0957283100000004E-3</v>
      </c>
      <c r="P45">
        <f t="shared" si="9"/>
        <v>3.2303821517137829E-2</v>
      </c>
      <c r="V45">
        <v>-1.9000000000000099</v>
      </c>
      <c r="W45">
        <f t="shared" si="12"/>
        <v>-0.43407999999999958</v>
      </c>
    </row>
    <row r="46" spans="1:23" x14ac:dyDescent="0.3">
      <c r="A46">
        <v>2.2021575000000002</v>
      </c>
      <c r="B46">
        <v>0.66117000000000004</v>
      </c>
      <c r="C46">
        <f t="shared" si="0"/>
        <v>1.4560004742750001</v>
      </c>
      <c r="D46">
        <v>1.6299999999999999E-2</v>
      </c>
      <c r="E46">
        <v>3.3E-3</v>
      </c>
      <c r="F46">
        <f t="shared" si="1"/>
        <v>440.43150000000003</v>
      </c>
      <c r="G46">
        <f t="shared" si="2"/>
        <v>-0.66117000000000004</v>
      </c>
      <c r="H46">
        <f t="shared" si="3"/>
        <v>-291.20009485500003</v>
      </c>
      <c r="I46">
        <v>1</v>
      </c>
      <c r="J46">
        <f t="shared" si="4"/>
        <v>-0.82000035080590772</v>
      </c>
      <c r="K46">
        <f t="shared" si="5"/>
        <v>-0.56055515177521742</v>
      </c>
      <c r="L46">
        <v>1</v>
      </c>
      <c r="M46">
        <f t="shared" si="6"/>
        <v>0.48462398358228354</v>
      </c>
      <c r="N46">
        <f t="shared" si="7"/>
        <v>3.5895167249999999E-2</v>
      </c>
      <c r="O46">
        <f t="shared" si="8"/>
        <v>7.2671197500000003E-3</v>
      </c>
      <c r="P46">
        <f t="shared" si="9"/>
        <v>3.2768881192933884E-2</v>
      </c>
      <c r="V46">
        <v>-1.80000000000001</v>
      </c>
      <c r="W46">
        <f t="shared" si="12"/>
        <v>-0.43875999999999954</v>
      </c>
    </row>
    <row r="47" spans="1:23" x14ac:dyDescent="0.3">
      <c r="A47">
        <v>2.2535847000000002</v>
      </c>
      <c r="B47">
        <v>0.65846000000000005</v>
      </c>
      <c r="C47">
        <f t="shared" si="0"/>
        <v>1.4838953815620002</v>
      </c>
      <c r="D47">
        <v>1.6299999999999999E-2</v>
      </c>
      <c r="E47">
        <v>3.3E-3</v>
      </c>
      <c r="F47">
        <f t="shared" si="1"/>
        <v>450.71694000000002</v>
      </c>
      <c r="G47">
        <f t="shared" si="2"/>
        <v>-0.65846000000000005</v>
      </c>
      <c r="H47">
        <f t="shared" si="3"/>
        <v>-296.77907631240004</v>
      </c>
      <c r="I47">
        <v>1</v>
      </c>
      <c r="J47">
        <f t="shared" si="4"/>
        <v>-0.79691576401450104</v>
      </c>
      <c r="K47">
        <f t="shared" si="5"/>
        <v>-0.56326515177521741</v>
      </c>
      <c r="L47">
        <v>1</v>
      </c>
      <c r="M47">
        <f t="shared" si="6"/>
        <v>0.4857043422441214</v>
      </c>
      <c r="N47">
        <f t="shared" si="7"/>
        <v>3.6733430609999999E-2</v>
      </c>
      <c r="O47">
        <f t="shared" si="8"/>
        <v>7.4368295100000004E-3</v>
      </c>
      <c r="P47">
        <f t="shared" si="9"/>
        <v>3.339054941109601E-2</v>
      </c>
      <c r="V47">
        <v>-1.7000000000000199</v>
      </c>
      <c r="W47">
        <f t="shared" si="12"/>
        <v>-0.44343999999999906</v>
      </c>
    </row>
    <row r="48" spans="1:23" x14ac:dyDescent="0.3">
      <c r="A48">
        <v>2.3039939</v>
      </c>
      <c r="B48">
        <v>0.65566999999999998</v>
      </c>
      <c r="C48">
        <f t="shared" si="0"/>
        <v>1.5106596804129999</v>
      </c>
      <c r="D48">
        <v>1.6299999999999999E-2</v>
      </c>
      <c r="E48">
        <v>3.3E-3</v>
      </c>
      <c r="F48">
        <f t="shared" si="1"/>
        <v>460.79878000000002</v>
      </c>
      <c r="G48">
        <f t="shared" si="2"/>
        <v>-0.65566999999999998</v>
      </c>
      <c r="H48">
        <f t="shared" si="3"/>
        <v>-302.13193608259996</v>
      </c>
      <c r="I48">
        <v>1</v>
      </c>
      <c r="J48">
        <f t="shared" si="4"/>
        <v>-0.77479381717340479</v>
      </c>
      <c r="K48">
        <f t="shared" si="5"/>
        <v>-0.56605515177521748</v>
      </c>
      <c r="L48">
        <v>1</v>
      </c>
      <c r="M48">
        <f t="shared" si="6"/>
        <v>0.48673964935628466</v>
      </c>
      <c r="N48">
        <f t="shared" si="7"/>
        <v>3.755510057E-2</v>
      </c>
      <c r="O48">
        <f t="shared" si="8"/>
        <v>7.6031798699999998E-3</v>
      </c>
      <c r="P48">
        <f t="shared" si="9"/>
        <v>3.4157221978932818E-2</v>
      </c>
      <c r="V48">
        <v>-1.6000000000000201</v>
      </c>
      <c r="W48">
        <f t="shared" si="12"/>
        <v>-0.44811999999999907</v>
      </c>
    </row>
    <row r="49" spans="1:23" x14ac:dyDescent="0.3">
      <c r="A49">
        <v>2.3584765999999999</v>
      </c>
      <c r="B49">
        <v>0.65261999999999998</v>
      </c>
      <c r="C49">
        <f t="shared" si="0"/>
        <v>1.539188998692</v>
      </c>
      <c r="D49">
        <v>1.6299999999999999E-2</v>
      </c>
      <c r="E49">
        <v>3.3E-3</v>
      </c>
      <c r="F49">
        <f t="shared" si="1"/>
        <v>471.69531999999998</v>
      </c>
      <c r="G49">
        <f t="shared" si="2"/>
        <v>-0.65261999999999998</v>
      </c>
      <c r="H49">
        <f t="shared" si="3"/>
        <v>-307.83779973840001</v>
      </c>
      <c r="I49">
        <v>1</v>
      </c>
      <c r="J49">
        <f t="shared" si="4"/>
        <v>-0.75142201030145384</v>
      </c>
      <c r="K49">
        <f t="shared" si="5"/>
        <v>-0.56910515177521748</v>
      </c>
      <c r="L49">
        <v>1</v>
      </c>
      <c r="M49">
        <f t="shared" si="6"/>
        <v>0.48783344991789196</v>
      </c>
      <c r="N49">
        <f t="shared" si="7"/>
        <v>3.8443168579999992E-2</v>
      </c>
      <c r="O49">
        <f t="shared" si="8"/>
        <v>7.7829727799999995E-3</v>
      </c>
      <c r="P49">
        <f t="shared" si="9"/>
        <v>3.5045560497325524E-2</v>
      </c>
      <c r="V49">
        <v>-1.50000000000002</v>
      </c>
      <c r="W49">
        <f t="shared" si="12"/>
        <v>-0.45279999999999909</v>
      </c>
    </row>
    <row r="50" spans="1:23" x14ac:dyDescent="0.3">
      <c r="A50">
        <v>2.409395</v>
      </c>
      <c r="B50">
        <v>0.65012000000000003</v>
      </c>
      <c r="C50">
        <f t="shared" si="0"/>
        <v>1.5663958774</v>
      </c>
      <c r="D50">
        <v>1.6299999999999999E-2</v>
      </c>
      <c r="E50">
        <v>3.3E-3</v>
      </c>
      <c r="F50">
        <f t="shared" si="1"/>
        <v>481.87900000000002</v>
      </c>
      <c r="G50">
        <f t="shared" si="2"/>
        <v>-0.65012000000000003</v>
      </c>
      <c r="H50">
        <f t="shared" si="3"/>
        <v>-313.27917547999999</v>
      </c>
      <c r="I50">
        <v>1</v>
      </c>
      <c r="J50">
        <f t="shared" si="4"/>
        <v>-0.7300622337910837</v>
      </c>
      <c r="K50">
        <f t="shared" si="5"/>
        <v>-0.57160515177521742</v>
      </c>
      <c r="L50">
        <v>1</v>
      </c>
      <c r="M50">
        <f t="shared" si="6"/>
        <v>0.48883308745857729</v>
      </c>
      <c r="N50">
        <f t="shared" si="7"/>
        <v>3.9273138499999999E-2</v>
      </c>
      <c r="O50">
        <f t="shared" si="8"/>
        <v>7.9510034999999996E-3</v>
      </c>
      <c r="P50">
        <f t="shared" si="9"/>
        <v>3.554792231664014E-2</v>
      </c>
      <c r="V50">
        <v>-1.4000000000000199</v>
      </c>
      <c r="W50">
        <f t="shared" si="12"/>
        <v>-0.45747999999999911</v>
      </c>
    </row>
    <row r="51" spans="1:23" x14ac:dyDescent="0.3">
      <c r="A51">
        <v>2.4598042000000002</v>
      </c>
      <c r="B51">
        <v>0.64748000000000006</v>
      </c>
      <c r="C51">
        <f t="shared" si="0"/>
        <v>1.5926740234160002</v>
      </c>
      <c r="D51">
        <v>1.6299999999999999E-2</v>
      </c>
      <c r="E51">
        <v>3.3E-3</v>
      </c>
      <c r="F51">
        <f t="shared" si="1"/>
        <v>491.96084000000002</v>
      </c>
      <c r="G51">
        <f t="shared" si="2"/>
        <v>-0.64748000000000006</v>
      </c>
      <c r="H51">
        <f t="shared" si="3"/>
        <v>-318.53480468320004</v>
      </c>
      <c r="I51">
        <v>1</v>
      </c>
      <c r="J51">
        <f t="shared" si="4"/>
        <v>-0.70935615915349426</v>
      </c>
      <c r="K51">
        <f t="shared" si="5"/>
        <v>-0.5742451517752174</v>
      </c>
      <c r="L51">
        <v>1</v>
      </c>
      <c r="M51">
        <f t="shared" si="6"/>
        <v>0.48980213175161647</v>
      </c>
      <c r="N51">
        <f t="shared" si="7"/>
        <v>4.0094808459999999E-2</v>
      </c>
      <c r="O51">
        <f t="shared" si="8"/>
        <v>8.1173538600000008E-3</v>
      </c>
      <c r="P51">
        <f t="shared" si="9"/>
        <v>3.6230857703600933E-2</v>
      </c>
      <c r="V51">
        <v>-1.30000000000002</v>
      </c>
      <c r="W51">
        <f t="shared" si="12"/>
        <v>-0.46215999999999907</v>
      </c>
    </row>
    <row r="52" spans="1:23" x14ac:dyDescent="0.3">
      <c r="A52">
        <v>2.5107224000000001</v>
      </c>
      <c r="B52">
        <v>0.64487000000000005</v>
      </c>
      <c r="C52">
        <f t="shared" si="0"/>
        <v>1.6190895540880001</v>
      </c>
      <c r="D52">
        <v>1.6299999999999999E-2</v>
      </c>
      <c r="E52">
        <v>3.3E-3</v>
      </c>
      <c r="F52">
        <f t="shared" si="1"/>
        <v>502.14448000000004</v>
      </c>
      <c r="G52">
        <f t="shared" si="2"/>
        <v>-0.64487000000000005</v>
      </c>
      <c r="H52">
        <f t="shared" si="3"/>
        <v>-323.81791081760002</v>
      </c>
      <c r="I52">
        <v>1</v>
      </c>
      <c r="J52">
        <f t="shared" si="4"/>
        <v>-0.68886739193446511</v>
      </c>
      <c r="K52">
        <f t="shared" si="5"/>
        <v>-0.5768551517752174</v>
      </c>
      <c r="L52">
        <v>1</v>
      </c>
      <c r="M52">
        <f t="shared" si="6"/>
        <v>0.49076100605746703</v>
      </c>
      <c r="N52">
        <f t="shared" si="7"/>
        <v>4.092477512E-2</v>
      </c>
      <c r="O52">
        <f t="shared" si="8"/>
        <v>8.2853839200000001E-3</v>
      </c>
      <c r="P52">
        <f t="shared" si="9"/>
        <v>3.688398667775037E-2</v>
      </c>
      <c r="V52">
        <v>-1.2000000000000199</v>
      </c>
      <c r="W52">
        <f t="shared" si="12"/>
        <v>-0.46683999999999909</v>
      </c>
    </row>
    <row r="53" spans="1:23" x14ac:dyDescent="0.3">
      <c r="A53">
        <v>2.5646955999999999</v>
      </c>
      <c r="B53">
        <v>0.64217000000000002</v>
      </c>
      <c r="C53">
        <f t="shared" si="0"/>
        <v>1.6469705734519999</v>
      </c>
      <c r="D53">
        <v>1.6299999999999999E-2</v>
      </c>
      <c r="E53">
        <v>3.3E-3</v>
      </c>
      <c r="F53">
        <f t="shared" si="1"/>
        <v>512.93912</v>
      </c>
      <c r="G53">
        <f t="shared" si="2"/>
        <v>-0.64217000000000002</v>
      </c>
      <c r="H53">
        <f t="shared" si="3"/>
        <v>-329.39411469039999</v>
      </c>
      <c r="I53">
        <v>1</v>
      </c>
      <c r="J53">
        <f t="shared" si="4"/>
        <v>-0.66759811531767654</v>
      </c>
      <c r="K53">
        <f t="shared" si="5"/>
        <v>-0.57955515177521744</v>
      </c>
      <c r="L53">
        <v>1</v>
      </c>
      <c r="M53">
        <f t="shared" si="6"/>
        <v>0.49175640820313277</v>
      </c>
      <c r="N53">
        <f t="shared" si="7"/>
        <v>4.1804538279999991E-2</v>
      </c>
      <c r="O53">
        <f t="shared" si="8"/>
        <v>8.4634954799999995E-3</v>
      </c>
      <c r="P53">
        <f t="shared" si="9"/>
        <v>3.753070981208468E-2</v>
      </c>
      <c r="V53">
        <v>-1.1000000000000201</v>
      </c>
      <c r="W53">
        <f t="shared" si="12"/>
        <v>-0.47151999999999905</v>
      </c>
    </row>
    <row r="54" spans="1:23" x14ac:dyDescent="0.3">
      <c r="A54">
        <v>2.6151046999999998</v>
      </c>
      <c r="B54">
        <v>0.63966999999999996</v>
      </c>
      <c r="C54">
        <f t="shared" si="0"/>
        <v>1.6728040234489998</v>
      </c>
      <c r="D54">
        <v>1.6299999999999999E-2</v>
      </c>
      <c r="E54">
        <v>3.3E-3</v>
      </c>
      <c r="F54">
        <f t="shared" si="1"/>
        <v>523.02094</v>
      </c>
      <c r="G54">
        <f t="shared" si="2"/>
        <v>-0.63966999999999996</v>
      </c>
      <c r="H54">
        <f t="shared" si="3"/>
        <v>-334.56080468979997</v>
      </c>
      <c r="I54">
        <v>1</v>
      </c>
      <c r="J54">
        <f t="shared" si="4"/>
        <v>-0.64813377747780532</v>
      </c>
      <c r="K54">
        <f t="shared" si="5"/>
        <v>-0.58205515177521749</v>
      </c>
      <c r="L54">
        <v>1</v>
      </c>
      <c r="M54">
        <f t="shared" si="6"/>
        <v>0.49266733921403871</v>
      </c>
      <c r="N54">
        <f t="shared" si="7"/>
        <v>4.2626206609999995E-2</v>
      </c>
      <c r="O54">
        <f t="shared" si="8"/>
        <v>8.6298455099999994E-3</v>
      </c>
      <c r="P54">
        <f t="shared" si="9"/>
        <v>3.8131760441178789E-2</v>
      </c>
      <c r="V54">
        <v>-1.00000000000002</v>
      </c>
      <c r="W54">
        <f t="shared" si="12"/>
        <v>-0.47619999999999907</v>
      </c>
    </row>
    <row r="55" spans="1:23" x14ac:dyDescent="0.3">
      <c r="A55">
        <v>2.6706059999999998</v>
      </c>
      <c r="B55">
        <v>0.63683000000000001</v>
      </c>
      <c r="C55">
        <f t="shared" si="0"/>
        <v>1.7007220189799999</v>
      </c>
      <c r="D55">
        <v>1.6299999999999999E-2</v>
      </c>
      <c r="E55">
        <v>3.3E-3</v>
      </c>
      <c r="F55">
        <f t="shared" si="1"/>
        <v>534.12119999999993</v>
      </c>
      <c r="G55">
        <f t="shared" si="2"/>
        <v>-0.63683000000000001</v>
      </c>
      <c r="H55">
        <f t="shared" si="3"/>
        <v>-340.14440379599995</v>
      </c>
      <c r="I55">
        <v>1</v>
      </c>
      <c r="J55">
        <f t="shared" si="4"/>
        <v>-0.62713249948275973</v>
      </c>
      <c r="K55">
        <f t="shared" si="5"/>
        <v>-0.58489515177521745</v>
      </c>
      <c r="L55">
        <v>1</v>
      </c>
      <c r="M55">
        <f t="shared" si="6"/>
        <v>0.49365019902420687</v>
      </c>
      <c r="N55">
        <f t="shared" si="7"/>
        <v>4.3530877799999992E-2</v>
      </c>
      <c r="O55">
        <f t="shared" si="8"/>
        <v>8.8129997999999987E-3</v>
      </c>
      <c r="P55">
        <f t="shared" si="9"/>
        <v>3.8901075151010586E-2</v>
      </c>
      <c r="V55">
        <v>-0.90000000000002001</v>
      </c>
      <c r="W55">
        <f t="shared" si="12"/>
        <v>-0.48087999999999909</v>
      </c>
    </row>
    <row r="56" spans="1:23" x14ac:dyDescent="0.3">
      <c r="A56">
        <v>2.7210150999999998</v>
      </c>
      <c r="B56">
        <v>0.63424999999999998</v>
      </c>
      <c r="C56">
        <f t="shared" si="0"/>
        <v>1.7258038271749998</v>
      </c>
      <c r="D56">
        <v>1.6299999999999999E-2</v>
      </c>
      <c r="E56">
        <v>3.3E-3</v>
      </c>
      <c r="F56">
        <f t="shared" si="1"/>
        <v>544.20301999999992</v>
      </c>
      <c r="G56">
        <f t="shared" si="2"/>
        <v>-0.63424999999999998</v>
      </c>
      <c r="H56">
        <f t="shared" si="3"/>
        <v>-345.16076543499997</v>
      </c>
      <c r="I56">
        <v>1</v>
      </c>
      <c r="J56">
        <f t="shared" si="4"/>
        <v>-0.60843290321803289</v>
      </c>
      <c r="K56">
        <f t="shared" si="5"/>
        <v>-0.58747515177521747</v>
      </c>
      <c r="L56">
        <v>1</v>
      </c>
      <c r="M56">
        <f t="shared" si="6"/>
        <v>0.49452534012939608</v>
      </c>
      <c r="N56">
        <f t="shared" si="7"/>
        <v>4.435254612999999E-2</v>
      </c>
      <c r="O56">
        <f t="shared" si="8"/>
        <v>8.9793498299999986E-3</v>
      </c>
      <c r="P56">
        <f t="shared" si="9"/>
        <v>3.9617915685821403E-2</v>
      </c>
      <c r="V56">
        <v>-0.80000000000002003</v>
      </c>
      <c r="W56">
        <f t="shared" si="12"/>
        <v>-0.4855599999999991</v>
      </c>
    </row>
    <row r="57" spans="1:23" x14ac:dyDescent="0.3">
      <c r="A57">
        <v>2.7734608999999999</v>
      </c>
      <c r="B57">
        <v>0.63163000000000002</v>
      </c>
      <c r="C57">
        <f t="shared" si="0"/>
        <v>1.751801108267</v>
      </c>
      <c r="D57">
        <v>1.6299999999999999E-2</v>
      </c>
      <c r="E57">
        <v>3.3E-3</v>
      </c>
      <c r="F57">
        <f t="shared" si="1"/>
        <v>554.69218000000001</v>
      </c>
      <c r="G57">
        <f t="shared" si="2"/>
        <v>-0.63163000000000002</v>
      </c>
      <c r="H57">
        <f t="shared" si="3"/>
        <v>-350.3602216534</v>
      </c>
      <c r="I57">
        <v>1</v>
      </c>
      <c r="J57">
        <f t="shared" si="4"/>
        <v>-0.58934194973079601</v>
      </c>
      <c r="K57">
        <f t="shared" si="5"/>
        <v>-0.59009515177521743</v>
      </c>
      <c r="L57">
        <v>1</v>
      </c>
      <c r="M57">
        <f t="shared" si="6"/>
        <v>0.49541879675259876</v>
      </c>
      <c r="N57">
        <f t="shared" si="7"/>
        <v>4.5207412669999995E-2</v>
      </c>
      <c r="O57">
        <f t="shared" si="8"/>
        <v>9.1524209700000001E-3</v>
      </c>
      <c r="P57">
        <f t="shared" si="9"/>
        <v>4.0316521382618681E-2</v>
      </c>
      <c r="V57">
        <v>-0.70000000000002005</v>
      </c>
      <c r="W57">
        <f t="shared" si="12"/>
        <v>-0.49023999999999907</v>
      </c>
    </row>
    <row r="58" spans="1:23" x14ac:dyDescent="0.3">
      <c r="A58">
        <v>2.8259067</v>
      </c>
      <c r="B58">
        <v>0.62897999999999998</v>
      </c>
      <c r="C58">
        <f t="shared" si="0"/>
        <v>1.7774387961659999</v>
      </c>
      <c r="D58">
        <v>1.6299999999999999E-2</v>
      </c>
      <c r="E58">
        <v>3.3E-3</v>
      </c>
      <c r="F58">
        <f t="shared" si="1"/>
        <v>565.18133999999998</v>
      </c>
      <c r="G58">
        <f t="shared" si="2"/>
        <v>-0.62897999999999998</v>
      </c>
      <c r="H58">
        <f t="shared" si="3"/>
        <v>-355.48775923319999</v>
      </c>
      <c r="I58">
        <v>1</v>
      </c>
      <c r="J58">
        <f t="shared" si="4"/>
        <v>-0.57060864357876306</v>
      </c>
      <c r="K58">
        <f t="shared" si="5"/>
        <v>-0.59274515177521747</v>
      </c>
      <c r="L58">
        <v>1</v>
      </c>
      <c r="M58">
        <f t="shared" si="6"/>
        <v>0.49629551548051393</v>
      </c>
      <c r="N58">
        <f t="shared" si="7"/>
        <v>4.6062279209999994E-2</v>
      </c>
      <c r="O58">
        <f t="shared" si="8"/>
        <v>9.3254921099999999E-3</v>
      </c>
      <c r="P58">
        <f t="shared" si="9"/>
        <v>4.1061864974703551E-2</v>
      </c>
      <c r="V58">
        <v>-0.60000000000001996</v>
      </c>
      <c r="W58">
        <f t="shared" si="12"/>
        <v>-0.49491999999999908</v>
      </c>
    </row>
    <row r="59" spans="1:23" x14ac:dyDescent="0.3">
      <c r="A59">
        <v>2.8768251999999999</v>
      </c>
      <c r="B59">
        <v>0.62631000000000003</v>
      </c>
      <c r="C59">
        <f t="shared" si="0"/>
        <v>1.8017843910119999</v>
      </c>
      <c r="D59">
        <v>1.6299999999999999E-2</v>
      </c>
      <c r="E59">
        <v>3.3E-3</v>
      </c>
      <c r="F59">
        <f t="shared" si="1"/>
        <v>575.36504000000002</v>
      </c>
      <c r="G59">
        <f t="shared" si="2"/>
        <v>-0.62631000000000003</v>
      </c>
      <c r="H59">
        <f t="shared" si="3"/>
        <v>-360.35687820239997</v>
      </c>
      <c r="I59">
        <v>1</v>
      </c>
      <c r="J59">
        <f t="shared" si="4"/>
        <v>-0.55275058744426586</v>
      </c>
      <c r="K59">
        <f t="shared" si="5"/>
        <v>-0.59541515177521742</v>
      </c>
      <c r="L59">
        <v>1</v>
      </c>
      <c r="M59">
        <f t="shared" si="6"/>
        <v>0.49713127250760836</v>
      </c>
      <c r="N59">
        <f t="shared" si="7"/>
        <v>4.6892250759999997E-2</v>
      </c>
      <c r="O59">
        <f t="shared" si="8"/>
        <v>9.4935231599999996E-3</v>
      </c>
      <c r="P59">
        <f t="shared" si="9"/>
        <v>4.1898105347609071E-2</v>
      </c>
      <c r="V59">
        <v>-0.50000000000001998</v>
      </c>
      <c r="W59">
        <f t="shared" si="12"/>
        <v>-0.4995999999999991</v>
      </c>
    </row>
    <row r="60" spans="1:23" x14ac:dyDescent="0.3">
      <c r="A60">
        <v>2.9302893000000001</v>
      </c>
      <c r="B60">
        <v>0.62377000000000005</v>
      </c>
      <c r="C60">
        <f t="shared" si="0"/>
        <v>1.8278265566610001</v>
      </c>
      <c r="D60">
        <v>1.6299999999999999E-2</v>
      </c>
      <c r="E60">
        <v>3.3E-3</v>
      </c>
      <c r="F60">
        <f t="shared" si="1"/>
        <v>586.05786000000001</v>
      </c>
      <c r="G60">
        <f t="shared" si="2"/>
        <v>-0.62377000000000005</v>
      </c>
      <c r="H60">
        <f t="shared" si="3"/>
        <v>-365.56531133220005</v>
      </c>
      <c r="I60">
        <v>1</v>
      </c>
      <c r="J60">
        <f t="shared" si="4"/>
        <v>-0.5343367570779558</v>
      </c>
      <c r="K60">
        <f t="shared" si="5"/>
        <v>-0.59795515177521741</v>
      </c>
      <c r="L60">
        <v>1</v>
      </c>
      <c r="M60">
        <f t="shared" si="6"/>
        <v>0.4979930397687517</v>
      </c>
      <c r="N60">
        <f t="shared" si="7"/>
        <v>4.7763715589999999E-2</v>
      </c>
      <c r="O60">
        <f t="shared" si="8"/>
        <v>9.6699546899999995E-3</v>
      </c>
      <c r="P60">
        <f t="shared" si="9"/>
        <v>4.2528441726465707E-2</v>
      </c>
      <c r="V60">
        <v>-0.40000000000002001</v>
      </c>
      <c r="W60">
        <f t="shared" si="12"/>
        <v>-0.50427999999999906</v>
      </c>
    </row>
    <row r="61" spans="1:23" x14ac:dyDescent="0.3">
      <c r="A61">
        <v>2.9817168000000001</v>
      </c>
      <c r="B61">
        <v>0.62121000000000004</v>
      </c>
      <c r="C61">
        <f t="shared" si="0"/>
        <v>1.8522722933280003</v>
      </c>
      <c r="D61">
        <v>1.6299999999999999E-2</v>
      </c>
      <c r="E61">
        <v>3.3E-3</v>
      </c>
      <c r="F61">
        <f t="shared" si="1"/>
        <v>596.34335999999996</v>
      </c>
      <c r="G61">
        <f t="shared" si="2"/>
        <v>-0.62121000000000004</v>
      </c>
      <c r="H61">
        <f t="shared" si="3"/>
        <v>-370.45445866560004</v>
      </c>
      <c r="I61">
        <v>1</v>
      </c>
      <c r="J61">
        <f t="shared" si="4"/>
        <v>-0.51693867042038599</v>
      </c>
      <c r="K61">
        <f t="shared" si="5"/>
        <v>-0.60051515177521742</v>
      </c>
      <c r="L61">
        <v>1</v>
      </c>
      <c r="M61">
        <f t="shared" si="6"/>
        <v>0.49880727022432597</v>
      </c>
      <c r="N61">
        <f t="shared" si="7"/>
        <v>4.8601983839999995E-2</v>
      </c>
      <c r="O61">
        <f t="shared" si="8"/>
        <v>9.8396654400000009E-3</v>
      </c>
      <c r="P61">
        <f t="shared" si="9"/>
        <v>4.326623227089145E-2</v>
      </c>
      <c r="V61">
        <v>-0.30000000000001997</v>
      </c>
      <c r="W61">
        <f t="shared" si="12"/>
        <v>-0.50895999999999908</v>
      </c>
    </row>
    <row r="62" spans="1:23" x14ac:dyDescent="0.3">
      <c r="A62">
        <v>3.0336536000000001</v>
      </c>
      <c r="B62">
        <v>0.61875000000000002</v>
      </c>
      <c r="C62">
        <f t="shared" si="0"/>
        <v>1.8770731650000001</v>
      </c>
      <c r="D62">
        <v>1.6299999999999999E-2</v>
      </c>
      <c r="E62">
        <v>3.3E-3</v>
      </c>
      <c r="F62">
        <f t="shared" si="1"/>
        <v>606.73072000000002</v>
      </c>
      <c r="G62">
        <f t="shared" si="2"/>
        <v>-0.61875000000000002</v>
      </c>
      <c r="H62">
        <f t="shared" si="3"/>
        <v>-375.41463300000004</v>
      </c>
      <c r="I62">
        <v>1</v>
      </c>
      <c r="J62">
        <f t="shared" si="4"/>
        <v>-0.49967021073525436</v>
      </c>
      <c r="K62">
        <f t="shared" si="5"/>
        <v>-0.60297515177521743</v>
      </c>
      <c r="L62">
        <v>1</v>
      </c>
      <c r="M62">
        <f t="shared" si="6"/>
        <v>0.49961543413759013</v>
      </c>
      <c r="N62">
        <f t="shared" si="7"/>
        <v>4.9448553679999993E-2</v>
      </c>
      <c r="O62">
        <f t="shared" si="8"/>
        <v>1.0011056880000001E-2</v>
      </c>
      <c r="P62">
        <f t="shared" si="9"/>
        <v>4.3900107077627308E-2</v>
      </c>
      <c r="V62">
        <v>-0.20000000000002</v>
      </c>
      <c r="W62">
        <f t="shared" si="12"/>
        <v>-0.5136399999999991</v>
      </c>
    </row>
    <row r="63" spans="1:23" x14ac:dyDescent="0.3">
      <c r="A63">
        <v>3.0871176999999999</v>
      </c>
      <c r="B63">
        <v>0.61631999999999998</v>
      </c>
      <c r="C63">
        <f t="shared" si="0"/>
        <v>1.9026523808639999</v>
      </c>
      <c r="D63">
        <v>1.6299999999999999E-2</v>
      </c>
      <c r="E63">
        <v>3.3E-3</v>
      </c>
      <c r="F63">
        <f t="shared" si="1"/>
        <v>617.42354</v>
      </c>
      <c r="G63">
        <f t="shared" si="2"/>
        <v>-0.61631999999999998</v>
      </c>
      <c r="H63">
        <f t="shared" si="3"/>
        <v>-380.53047617279998</v>
      </c>
      <c r="I63">
        <v>1</v>
      </c>
      <c r="J63">
        <f t="shared" si="4"/>
        <v>-0.48220004000891264</v>
      </c>
      <c r="K63">
        <f t="shared" si="5"/>
        <v>-0.60540515177521748</v>
      </c>
      <c r="L63">
        <v>1</v>
      </c>
      <c r="M63">
        <f t="shared" si="6"/>
        <v>0.50043303812758289</v>
      </c>
      <c r="N63">
        <f t="shared" si="7"/>
        <v>5.0320018509999995E-2</v>
      </c>
      <c r="O63">
        <f t="shared" si="8"/>
        <v>1.0187488409999999E-2</v>
      </c>
      <c r="P63">
        <f t="shared" si="9"/>
        <v>4.4464606727634595E-2</v>
      </c>
      <c r="V63">
        <v>-0.10000000000002</v>
      </c>
      <c r="W63">
        <f t="shared" si="12"/>
        <v>-0.51831999999999911</v>
      </c>
    </row>
    <row r="64" spans="1:23" x14ac:dyDescent="0.3">
      <c r="A64">
        <v>3.1400728</v>
      </c>
      <c r="B64">
        <v>0.61351</v>
      </c>
      <c r="C64">
        <f t="shared" si="0"/>
        <v>1.926466063528</v>
      </c>
      <c r="D64">
        <v>1.6299999999999999E-2</v>
      </c>
      <c r="E64">
        <v>3.3E-3</v>
      </c>
      <c r="F64">
        <f t="shared" si="1"/>
        <v>628.01455999999996</v>
      </c>
      <c r="G64">
        <f t="shared" si="2"/>
        <v>-0.61351</v>
      </c>
      <c r="H64">
        <f t="shared" si="3"/>
        <v>-385.29321270560001</v>
      </c>
      <c r="I64">
        <v>1</v>
      </c>
      <c r="J64">
        <f t="shared" si="4"/>
        <v>-0.46519192806932391</v>
      </c>
      <c r="K64">
        <f t="shared" si="5"/>
        <v>-0.60821515177521746</v>
      </c>
      <c r="L64">
        <v>1</v>
      </c>
      <c r="M64">
        <f t="shared" si="6"/>
        <v>0.50122901776635564</v>
      </c>
      <c r="N64">
        <f t="shared" si="7"/>
        <v>5.1183186639999996E-2</v>
      </c>
      <c r="O64">
        <f t="shared" si="8"/>
        <v>1.0362240240000001E-2</v>
      </c>
      <c r="P64">
        <f t="shared" si="9"/>
        <v>4.5440707128861814E-2</v>
      </c>
      <c r="V64">
        <v>-2.0428103653102899E-14</v>
      </c>
      <c r="W64">
        <f t="shared" si="12"/>
        <v>-0.52299999999999902</v>
      </c>
    </row>
    <row r="65" spans="1:23" x14ac:dyDescent="0.3">
      <c r="A65">
        <v>3.1915005000000001</v>
      </c>
      <c r="B65">
        <v>0.61099000000000003</v>
      </c>
      <c r="C65">
        <f t="shared" si="0"/>
        <v>1.9499748904950001</v>
      </c>
      <c r="D65">
        <v>1.6299999999999999E-2</v>
      </c>
      <c r="E65">
        <v>3.3E-3</v>
      </c>
      <c r="F65">
        <f t="shared" si="1"/>
        <v>638.30010000000004</v>
      </c>
      <c r="G65">
        <f t="shared" si="2"/>
        <v>-0.61099000000000003</v>
      </c>
      <c r="H65">
        <f t="shared" si="3"/>
        <v>-389.99497809900004</v>
      </c>
      <c r="I65">
        <v>1</v>
      </c>
      <c r="J65">
        <f t="shared" si="4"/>
        <v>-0.44894673005399321</v>
      </c>
      <c r="K65">
        <f t="shared" si="5"/>
        <v>-0.61073515177521742</v>
      </c>
      <c r="L65">
        <v>1</v>
      </c>
      <c r="M65">
        <f t="shared" si="6"/>
        <v>0.50198929303347317</v>
      </c>
      <c r="N65">
        <f t="shared" si="7"/>
        <v>5.2021458149999998E-2</v>
      </c>
      <c r="O65">
        <f t="shared" si="8"/>
        <v>1.0531951649999999E-2</v>
      </c>
      <c r="P65">
        <f t="shared" si="9"/>
        <v>4.6192448941744249E-2</v>
      </c>
      <c r="V65">
        <v>9.9999999999980105E-2</v>
      </c>
      <c r="W65">
        <f t="shared" si="12"/>
        <v>-0.52767999999999904</v>
      </c>
    </row>
    <row r="66" spans="1:23" x14ac:dyDescent="0.3">
      <c r="A66">
        <v>3.2419096999999999</v>
      </c>
      <c r="B66">
        <v>0.60857000000000006</v>
      </c>
      <c r="C66">
        <f t="shared" si="0"/>
        <v>1.972928986129</v>
      </c>
      <c r="D66">
        <v>1.6299999999999999E-2</v>
      </c>
      <c r="E66">
        <v>3.3E-3</v>
      </c>
      <c r="F66">
        <f t="shared" si="1"/>
        <v>648.38193999999999</v>
      </c>
      <c r="G66">
        <f t="shared" si="2"/>
        <v>-0.60857000000000006</v>
      </c>
      <c r="H66">
        <f t="shared" si="3"/>
        <v>-394.58579722579998</v>
      </c>
      <c r="I66">
        <v>1</v>
      </c>
      <c r="J66">
        <f t="shared" si="4"/>
        <v>-0.43327534268557427</v>
      </c>
      <c r="K66">
        <f t="shared" si="5"/>
        <v>-0.6131551517752174</v>
      </c>
      <c r="L66">
        <v>1</v>
      </c>
      <c r="M66">
        <f t="shared" si="6"/>
        <v>0.50272271396231516</v>
      </c>
      <c r="N66">
        <f t="shared" si="7"/>
        <v>5.2843128109999991E-2</v>
      </c>
      <c r="O66">
        <f t="shared" si="8"/>
        <v>1.0698302009999999E-2</v>
      </c>
      <c r="P66">
        <f t="shared" si="9"/>
        <v>4.6891007692902248E-2</v>
      </c>
      <c r="V66">
        <v>0.19999999999998</v>
      </c>
      <c r="W66">
        <f t="shared" si="12"/>
        <v>-0.53235999999999906</v>
      </c>
    </row>
    <row r="67" spans="1:23" x14ac:dyDescent="0.3">
      <c r="A67">
        <v>3.2928275999999999</v>
      </c>
      <c r="B67">
        <v>0.60607</v>
      </c>
      <c r="C67">
        <f t="shared" si="0"/>
        <v>1.9956840235319999</v>
      </c>
      <c r="D67">
        <v>1.6299999999999999E-2</v>
      </c>
      <c r="E67">
        <v>3.3E-3</v>
      </c>
      <c r="F67">
        <f t="shared" si="1"/>
        <v>658.56551999999999</v>
      </c>
      <c r="G67">
        <f t="shared" si="2"/>
        <v>-0.60607</v>
      </c>
      <c r="H67">
        <f t="shared" si="3"/>
        <v>-399.13680470639997</v>
      </c>
      <c r="I67">
        <v>1</v>
      </c>
      <c r="J67">
        <f t="shared" si="4"/>
        <v>-0.41769126388743683</v>
      </c>
      <c r="K67">
        <f t="shared" si="5"/>
        <v>-0.61565515177521746</v>
      </c>
      <c r="L67">
        <v>1</v>
      </c>
      <c r="M67">
        <f t="shared" si="6"/>
        <v>0.503452048850068</v>
      </c>
      <c r="N67">
        <f t="shared" si="7"/>
        <v>5.367308987999999E-2</v>
      </c>
      <c r="O67">
        <f t="shared" si="8"/>
        <v>1.086633108E-2</v>
      </c>
      <c r="P67">
        <f t="shared" si="9"/>
        <v>4.7663681965149467E-2</v>
      </c>
      <c r="V67">
        <v>0.29999999999998</v>
      </c>
      <c r="W67">
        <f t="shared" si="12"/>
        <v>-0.53703999999999907</v>
      </c>
    </row>
    <row r="68" spans="1:23" x14ac:dyDescent="0.3">
      <c r="A68">
        <v>3.3432368000000001</v>
      </c>
      <c r="B68">
        <v>0.60389000000000004</v>
      </c>
      <c r="C68">
        <f t="shared" ref="C68:C131" si="13">A68*B68</f>
        <v>2.0189472711520002</v>
      </c>
      <c r="D68">
        <v>1.6299999999999999E-2</v>
      </c>
      <c r="E68">
        <v>3.3E-3</v>
      </c>
      <c r="F68">
        <f t="shared" ref="F68:F131" si="14">A68*200</f>
        <v>668.64736000000005</v>
      </c>
      <c r="G68">
        <f t="shared" ref="G68:G131" si="15">-B68</f>
        <v>-0.60389000000000004</v>
      </c>
      <c r="H68">
        <f t="shared" ref="H68:H131" si="16">-C68*200</f>
        <v>-403.78945423040005</v>
      </c>
      <c r="I68">
        <v>1</v>
      </c>
      <c r="J68">
        <f t="shared" ref="J68:J131" si="17">LN(F68/1000)</f>
        <v>-0.40249847292507035</v>
      </c>
      <c r="K68">
        <f t="shared" ref="K68:K131" si="18">((-G68)-$N$2)</f>
        <v>-0.61783515177521742</v>
      </c>
      <c r="L68">
        <v>1</v>
      </c>
      <c r="M68">
        <f t="shared" ref="M68:M131" si="19">-1*($S$4+($S$5*J68))</f>
        <v>0.5041630714671067</v>
      </c>
      <c r="N68">
        <f t="shared" ref="N68:N131" si="20">D68*A68</f>
        <v>5.4494759839999997E-2</v>
      </c>
      <c r="O68">
        <f t="shared" ref="O68:O131" si="21">E68*A68</f>
        <v>1.1032681440000001E-2</v>
      </c>
      <c r="P68">
        <f t="shared" ref="P68:P131" si="22">-K68-M68-N68-O68</f>
        <v>4.8144639028110711E-2</v>
      </c>
      <c r="V68">
        <v>0.39999999999997998</v>
      </c>
      <c r="W68">
        <f t="shared" ref="W68:W99" si="23">V68*$S$5+$S$4</f>
        <v>-0.54171999999999909</v>
      </c>
    </row>
    <row r="69" spans="1:23" x14ac:dyDescent="0.3">
      <c r="A69">
        <v>3.3961920999999999</v>
      </c>
      <c r="B69">
        <v>0.60152000000000005</v>
      </c>
      <c r="C69">
        <f t="shared" si="13"/>
        <v>2.042877471992</v>
      </c>
      <c r="D69">
        <v>1.6299999999999999E-2</v>
      </c>
      <c r="E69">
        <v>3.3E-3</v>
      </c>
      <c r="F69">
        <f t="shared" si="14"/>
        <v>679.23842000000002</v>
      </c>
      <c r="G69">
        <f t="shared" si="15"/>
        <v>-0.60152000000000005</v>
      </c>
      <c r="H69">
        <f t="shared" si="16"/>
        <v>-408.5754943984</v>
      </c>
      <c r="I69">
        <v>1</v>
      </c>
      <c r="J69">
        <f t="shared" si="17"/>
        <v>-0.38678307903594533</v>
      </c>
      <c r="K69">
        <f t="shared" si="18"/>
        <v>-0.6202051517752174</v>
      </c>
      <c r="L69">
        <v>1</v>
      </c>
      <c r="M69">
        <f t="shared" si="19"/>
        <v>0.50489855190111776</v>
      </c>
      <c r="N69">
        <f t="shared" si="20"/>
        <v>5.5357931229999997E-2</v>
      </c>
      <c r="O69">
        <f t="shared" si="21"/>
        <v>1.120743393E-2</v>
      </c>
      <c r="P69">
        <f t="shared" si="22"/>
        <v>4.8741234714099635E-2</v>
      </c>
      <c r="V69">
        <v>0.49999999999998002</v>
      </c>
      <c r="W69">
        <f t="shared" si="23"/>
        <v>-0.54639999999999911</v>
      </c>
    </row>
    <row r="70" spans="1:23" x14ac:dyDescent="0.3">
      <c r="A70">
        <v>3.449147</v>
      </c>
      <c r="B70">
        <v>0.59891000000000005</v>
      </c>
      <c r="C70">
        <f t="shared" si="13"/>
        <v>2.0657286297700002</v>
      </c>
      <c r="D70">
        <v>1.6299999999999999E-2</v>
      </c>
      <c r="E70">
        <v>3.3E-3</v>
      </c>
      <c r="F70">
        <f t="shared" si="14"/>
        <v>689.82939999999996</v>
      </c>
      <c r="G70">
        <f t="shared" si="15"/>
        <v>-0.59891000000000005</v>
      </c>
      <c r="H70">
        <f t="shared" si="16"/>
        <v>-413.14572595400006</v>
      </c>
      <c r="I70">
        <v>1</v>
      </c>
      <c r="J70">
        <f t="shared" si="17"/>
        <v>-0.37131095833806815</v>
      </c>
      <c r="K70">
        <f t="shared" si="18"/>
        <v>-0.6228151517752174</v>
      </c>
      <c r="L70">
        <v>1</v>
      </c>
      <c r="M70">
        <f t="shared" si="19"/>
        <v>0.50562264714977845</v>
      </c>
      <c r="N70">
        <f t="shared" si="20"/>
        <v>5.6221096099999993E-2</v>
      </c>
      <c r="O70">
        <f t="shared" si="21"/>
        <v>1.1382185099999999E-2</v>
      </c>
      <c r="P70">
        <f t="shared" si="22"/>
        <v>4.9589223425438964E-2</v>
      </c>
      <c r="V70">
        <v>0.59999999999997999</v>
      </c>
      <c r="W70">
        <f t="shared" si="23"/>
        <v>-0.55107999999999913</v>
      </c>
    </row>
    <row r="71" spans="1:23" x14ac:dyDescent="0.3">
      <c r="A71">
        <v>3.5000654</v>
      </c>
      <c r="B71">
        <v>0.59663999999999995</v>
      </c>
      <c r="C71">
        <f t="shared" si="13"/>
        <v>2.088279020256</v>
      </c>
      <c r="D71">
        <v>1.6299999999999999E-2</v>
      </c>
      <c r="E71">
        <v>3.3E-3</v>
      </c>
      <c r="F71">
        <f t="shared" si="14"/>
        <v>700.01307999999995</v>
      </c>
      <c r="G71">
        <f t="shared" si="15"/>
        <v>-0.59663999999999995</v>
      </c>
      <c r="H71">
        <f t="shared" si="16"/>
        <v>-417.65580405119999</v>
      </c>
      <c r="I71">
        <v>1</v>
      </c>
      <c r="J71">
        <f t="shared" si="17"/>
        <v>-0.35665625839902254</v>
      </c>
      <c r="K71">
        <f t="shared" si="18"/>
        <v>-0.62508515177521751</v>
      </c>
      <c r="L71">
        <v>1</v>
      </c>
      <c r="M71">
        <f t="shared" si="19"/>
        <v>0.50630848710692578</v>
      </c>
      <c r="N71">
        <f t="shared" si="20"/>
        <v>5.7051066019999992E-2</v>
      </c>
      <c r="O71">
        <f t="shared" si="21"/>
        <v>1.1550215819999999E-2</v>
      </c>
      <c r="P71">
        <f t="shared" si="22"/>
        <v>5.0175382828291738E-2</v>
      </c>
      <c r="V71">
        <v>0.69999999999997997</v>
      </c>
      <c r="W71">
        <f t="shared" si="23"/>
        <v>-0.55575999999999903</v>
      </c>
    </row>
    <row r="72" spans="1:23" x14ac:dyDescent="0.3">
      <c r="A72">
        <v>3.5525112000000001</v>
      </c>
      <c r="B72">
        <v>0.59397999999999995</v>
      </c>
      <c r="C72">
        <f t="shared" si="13"/>
        <v>2.110120602576</v>
      </c>
      <c r="D72">
        <v>1.6299999999999999E-2</v>
      </c>
      <c r="E72">
        <v>3.3E-3</v>
      </c>
      <c r="F72">
        <f t="shared" si="14"/>
        <v>710.50224000000003</v>
      </c>
      <c r="G72">
        <f t="shared" si="15"/>
        <v>-0.59397999999999995</v>
      </c>
      <c r="H72">
        <f t="shared" si="16"/>
        <v>-422.02412051520002</v>
      </c>
      <c r="I72">
        <v>1</v>
      </c>
      <c r="J72">
        <f t="shared" si="17"/>
        <v>-0.34178317874059183</v>
      </c>
      <c r="K72">
        <f t="shared" si="18"/>
        <v>-0.6277451517752175</v>
      </c>
      <c r="L72">
        <v>1</v>
      </c>
      <c r="M72">
        <f t="shared" si="19"/>
        <v>0.50700454723494037</v>
      </c>
      <c r="N72">
        <f t="shared" si="20"/>
        <v>5.7905932559999998E-2</v>
      </c>
      <c r="O72">
        <f t="shared" si="21"/>
        <v>1.1723286960000001E-2</v>
      </c>
      <c r="P72">
        <f t="shared" si="22"/>
        <v>5.1111385020277129E-2</v>
      </c>
      <c r="V72">
        <v>0.79999999999997995</v>
      </c>
      <c r="W72">
        <f t="shared" si="23"/>
        <v>-0.56043999999999905</v>
      </c>
    </row>
    <row r="73" spans="1:23" x14ac:dyDescent="0.3">
      <c r="A73">
        <v>3.6049570000000002</v>
      </c>
      <c r="B73">
        <v>0.59169000000000005</v>
      </c>
      <c r="C73">
        <f t="shared" si="13"/>
        <v>2.1330170073300003</v>
      </c>
      <c r="D73">
        <v>1.6299999999999999E-2</v>
      </c>
      <c r="E73">
        <v>3.3E-3</v>
      </c>
      <c r="F73">
        <f t="shared" si="14"/>
        <v>720.9914</v>
      </c>
      <c r="G73">
        <f t="shared" si="15"/>
        <v>-0.59169000000000005</v>
      </c>
      <c r="H73">
        <f t="shared" si="16"/>
        <v>-426.60340146600004</v>
      </c>
      <c r="I73">
        <v>1</v>
      </c>
      <c r="J73">
        <f t="shared" si="17"/>
        <v>-0.32712806964627306</v>
      </c>
      <c r="K73">
        <f t="shared" si="18"/>
        <v>-0.63003515177521741</v>
      </c>
      <c r="L73">
        <v>1</v>
      </c>
      <c r="M73">
        <f t="shared" si="19"/>
        <v>0.5076904063405544</v>
      </c>
      <c r="N73">
        <f t="shared" si="20"/>
        <v>5.8760799099999997E-2</v>
      </c>
      <c r="O73">
        <f t="shared" si="21"/>
        <v>1.1896358100000001E-2</v>
      </c>
      <c r="P73">
        <f t="shared" si="22"/>
        <v>5.1687588234663004E-2</v>
      </c>
      <c r="V73">
        <v>0.89999999999998004</v>
      </c>
      <c r="W73">
        <f t="shared" si="23"/>
        <v>-0.56511999999999907</v>
      </c>
    </row>
    <row r="74" spans="1:23" x14ac:dyDescent="0.3">
      <c r="A74">
        <v>3.6558755000000001</v>
      </c>
      <c r="B74">
        <v>0.58904000000000001</v>
      </c>
      <c r="C74">
        <f t="shared" si="13"/>
        <v>2.15345690452</v>
      </c>
      <c r="D74">
        <v>1.6299999999999999E-2</v>
      </c>
      <c r="E74">
        <v>3.3E-3</v>
      </c>
      <c r="F74">
        <f t="shared" si="14"/>
        <v>731.17510000000004</v>
      </c>
      <c r="G74">
        <f t="shared" si="15"/>
        <v>-0.58904000000000001</v>
      </c>
      <c r="H74">
        <f t="shared" si="16"/>
        <v>-430.69138090400003</v>
      </c>
      <c r="I74">
        <v>1</v>
      </c>
      <c r="J74">
        <f t="shared" si="17"/>
        <v>-0.31310231303253733</v>
      </c>
      <c r="K74">
        <f t="shared" si="18"/>
        <v>-0.63268515177521745</v>
      </c>
      <c r="L74">
        <v>1</v>
      </c>
      <c r="M74">
        <f t="shared" si="19"/>
        <v>0.50834681175007723</v>
      </c>
      <c r="N74">
        <f t="shared" si="20"/>
        <v>5.9590770649999993E-2</v>
      </c>
      <c r="O74">
        <f t="shared" si="21"/>
        <v>1.206438915E-2</v>
      </c>
      <c r="P74">
        <f t="shared" si="22"/>
        <v>5.2683180225140229E-2</v>
      </c>
      <c r="V74">
        <v>0.99999999999998002</v>
      </c>
      <c r="W74">
        <f t="shared" si="23"/>
        <v>-0.56979999999999908</v>
      </c>
    </row>
    <row r="75" spans="1:23" x14ac:dyDescent="0.3">
      <c r="A75">
        <v>3.7062846999999999</v>
      </c>
      <c r="B75">
        <v>0.58697999999999995</v>
      </c>
      <c r="C75">
        <f t="shared" si="13"/>
        <v>2.1755149932059998</v>
      </c>
      <c r="D75">
        <v>1.6299999999999999E-2</v>
      </c>
      <c r="E75">
        <v>3.3E-3</v>
      </c>
      <c r="F75">
        <f t="shared" si="14"/>
        <v>741.25693999999999</v>
      </c>
      <c r="G75">
        <f t="shared" si="15"/>
        <v>-0.58697999999999995</v>
      </c>
      <c r="H75">
        <f t="shared" si="16"/>
        <v>-435.10299864119997</v>
      </c>
      <c r="I75">
        <v>1</v>
      </c>
      <c r="J75">
        <f t="shared" si="17"/>
        <v>-0.29940796615079263</v>
      </c>
      <c r="K75">
        <f t="shared" si="18"/>
        <v>-0.63474515177521751</v>
      </c>
      <c r="L75">
        <v>1</v>
      </c>
      <c r="M75">
        <f t="shared" si="19"/>
        <v>0.50898770718414288</v>
      </c>
      <c r="N75">
        <f t="shared" si="20"/>
        <v>6.0412440609999993E-2</v>
      </c>
      <c r="O75">
        <f t="shared" si="21"/>
        <v>1.223073951E-2</v>
      </c>
      <c r="P75">
        <f t="shared" si="22"/>
        <v>5.3114264471074639E-2</v>
      </c>
      <c r="V75">
        <v>1.0999999999999699</v>
      </c>
      <c r="W75">
        <f t="shared" si="23"/>
        <v>-0.57447999999999866</v>
      </c>
    </row>
    <row r="76" spans="1:23" x14ac:dyDescent="0.3">
      <c r="A76">
        <v>3.7566936000000002</v>
      </c>
      <c r="B76">
        <v>0.58465</v>
      </c>
      <c r="C76">
        <f t="shared" si="13"/>
        <v>2.1963509132400003</v>
      </c>
      <c r="D76">
        <v>1.6299999999999999E-2</v>
      </c>
      <c r="E76">
        <v>3.3E-3</v>
      </c>
      <c r="F76">
        <f t="shared" si="14"/>
        <v>751.33872000000008</v>
      </c>
      <c r="G76">
        <f t="shared" si="15"/>
        <v>-0.58465</v>
      </c>
      <c r="H76">
        <f t="shared" si="16"/>
        <v>-439.27018264800006</v>
      </c>
      <c r="I76">
        <v>1</v>
      </c>
      <c r="J76">
        <f t="shared" si="17"/>
        <v>-0.28589870359973929</v>
      </c>
      <c r="K76">
        <f t="shared" si="18"/>
        <v>-0.63707515177521745</v>
      </c>
      <c r="L76">
        <v>1</v>
      </c>
      <c r="M76">
        <f t="shared" si="19"/>
        <v>0.50961994067153227</v>
      </c>
      <c r="N76">
        <f t="shared" si="20"/>
        <v>6.1234105679999998E-2</v>
      </c>
      <c r="O76">
        <f t="shared" si="21"/>
        <v>1.2397088880000001E-2</v>
      </c>
      <c r="P76">
        <f t="shared" si="22"/>
        <v>5.3824016543685183E-2</v>
      </c>
      <c r="V76">
        <v>1.19999999999997</v>
      </c>
      <c r="W76">
        <f t="shared" si="23"/>
        <v>-0.57915999999999856</v>
      </c>
    </row>
    <row r="77" spans="1:23" x14ac:dyDescent="0.3">
      <c r="A77">
        <v>3.8081211000000001</v>
      </c>
      <c r="B77">
        <v>0.58203000000000005</v>
      </c>
      <c r="C77">
        <f t="shared" si="13"/>
        <v>2.2164407238330002</v>
      </c>
      <c r="D77">
        <v>1.6299999999999999E-2</v>
      </c>
      <c r="E77">
        <v>3.3E-3</v>
      </c>
      <c r="F77">
        <f t="shared" si="14"/>
        <v>761.62422000000004</v>
      </c>
      <c r="G77">
        <f t="shared" si="15"/>
        <v>-0.58203000000000005</v>
      </c>
      <c r="H77">
        <f t="shared" si="16"/>
        <v>-443.28814476660006</v>
      </c>
      <c r="I77">
        <v>1</v>
      </c>
      <c r="J77">
        <f t="shared" si="17"/>
        <v>-0.27230199454004922</v>
      </c>
      <c r="K77">
        <f t="shared" si="18"/>
        <v>-0.63969515177521741</v>
      </c>
      <c r="L77">
        <v>1</v>
      </c>
      <c r="M77">
        <f t="shared" si="19"/>
        <v>0.5102562666555257</v>
      </c>
      <c r="N77">
        <f t="shared" si="20"/>
        <v>6.2072373929999994E-2</v>
      </c>
      <c r="O77">
        <f t="shared" si="21"/>
        <v>1.256679963E-2</v>
      </c>
      <c r="P77">
        <f t="shared" si="22"/>
        <v>5.4799711559691711E-2</v>
      </c>
      <c r="V77">
        <v>1.2999999999999701</v>
      </c>
      <c r="W77">
        <f t="shared" si="23"/>
        <v>-0.58383999999999858</v>
      </c>
    </row>
    <row r="78" spans="1:23" x14ac:dyDescent="0.3">
      <c r="A78">
        <v>3.8595486000000001</v>
      </c>
      <c r="B78">
        <v>0.57972000000000001</v>
      </c>
      <c r="C78">
        <f t="shared" si="13"/>
        <v>2.2374575143920001</v>
      </c>
      <c r="D78">
        <v>1.6299999999999999E-2</v>
      </c>
      <c r="E78">
        <v>3.3E-3</v>
      </c>
      <c r="F78">
        <f t="shared" si="14"/>
        <v>771.90971999999999</v>
      </c>
      <c r="G78">
        <f t="shared" si="15"/>
        <v>-0.57972000000000001</v>
      </c>
      <c r="H78">
        <f t="shared" si="16"/>
        <v>-447.49150287840001</v>
      </c>
      <c r="I78">
        <v>1</v>
      </c>
      <c r="J78">
        <f t="shared" si="17"/>
        <v>-0.25888767880090857</v>
      </c>
      <c r="K78">
        <f t="shared" si="18"/>
        <v>-0.64200515177521744</v>
      </c>
      <c r="L78">
        <v>1</v>
      </c>
      <c r="M78">
        <f t="shared" si="19"/>
        <v>0.51088405663211744</v>
      </c>
      <c r="N78">
        <f t="shared" si="20"/>
        <v>6.291064217999999E-2</v>
      </c>
      <c r="O78">
        <f t="shared" si="21"/>
        <v>1.273651038E-2</v>
      </c>
      <c r="P78">
        <f t="shared" si="22"/>
        <v>5.5473942583100011E-2</v>
      </c>
      <c r="V78">
        <v>1.3999999999999699</v>
      </c>
      <c r="W78">
        <f t="shared" si="23"/>
        <v>-0.5885199999999986</v>
      </c>
    </row>
    <row r="79" spans="1:23" x14ac:dyDescent="0.3">
      <c r="A79">
        <v>3.9109766000000001</v>
      </c>
      <c r="B79">
        <v>0.57748999999999995</v>
      </c>
      <c r="C79">
        <f t="shared" si="13"/>
        <v>2.258549876734</v>
      </c>
      <c r="D79">
        <v>1.6299999999999999E-2</v>
      </c>
      <c r="E79">
        <v>3.3E-3</v>
      </c>
      <c r="F79">
        <f t="shared" si="14"/>
        <v>782.19532000000004</v>
      </c>
      <c r="G79">
        <f t="shared" si="15"/>
        <v>-0.57748999999999995</v>
      </c>
      <c r="H79">
        <f t="shared" si="16"/>
        <v>-451.70997534679998</v>
      </c>
      <c r="I79">
        <v>1</v>
      </c>
      <c r="J79">
        <f t="shared" si="17"/>
        <v>-0.24565079980314281</v>
      </c>
      <c r="K79">
        <f t="shared" si="18"/>
        <v>-0.64423515177521751</v>
      </c>
      <c r="L79">
        <v>1</v>
      </c>
      <c r="M79">
        <f t="shared" si="19"/>
        <v>0.51150354256921293</v>
      </c>
      <c r="N79">
        <f t="shared" si="20"/>
        <v>6.3748918579999994E-2</v>
      </c>
      <c r="O79">
        <f t="shared" si="21"/>
        <v>1.2906222780000001E-2</v>
      </c>
      <c r="P79">
        <f t="shared" si="22"/>
        <v>5.6076467846004577E-2</v>
      </c>
      <c r="V79">
        <v>1.49999999999997</v>
      </c>
      <c r="W79">
        <f t="shared" si="23"/>
        <v>-0.59319999999999862</v>
      </c>
    </row>
    <row r="80" spans="1:23" x14ac:dyDescent="0.3">
      <c r="A80">
        <v>3.9639313999999999</v>
      </c>
      <c r="B80">
        <v>0.57513999999999998</v>
      </c>
      <c r="C80">
        <f t="shared" si="13"/>
        <v>2.2798155053959999</v>
      </c>
      <c r="D80">
        <v>1.6299999999999999E-2</v>
      </c>
      <c r="E80">
        <v>3.3E-3</v>
      </c>
      <c r="F80">
        <f t="shared" si="14"/>
        <v>792.78628000000003</v>
      </c>
      <c r="G80">
        <f t="shared" si="15"/>
        <v>-0.57513999999999998</v>
      </c>
      <c r="H80">
        <f t="shared" si="16"/>
        <v>-455.96310107919999</v>
      </c>
      <c r="I80">
        <v>1</v>
      </c>
      <c r="J80">
        <f t="shared" si="17"/>
        <v>-0.23220160186787087</v>
      </c>
      <c r="K80">
        <f t="shared" si="18"/>
        <v>-0.64658515177521747</v>
      </c>
      <c r="L80">
        <v>1</v>
      </c>
      <c r="M80">
        <f t="shared" si="19"/>
        <v>0.51213296503258365</v>
      </c>
      <c r="N80">
        <f t="shared" si="20"/>
        <v>6.4612081819999986E-2</v>
      </c>
      <c r="O80">
        <f t="shared" si="21"/>
        <v>1.308097362E-2</v>
      </c>
      <c r="P80">
        <f t="shared" si="22"/>
        <v>5.6759131302633832E-2</v>
      </c>
      <c r="V80">
        <v>1.5999999999999699</v>
      </c>
      <c r="W80">
        <f t="shared" si="23"/>
        <v>-0.59787999999999863</v>
      </c>
    </row>
    <row r="81" spans="1:23" x14ac:dyDescent="0.3">
      <c r="A81">
        <v>4.0143405999999997</v>
      </c>
      <c r="B81">
        <v>0.57291999999999998</v>
      </c>
      <c r="C81">
        <f t="shared" si="13"/>
        <v>2.2998960165519997</v>
      </c>
      <c r="D81">
        <v>1.6299999999999999E-2</v>
      </c>
      <c r="E81">
        <v>3.3E-3</v>
      </c>
      <c r="F81">
        <f t="shared" si="14"/>
        <v>802.86811999999998</v>
      </c>
      <c r="G81">
        <f t="shared" si="15"/>
        <v>-0.57291999999999998</v>
      </c>
      <c r="H81">
        <f t="shared" si="16"/>
        <v>-459.97920331039995</v>
      </c>
      <c r="I81">
        <v>1</v>
      </c>
      <c r="J81">
        <f t="shared" si="17"/>
        <v>-0.21956481264531799</v>
      </c>
      <c r="K81">
        <f t="shared" si="18"/>
        <v>-0.64880515177521747</v>
      </c>
      <c r="L81">
        <v>1</v>
      </c>
      <c r="M81">
        <f t="shared" si="19"/>
        <v>0.5127243667681991</v>
      </c>
      <c r="N81">
        <f t="shared" si="20"/>
        <v>6.5433751779999993E-2</v>
      </c>
      <c r="O81">
        <f t="shared" si="21"/>
        <v>1.324732398E-2</v>
      </c>
      <c r="P81">
        <f t="shared" si="22"/>
        <v>5.7399709247018371E-2</v>
      </c>
      <c r="V81">
        <v>1.69999999999997</v>
      </c>
      <c r="W81">
        <f t="shared" si="23"/>
        <v>-0.60255999999999865</v>
      </c>
    </row>
    <row r="82" spans="1:23" x14ac:dyDescent="0.3">
      <c r="A82">
        <v>4.0647494999999996</v>
      </c>
      <c r="B82">
        <v>0.57042000000000004</v>
      </c>
      <c r="C82">
        <f t="shared" si="13"/>
        <v>2.3186144097899999</v>
      </c>
      <c r="D82">
        <v>1.6299999999999999E-2</v>
      </c>
      <c r="E82">
        <v>3.3E-3</v>
      </c>
      <c r="F82">
        <f t="shared" si="14"/>
        <v>812.94989999999996</v>
      </c>
      <c r="G82">
        <f t="shared" si="15"/>
        <v>-0.57042000000000004</v>
      </c>
      <c r="H82">
        <f t="shared" si="16"/>
        <v>-463.72288195799996</v>
      </c>
      <c r="I82">
        <v>1</v>
      </c>
      <c r="J82">
        <f t="shared" si="17"/>
        <v>-0.20708579494937568</v>
      </c>
      <c r="K82">
        <f t="shared" si="18"/>
        <v>-0.65130515177521742</v>
      </c>
      <c r="L82">
        <v>1</v>
      </c>
      <c r="M82">
        <f t="shared" si="19"/>
        <v>0.5133083847963692</v>
      </c>
      <c r="N82">
        <f t="shared" si="20"/>
        <v>6.6255416849999985E-2</v>
      </c>
      <c r="O82">
        <f t="shared" si="21"/>
        <v>1.3413673349999999E-2</v>
      </c>
      <c r="P82">
        <f t="shared" si="22"/>
        <v>5.8327676778848231E-2</v>
      </c>
      <c r="V82">
        <v>1.7999999999999701</v>
      </c>
      <c r="W82">
        <f t="shared" si="23"/>
        <v>-0.60723999999999867</v>
      </c>
    </row>
    <row r="83" spans="1:23" x14ac:dyDescent="0.3">
      <c r="A83">
        <v>4.1161772000000001</v>
      </c>
      <c r="B83">
        <v>0.56840000000000002</v>
      </c>
      <c r="C83">
        <f t="shared" si="13"/>
        <v>2.3396351204800001</v>
      </c>
      <c r="D83">
        <v>1.6299999999999999E-2</v>
      </c>
      <c r="E83">
        <v>3.3E-3</v>
      </c>
      <c r="F83">
        <f t="shared" si="14"/>
        <v>823.23544000000004</v>
      </c>
      <c r="G83">
        <f t="shared" si="15"/>
        <v>-0.56840000000000002</v>
      </c>
      <c r="H83">
        <f t="shared" si="16"/>
        <v>-467.92702409600003</v>
      </c>
      <c r="I83">
        <v>1</v>
      </c>
      <c r="J83">
        <f t="shared" si="17"/>
        <v>-0.19451304388266985</v>
      </c>
      <c r="K83">
        <f t="shared" si="18"/>
        <v>-0.65332515177521744</v>
      </c>
      <c r="L83">
        <v>1</v>
      </c>
      <c r="M83">
        <f t="shared" si="19"/>
        <v>0.51389678954629103</v>
      </c>
      <c r="N83">
        <f t="shared" si="20"/>
        <v>6.7093688360000001E-2</v>
      </c>
      <c r="O83">
        <f t="shared" si="21"/>
        <v>1.3583384760000001E-2</v>
      </c>
      <c r="P83">
        <f t="shared" si="22"/>
        <v>5.8751289108926408E-2</v>
      </c>
      <c r="V83">
        <v>1.8999999999999699</v>
      </c>
      <c r="W83">
        <f t="shared" si="23"/>
        <v>-0.61191999999999858</v>
      </c>
    </row>
    <row r="84" spans="1:23" x14ac:dyDescent="0.3">
      <c r="A84">
        <v>4.1665863999999999</v>
      </c>
      <c r="B84">
        <v>0.56596999999999997</v>
      </c>
      <c r="C84">
        <f t="shared" si="13"/>
        <v>2.3581629048079997</v>
      </c>
      <c r="D84">
        <v>1.6299999999999999E-2</v>
      </c>
      <c r="E84">
        <v>3.3E-3</v>
      </c>
      <c r="F84">
        <f t="shared" si="14"/>
        <v>833.31727999999998</v>
      </c>
      <c r="G84">
        <f t="shared" si="15"/>
        <v>-0.56596999999999997</v>
      </c>
      <c r="H84">
        <f t="shared" si="16"/>
        <v>-471.63258096159996</v>
      </c>
      <c r="I84">
        <v>1</v>
      </c>
      <c r="J84">
        <f t="shared" si="17"/>
        <v>-0.18234082097950793</v>
      </c>
      <c r="K84">
        <f t="shared" si="18"/>
        <v>-0.65575515177521748</v>
      </c>
      <c r="L84">
        <v>1</v>
      </c>
      <c r="M84">
        <f t="shared" si="19"/>
        <v>0.51446644957815901</v>
      </c>
      <c r="N84">
        <f t="shared" si="20"/>
        <v>6.7915358319999994E-2</v>
      </c>
      <c r="O84">
        <f t="shared" si="21"/>
        <v>1.374973512E-2</v>
      </c>
      <c r="P84">
        <f t="shared" si="22"/>
        <v>5.9623608757058473E-2</v>
      </c>
      <c r="V84">
        <v>1.99999999999997</v>
      </c>
      <c r="W84">
        <f t="shared" si="23"/>
        <v>-0.61659999999999859</v>
      </c>
    </row>
    <row r="85" spans="1:23" x14ac:dyDescent="0.3">
      <c r="A85">
        <v>4.2190326999999996</v>
      </c>
      <c r="B85">
        <v>0.56352999999999998</v>
      </c>
      <c r="C85">
        <f t="shared" si="13"/>
        <v>2.3775514974309995</v>
      </c>
      <c r="D85">
        <v>1.6299999999999999E-2</v>
      </c>
      <c r="E85">
        <v>3.3E-3</v>
      </c>
      <c r="F85">
        <f t="shared" si="14"/>
        <v>843.80653999999993</v>
      </c>
      <c r="G85">
        <f t="shared" si="15"/>
        <v>-0.56352999999999998</v>
      </c>
      <c r="H85">
        <f t="shared" si="16"/>
        <v>-475.51029948619987</v>
      </c>
      <c r="I85">
        <v>1</v>
      </c>
      <c r="J85">
        <f t="shared" si="17"/>
        <v>-0.16983202867012182</v>
      </c>
      <c r="K85">
        <f t="shared" si="18"/>
        <v>-0.65819515177521748</v>
      </c>
      <c r="L85">
        <v>1</v>
      </c>
      <c r="M85">
        <f t="shared" si="19"/>
        <v>0.5150518610582383</v>
      </c>
      <c r="N85">
        <f t="shared" si="20"/>
        <v>6.8770233009999987E-2</v>
      </c>
      <c r="O85">
        <f t="shared" si="21"/>
        <v>1.392280791E-2</v>
      </c>
      <c r="P85">
        <f t="shared" si="22"/>
        <v>6.0450249796979189E-2</v>
      </c>
      <c r="V85">
        <v>2.0999999999999699</v>
      </c>
      <c r="W85">
        <f t="shared" si="23"/>
        <v>-0.62127999999999861</v>
      </c>
    </row>
    <row r="86" spans="1:23" x14ac:dyDescent="0.3">
      <c r="A86">
        <v>4.2714784999999997</v>
      </c>
      <c r="B86">
        <v>0.56147000000000002</v>
      </c>
      <c r="C86">
        <f t="shared" si="13"/>
        <v>2.3983070333950001</v>
      </c>
      <c r="D86">
        <v>1.6299999999999999E-2</v>
      </c>
      <c r="E86">
        <v>3.3E-3</v>
      </c>
      <c r="F86">
        <f t="shared" si="14"/>
        <v>854.2956999999999</v>
      </c>
      <c r="G86">
        <f t="shared" si="15"/>
        <v>-0.56147000000000002</v>
      </c>
      <c r="H86">
        <f t="shared" si="16"/>
        <v>-479.66140667900004</v>
      </c>
      <c r="I86">
        <v>1</v>
      </c>
      <c r="J86">
        <f t="shared" si="17"/>
        <v>-0.15747789219787778</v>
      </c>
      <c r="K86">
        <f t="shared" si="18"/>
        <v>-0.66025515177521743</v>
      </c>
      <c r="L86">
        <v>1</v>
      </c>
      <c r="M86">
        <f t="shared" si="19"/>
        <v>0.51563003464513935</v>
      </c>
      <c r="N86">
        <f t="shared" si="20"/>
        <v>6.9625099549999986E-2</v>
      </c>
      <c r="O86">
        <f t="shared" si="21"/>
        <v>1.4095879049999999E-2</v>
      </c>
      <c r="P86">
        <f t="shared" si="22"/>
        <v>6.0904138530078103E-2</v>
      </c>
      <c r="V86">
        <v>2.19999999999997</v>
      </c>
      <c r="W86">
        <f t="shared" si="23"/>
        <v>-0.62595999999999863</v>
      </c>
    </row>
    <row r="87" spans="1:23" x14ac:dyDescent="0.3">
      <c r="A87">
        <v>4.3234149999999998</v>
      </c>
      <c r="B87">
        <v>0.55900000000000005</v>
      </c>
      <c r="C87">
        <f t="shared" si="13"/>
        <v>2.4167889850000002</v>
      </c>
      <c r="D87">
        <v>1.6299999999999999E-2</v>
      </c>
      <c r="E87">
        <v>3.3E-3</v>
      </c>
      <c r="F87">
        <f t="shared" si="14"/>
        <v>864.68299999999999</v>
      </c>
      <c r="G87">
        <f t="shared" si="15"/>
        <v>-0.55900000000000005</v>
      </c>
      <c r="H87">
        <f t="shared" si="16"/>
        <v>-483.35779700000001</v>
      </c>
      <c r="I87">
        <v>1</v>
      </c>
      <c r="J87">
        <f t="shared" si="17"/>
        <v>-0.14539231320669987</v>
      </c>
      <c r="K87">
        <f t="shared" si="18"/>
        <v>-0.6627251517752174</v>
      </c>
      <c r="L87">
        <v>1</v>
      </c>
      <c r="M87">
        <f t="shared" si="19"/>
        <v>0.5161956397419265</v>
      </c>
      <c r="N87">
        <f t="shared" si="20"/>
        <v>7.0471664499999989E-2</v>
      </c>
      <c r="O87">
        <f t="shared" si="21"/>
        <v>1.4267269499999999E-2</v>
      </c>
      <c r="P87">
        <f t="shared" si="22"/>
        <v>6.179057803329091E-2</v>
      </c>
      <c r="V87">
        <v>2.2999999999999701</v>
      </c>
      <c r="W87">
        <f t="shared" si="23"/>
        <v>-0.63063999999999865</v>
      </c>
    </row>
    <row r="88" spans="1:23" x14ac:dyDescent="0.3">
      <c r="A88">
        <v>4.3763700999999999</v>
      </c>
      <c r="B88">
        <v>0.55652000000000001</v>
      </c>
      <c r="C88">
        <f t="shared" si="13"/>
        <v>2.4355374880520002</v>
      </c>
      <c r="D88">
        <v>1.6299999999999999E-2</v>
      </c>
      <c r="E88">
        <v>3.3E-3</v>
      </c>
      <c r="F88">
        <f t="shared" si="14"/>
        <v>875.27401999999995</v>
      </c>
      <c r="G88">
        <f t="shared" si="15"/>
        <v>-0.55652000000000001</v>
      </c>
      <c r="H88">
        <f t="shared" si="16"/>
        <v>-487.10749761040006</v>
      </c>
      <c r="I88">
        <v>1</v>
      </c>
      <c r="J88">
        <f t="shared" si="17"/>
        <v>-0.13321827593638397</v>
      </c>
      <c r="K88">
        <f t="shared" si="18"/>
        <v>-0.66520515177521744</v>
      </c>
      <c r="L88">
        <v>1</v>
      </c>
      <c r="M88">
        <f t="shared" si="19"/>
        <v>0.51676538468617728</v>
      </c>
      <c r="N88">
        <f t="shared" si="20"/>
        <v>7.1334832629999997E-2</v>
      </c>
      <c r="O88">
        <f t="shared" si="21"/>
        <v>1.4442021329999999E-2</v>
      </c>
      <c r="P88">
        <f t="shared" si="22"/>
        <v>6.2662913129040168E-2</v>
      </c>
      <c r="V88">
        <v>2.3999999999999702</v>
      </c>
      <c r="W88">
        <f t="shared" si="23"/>
        <v>-0.63531999999999866</v>
      </c>
    </row>
    <row r="89" spans="1:23" x14ac:dyDescent="0.3">
      <c r="A89">
        <v>4.4272885999999998</v>
      </c>
      <c r="B89">
        <v>0.55432999999999999</v>
      </c>
      <c r="C89">
        <f t="shared" si="13"/>
        <v>2.4541788896379999</v>
      </c>
      <c r="D89">
        <v>1.6299999999999999E-2</v>
      </c>
      <c r="E89">
        <v>3.3E-3</v>
      </c>
      <c r="F89">
        <f t="shared" si="14"/>
        <v>885.45771999999999</v>
      </c>
      <c r="G89">
        <f t="shared" si="15"/>
        <v>-0.55432999999999999</v>
      </c>
      <c r="H89">
        <f t="shared" si="16"/>
        <v>-490.83577792759996</v>
      </c>
      <c r="I89">
        <v>1</v>
      </c>
      <c r="J89">
        <f t="shared" si="17"/>
        <v>-0.12165056993474793</v>
      </c>
      <c r="K89">
        <f t="shared" si="18"/>
        <v>-0.66739515177521747</v>
      </c>
      <c r="L89">
        <v>1</v>
      </c>
      <c r="M89">
        <f t="shared" si="19"/>
        <v>0.51730675332705378</v>
      </c>
      <c r="N89">
        <f t="shared" si="20"/>
        <v>7.2164804179999986E-2</v>
      </c>
      <c r="O89">
        <f t="shared" si="21"/>
        <v>1.4610052379999999E-2</v>
      </c>
      <c r="P89">
        <f t="shared" si="22"/>
        <v>6.3313541888163696E-2</v>
      </c>
      <c r="V89">
        <v>2.4999999999999698</v>
      </c>
      <c r="W89">
        <f t="shared" si="23"/>
        <v>-0.63999999999999857</v>
      </c>
    </row>
    <row r="90" spans="1:23" x14ac:dyDescent="0.3">
      <c r="A90">
        <v>4.4787157999999998</v>
      </c>
      <c r="B90">
        <v>0.55201999999999996</v>
      </c>
      <c r="C90">
        <f t="shared" si="13"/>
        <v>2.4723406959159995</v>
      </c>
      <c r="D90">
        <v>1.6299999999999999E-2</v>
      </c>
      <c r="E90">
        <v>3.3E-3</v>
      </c>
      <c r="F90">
        <f t="shared" si="14"/>
        <v>895.74315999999999</v>
      </c>
      <c r="G90">
        <f t="shared" si="15"/>
        <v>-0.55201999999999996</v>
      </c>
      <c r="H90">
        <f t="shared" si="16"/>
        <v>-494.46813918319992</v>
      </c>
      <c r="I90">
        <v>1</v>
      </c>
      <c r="J90">
        <f t="shared" si="17"/>
        <v>-0.11010155888539702</v>
      </c>
      <c r="K90">
        <f t="shared" si="18"/>
        <v>-0.6697051517752175</v>
      </c>
      <c r="L90">
        <v>1</v>
      </c>
      <c r="M90">
        <f t="shared" si="19"/>
        <v>0.51784724704416341</v>
      </c>
      <c r="N90">
        <f t="shared" si="20"/>
        <v>7.3003067539999994E-2</v>
      </c>
      <c r="O90">
        <f t="shared" si="21"/>
        <v>1.477976214E-2</v>
      </c>
      <c r="P90">
        <f t="shared" si="22"/>
        <v>6.4075075051054101E-2</v>
      </c>
      <c r="V90">
        <v>2.5999999999999699</v>
      </c>
      <c r="W90">
        <f t="shared" si="23"/>
        <v>-0.64467999999999859</v>
      </c>
    </row>
    <row r="91" spans="1:23" x14ac:dyDescent="0.3">
      <c r="A91">
        <v>4.5296342999999997</v>
      </c>
      <c r="B91">
        <v>0.54966999999999999</v>
      </c>
      <c r="C91">
        <f t="shared" si="13"/>
        <v>2.489804085681</v>
      </c>
      <c r="D91">
        <v>1.6299999999999999E-2</v>
      </c>
      <c r="E91">
        <v>3.3E-3</v>
      </c>
      <c r="F91">
        <f t="shared" si="14"/>
        <v>905.92685999999992</v>
      </c>
      <c r="G91">
        <f t="shared" si="15"/>
        <v>-0.54966999999999999</v>
      </c>
      <c r="H91">
        <f t="shared" si="16"/>
        <v>-497.96081713619998</v>
      </c>
      <c r="I91">
        <v>1</v>
      </c>
      <c r="J91">
        <f t="shared" si="17"/>
        <v>-9.8796704674697908E-2</v>
      </c>
      <c r="K91">
        <f t="shared" si="18"/>
        <v>-0.67205515177521746</v>
      </c>
      <c r="L91">
        <v>1</v>
      </c>
      <c r="M91">
        <f t="shared" si="19"/>
        <v>0.51837631422122421</v>
      </c>
      <c r="N91">
        <f t="shared" si="20"/>
        <v>7.3833039089999983E-2</v>
      </c>
      <c r="O91">
        <f t="shared" si="21"/>
        <v>1.4947793189999999E-2</v>
      </c>
      <c r="P91">
        <f t="shared" si="22"/>
        <v>6.4898005273993267E-2</v>
      </c>
      <c r="V91">
        <v>2.69999999999997</v>
      </c>
      <c r="W91">
        <f t="shared" si="23"/>
        <v>-0.6493599999999986</v>
      </c>
    </row>
    <row r="92" spans="1:23" x14ac:dyDescent="0.3">
      <c r="A92">
        <v>4.5805527000000001</v>
      </c>
      <c r="B92">
        <v>0.54751000000000005</v>
      </c>
      <c r="C92">
        <f t="shared" si="13"/>
        <v>2.5078984087770002</v>
      </c>
      <c r="D92">
        <v>1.6299999999999999E-2</v>
      </c>
      <c r="E92">
        <v>3.3E-3</v>
      </c>
      <c r="F92">
        <f t="shared" si="14"/>
        <v>916.11054000000001</v>
      </c>
      <c r="G92">
        <f t="shared" si="15"/>
        <v>-0.54751000000000005</v>
      </c>
      <c r="H92">
        <f t="shared" si="16"/>
        <v>-501.57968175540003</v>
      </c>
      <c r="I92">
        <v>1</v>
      </c>
      <c r="J92">
        <f t="shared" si="17"/>
        <v>-8.7618244732977579E-2</v>
      </c>
      <c r="K92">
        <f t="shared" si="18"/>
        <v>-0.6742151517752174</v>
      </c>
      <c r="L92">
        <v>1</v>
      </c>
      <c r="M92">
        <f t="shared" si="19"/>
        <v>0.51889946614649662</v>
      </c>
      <c r="N92">
        <f t="shared" si="20"/>
        <v>7.4663009009999989E-2</v>
      </c>
      <c r="O92">
        <f t="shared" si="21"/>
        <v>1.5115823910000001E-2</v>
      </c>
      <c r="P92">
        <f t="shared" si="22"/>
        <v>6.5536852708720783E-2</v>
      </c>
      <c r="V92">
        <v>2.7999999999999701</v>
      </c>
      <c r="W92">
        <f t="shared" si="23"/>
        <v>-0.65403999999999862</v>
      </c>
    </row>
    <row r="93" spans="1:23" x14ac:dyDescent="0.3">
      <c r="A93">
        <v>4.6314712</v>
      </c>
      <c r="B93">
        <v>0.54551000000000005</v>
      </c>
      <c r="C93">
        <f t="shared" si="13"/>
        <v>2.5265138543120003</v>
      </c>
      <c r="D93">
        <v>1.6299999999999999E-2</v>
      </c>
      <c r="E93">
        <v>3.3E-3</v>
      </c>
      <c r="F93">
        <f t="shared" si="14"/>
        <v>926.29423999999995</v>
      </c>
      <c r="G93">
        <f t="shared" si="15"/>
        <v>-0.54551000000000005</v>
      </c>
      <c r="H93">
        <f t="shared" si="16"/>
        <v>-505.30277086240005</v>
      </c>
      <c r="I93">
        <v>1</v>
      </c>
      <c r="J93">
        <f t="shared" si="17"/>
        <v>-7.6563341029300652E-2</v>
      </c>
      <c r="K93">
        <f t="shared" si="18"/>
        <v>-0.6762151517752174</v>
      </c>
      <c r="L93">
        <v>1</v>
      </c>
      <c r="M93">
        <f t="shared" si="19"/>
        <v>0.51941683563982877</v>
      </c>
      <c r="N93">
        <f t="shared" si="20"/>
        <v>7.5492980559999992E-2</v>
      </c>
      <c r="O93">
        <f t="shared" si="21"/>
        <v>1.5283854959999999E-2</v>
      </c>
      <c r="P93">
        <f t="shared" si="22"/>
        <v>6.602148061538865E-2</v>
      </c>
      <c r="V93">
        <v>2.8999999999999702</v>
      </c>
      <c r="W93">
        <f t="shared" si="23"/>
        <v>-0.65871999999999864</v>
      </c>
    </row>
    <row r="94" spans="1:23" x14ac:dyDescent="0.3">
      <c r="A94">
        <v>4.6823892000000003</v>
      </c>
      <c r="B94">
        <v>0.54298999999999997</v>
      </c>
      <c r="C94">
        <f t="shared" si="13"/>
        <v>2.5424905117079999</v>
      </c>
      <c r="D94">
        <v>1.6299999999999999E-2</v>
      </c>
      <c r="E94">
        <v>3.3E-3</v>
      </c>
      <c r="F94">
        <f t="shared" si="14"/>
        <v>936.47784000000001</v>
      </c>
      <c r="G94">
        <f t="shared" si="15"/>
        <v>-0.54298999999999997</v>
      </c>
      <c r="H94">
        <f t="shared" si="16"/>
        <v>-508.49810234159997</v>
      </c>
      <c r="I94">
        <v>1</v>
      </c>
      <c r="J94">
        <f t="shared" si="17"/>
        <v>-6.5629419951368589E-2</v>
      </c>
      <c r="K94">
        <f t="shared" si="18"/>
        <v>-0.67873515177521748</v>
      </c>
      <c r="L94">
        <v>1</v>
      </c>
      <c r="M94">
        <f t="shared" si="19"/>
        <v>0.51992854314627601</v>
      </c>
      <c r="N94">
        <f t="shared" si="20"/>
        <v>7.632294396E-2</v>
      </c>
      <c r="O94">
        <f t="shared" si="21"/>
        <v>1.5451884360000001E-2</v>
      </c>
      <c r="P94">
        <f t="shared" si="22"/>
        <v>6.7031780308941469E-2</v>
      </c>
      <c r="V94">
        <v>2.9999999999999698</v>
      </c>
      <c r="W94">
        <f t="shared" si="23"/>
        <v>-0.66339999999999866</v>
      </c>
    </row>
    <row r="95" spans="1:23" x14ac:dyDescent="0.3">
      <c r="A95">
        <v>4.7343261999999999</v>
      </c>
      <c r="B95">
        <v>0.54090000000000005</v>
      </c>
      <c r="C95">
        <f t="shared" si="13"/>
        <v>2.5607970415800003</v>
      </c>
      <c r="D95">
        <v>1.6299999999999999E-2</v>
      </c>
      <c r="E95">
        <v>3.3E-3</v>
      </c>
      <c r="F95">
        <f t="shared" si="14"/>
        <v>946.86523999999997</v>
      </c>
      <c r="G95">
        <f t="shared" si="15"/>
        <v>-0.54090000000000005</v>
      </c>
      <c r="H95">
        <f t="shared" si="16"/>
        <v>-512.15940831600005</v>
      </c>
      <c r="I95">
        <v>1</v>
      </c>
      <c r="J95">
        <f t="shared" si="17"/>
        <v>-5.4598497928285805E-2</v>
      </c>
      <c r="K95">
        <f t="shared" si="18"/>
        <v>-0.68082515177521741</v>
      </c>
      <c r="L95">
        <v>1</v>
      </c>
      <c r="M95">
        <f t="shared" si="19"/>
        <v>0.52044479029695623</v>
      </c>
      <c r="N95">
        <f t="shared" si="20"/>
        <v>7.7169517059999998E-2</v>
      </c>
      <c r="O95">
        <f t="shared" si="21"/>
        <v>1.562327646E-2</v>
      </c>
      <c r="P95">
        <f t="shared" si="22"/>
        <v>6.758756795826118E-2</v>
      </c>
      <c r="V95">
        <v>3.0999999999999699</v>
      </c>
      <c r="W95">
        <f t="shared" si="23"/>
        <v>-0.66807999999999867</v>
      </c>
    </row>
    <row r="96" spans="1:23" x14ac:dyDescent="0.3">
      <c r="A96">
        <v>4.7872813000000001</v>
      </c>
      <c r="B96">
        <v>0.53866999999999998</v>
      </c>
      <c r="C96">
        <f t="shared" si="13"/>
        <v>2.5787648178709999</v>
      </c>
      <c r="D96">
        <v>1.6299999999999999E-2</v>
      </c>
      <c r="E96">
        <v>3.3E-3</v>
      </c>
      <c r="F96">
        <f t="shared" si="14"/>
        <v>957.45626000000004</v>
      </c>
      <c r="G96">
        <f t="shared" si="15"/>
        <v>-0.53866999999999998</v>
      </c>
      <c r="H96">
        <f t="shared" si="16"/>
        <v>-515.75296357419995</v>
      </c>
      <c r="I96">
        <v>1</v>
      </c>
      <c r="J96">
        <f t="shared" si="17"/>
        <v>-4.3475240432906695E-2</v>
      </c>
      <c r="K96">
        <f t="shared" si="18"/>
        <v>-0.68305515177521747</v>
      </c>
      <c r="L96">
        <v>1</v>
      </c>
      <c r="M96">
        <f t="shared" si="19"/>
        <v>0.52096535874773997</v>
      </c>
      <c r="N96">
        <f t="shared" si="20"/>
        <v>7.8032685189999992E-2</v>
      </c>
      <c r="O96">
        <f t="shared" si="21"/>
        <v>1.5798028290000002E-2</v>
      </c>
      <c r="P96">
        <f t="shared" si="22"/>
        <v>6.8259079547477508E-2</v>
      </c>
      <c r="V96">
        <v>3.19999999999997</v>
      </c>
      <c r="W96">
        <f t="shared" si="23"/>
        <v>-0.67275999999999858</v>
      </c>
    </row>
    <row r="97" spans="1:23" x14ac:dyDescent="0.3">
      <c r="A97">
        <v>4.8417631999999999</v>
      </c>
      <c r="B97">
        <v>0.53607000000000005</v>
      </c>
      <c r="C97">
        <f t="shared" si="13"/>
        <v>2.5955239986240004</v>
      </c>
      <c r="D97">
        <v>1.6299999999999999E-2</v>
      </c>
      <c r="E97">
        <v>3.3E-3</v>
      </c>
      <c r="F97">
        <f t="shared" si="14"/>
        <v>968.35263999999995</v>
      </c>
      <c r="G97">
        <f t="shared" si="15"/>
        <v>-0.53607000000000005</v>
      </c>
      <c r="H97">
        <f t="shared" si="16"/>
        <v>-519.10479972480005</v>
      </c>
      <c r="I97">
        <v>1</v>
      </c>
      <c r="J97">
        <f t="shared" si="17"/>
        <v>-3.215896052512944E-2</v>
      </c>
      <c r="K97">
        <f t="shared" si="18"/>
        <v>-0.68565515177521741</v>
      </c>
      <c r="L97">
        <v>1</v>
      </c>
      <c r="M97">
        <f t="shared" si="19"/>
        <v>0.52149496064742396</v>
      </c>
      <c r="N97">
        <f t="shared" si="20"/>
        <v>7.8920740159999989E-2</v>
      </c>
      <c r="O97">
        <f t="shared" si="21"/>
        <v>1.5977818559999999E-2</v>
      </c>
      <c r="P97">
        <f t="shared" si="22"/>
        <v>6.9261632407793469E-2</v>
      </c>
      <c r="V97">
        <v>3.2999999999999701</v>
      </c>
      <c r="W97">
        <f t="shared" si="23"/>
        <v>-0.6774399999999986</v>
      </c>
    </row>
    <row r="98" spans="1:23" x14ac:dyDescent="0.3">
      <c r="A98">
        <v>4.8962460999999999</v>
      </c>
      <c r="B98">
        <v>0.53381999999999996</v>
      </c>
      <c r="C98">
        <f t="shared" si="13"/>
        <v>2.6137140931019998</v>
      </c>
      <c r="D98">
        <v>1.6299999999999999E-2</v>
      </c>
      <c r="E98">
        <v>3.3E-3</v>
      </c>
      <c r="F98">
        <f t="shared" si="14"/>
        <v>979.24922000000004</v>
      </c>
      <c r="G98">
        <f t="shared" si="15"/>
        <v>-0.53381999999999996</v>
      </c>
      <c r="H98">
        <f t="shared" si="16"/>
        <v>-522.74281862039993</v>
      </c>
      <c r="I98">
        <v>1</v>
      </c>
      <c r="J98">
        <f t="shared" si="17"/>
        <v>-2.096910296446863E-2</v>
      </c>
      <c r="K98">
        <f t="shared" si="18"/>
        <v>-0.68790515177521749</v>
      </c>
      <c r="L98">
        <v>1</v>
      </c>
      <c r="M98">
        <f t="shared" si="19"/>
        <v>0.52201864598126291</v>
      </c>
      <c r="N98">
        <f t="shared" si="20"/>
        <v>7.9808811429999987E-2</v>
      </c>
      <c r="O98">
        <f t="shared" si="21"/>
        <v>1.6157612129999999E-2</v>
      </c>
      <c r="P98">
        <f t="shared" si="22"/>
        <v>6.99200822339546E-2</v>
      </c>
      <c r="V98">
        <v>3.3999999999999702</v>
      </c>
      <c r="W98">
        <f t="shared" si="23"/>
        <v>-0.68211999999999862</v>
      </c>
    </row>
    <row r="99" spans="1:23" x14ac:dyDescent="0.3">
      <c r="A99">
        <v>4.9532749000000003</v>
      </c>
      <c r="B99">
        <v>0.53137999999999996</v>
      </c>
      <c r="C99">
        <f t="shared" si="13"/>
        <v>2.6320712163620001</v>
      </c>
      <c r="D99">
        <v>1.6299999999999999E-2</v>
      </c>
      <c r="E99">
        <v>3.3E-3</v>
      </c>
      <c r="F99">
        <f t="shared" si="14"/>
        <v>990.65498000000002</v>
      </c>
      <c r="G99">
        <f t="shared" si="15"/>
        <v>-0.53137999999999996</v>
      </c>
      <c r="H99">
        <f t="shared" si="16"/>
        <v>-526.41424327239997</v>
      </c>
      <c r="I99">
        <v>1</v>
      </c>
      <c r="J99">
        <f t="shared" si="17"/>
        <v>-9.3889586520312738E-3</v>
      </c>
      <c r="K99">
        <f t="shared" si="18"/>
        <v>-0.69034515177521749</v>
      </c>
      <c r="L99">
        <v>1</v>
      </c>
      <c r="M99">
        <f t="shared" si="19"/>
        <v>0.52256059673508493</v>
      </c>
      <c r="N99">
        <f t="shared" si="20"/>
        <v>8.0738380870000001E-2</v>
      </c>
      <c r="O99">
        <f t="shared" si="21"/>
        <v>1.6345807170000001E-2</v>
      </c>
      <c r="P99">
        <f t="shared" si="22"/>
        <v>7.0700367000132561E-2</v>
      </c>
      <c r="V99">
        <v>3.4999999999999698</v>
      </c>
      <c r="W99">
        <f t="shared" si="23"/>
        <v>-0.68679999999999863</v>
      </c>
    </row>
    <row r="100" spans="1:23" x14ac:dyDescent="0.3">
      <c r="A100">
        <v>5.0087758999999998</v>
      </c>
      <c r="B100">
        <v>0.52886</v>
      </c>
      <c r="C100">
        <f t="shared" si="13"/>
        <v>2.6489412224739999</v>
      </c>
      <c r="D100">
        <v>1.6299999999999999E-2</v>
      </c>
      <c r="E100">
        <v>3.3E-3</v>
      </c>
      <c r="F100">
        <f t="shared" si="14"/>
        <v>1001.75518</v>
      </c>
      <c r="G100">
        <f t="shared" si="15"/>
        <v>-0.52886</v>
      </c>
      <c r="H100">
        <f t="shared" si="16"/>
        <v>-529.78824449479998</v>
      </c>
      <c r="I100">
        <v>1</v>
      </c>
      <c r="J100">
        <f t="shared" si="17"/>
        <v>1.7536414715835686E-3</v>
      </c>
      <c r="K100">
        <f t="shared" si="18"/>
        <v>-0.69286515177521746</v>
      </c>
      <c r="L100">
        <v>1</v>
      </c>
      <c r="M100">
        <f t="shared" si="19"/>
        <v>0.52308207042087018</v>
      </c>
      <c r="N100">
        <f t="shared" si="20"/>
        <v>8.1643047169999997E-2</v>
      </c>
      <c r="O100">
        <f t="shared" si="21"/>
        <v>1.652896047E-2</v>
      </c>
      <c r="P100">
        <f t="shared" si="22"/>
        <v>7.1611073714347273E-2</v>
      </c>
      <c r="V100">
        <v>3.5999999999999699</v>
      </c>
      <c r="W100">
        <f t="shared" ref="W100:W131" si="24">V100*$S$5+$S$4</f>
        <v>-0.69147999999999865</v>
      </c>
    </row>
    <row r="101" spans="1:23" x14ac:dyDescent="0.3">
      <c r="A101">
        <v>5.0596937999999998</v>
      </c>
      <c r="B101">
        <v>0.52646999999999999</v>
      </c>
      <c r="C101">
        <f t="shared" si="13"/>
        <v>2.6637769948859997</v>
      </c>
      <c r="D101">
        <v>1.6299999999999999E-2</v>
      </c>
      <c r="E101">
        <v>3.3E-3</v>
      </c>
      <c r="F101">
        <f t="shared" si="14"/>
        <v>1011.93876</v>
      </c>
      <c r="G101">
        <f t="shared" si="15"/>
        <v>-0.52646999999999999</v>
      </c>
      <c r="H101">
        <f t="shared" si="16"/>
        <v>-532.7553989772</v>
      </c>
      <c r="I101">
        <v>1</v>
      </c>
      <c r="J101">
        <f t="shared" si="17"/>
        <v>1.1868055200245833E-2</v>
      </c>
      <c r="K101">
        <f t="shared" si="18"/>
        <v>-0.69525515177521746</v>
      </c>
      <c r="L101">
        <v>1</v>
      </c>
      <c r="M101">
        <f t="shared" si="19"/>
        <v>0.52355542498337149</v>
      </c>
      <c r="N101">
        <f t="shared" si="20"/>
        <v>8.2473008939999995E-2</v>
      </c>
      <c r="O101">
        <f t="shared" si="21"/>
        <v>1.6696989539999998E-2</v>
      </c>
      <c r="P101">
        <f t="shared" si="22"/>
        <v>7.2529728311845981E-2</v>
      </c>
      <c r="V101">
        <v>3.69999999999997</v>
      </c>
      <c r="W101">
        <f t="shared" si="24"/>
        <v>-0.69615999999999856</v>
      </c>
    </row>
    <row r="102" spans="1:23" x14ac:dyDescent="0.3">
      <c r="A102">
        <v>5.1101029999999996</v>
      </c>
      <c r="B102">
        <v>0.52429000000000003</v>
      </c>
      <c r="C102">
        <f t="shared" si="13"/>
        <v>2.6791759018699999</v>
      </c>
      <c r="D102">
        <v>1.6299999999999999E-2</v>
      </c>
      <c r="E102">
        <v>3.3E-3</v>
      </c>
      <c r="F102">
        <f t="shared" si="14"/>
        <v>1022.0205999999999</v>
      </c>
      <c r="G102">
        <f t="shared" si="15"/>
        <v>-0.52429000000000003</v>
      </c>
      <c r="H102">
        <f t="shared" si="16"/>
        <v>-535.83518037399995</v>
      </c>
      <c r="I102">
        <v>1</v>
      </c>
      <c r="J102">
        <f t="shared" si="17"/>
        <v>2.1781648134144883E-2</v>
      </c>
      <c r="K102">
        <f t="shared" si="18"/>
        <v>-0.69743515177521742</v>
      </c>
      <c r="L102">
        <v>1</v>
      </c>
      <c r="M102">
        <f t="shared" si="19"/>
        <v>0.52401938113267799</v>
      </c>
      <c r="N102">
        <f t="shared" si="20"/>
        <v>8.3294678899999988E-2</v>
      </c>
      <c r="O102">
        <f t="shared" si="21"/>
        <v>1.68633399E-2</v>
      </c>
      <c r="P102">
        <f t="shared" si="22"/>
        <v>7.3257751842539451E-2</v>
      </c>
      <c r="V102">
        <v>3.7999999999999701</v>
      </c>
      <c r="W102">
        <f t="shared" si="24"/>
        <v>-0.70083999999999858</v>
      </c>
    </row>
    <row r="103" spans="1:23" x14ac:dyDescent="0.3">
      <c r="A103">
        <v>5.1605122000000003</v>
      </c>
      <c r="B103">
        <v>0.52224999999999999</v>
      </c>
      <c r="C103">
        <f t="shared" si="13"/>
        <v>2.6950774964500002</v>
      </c>
      <c r="D103">
        <v>1.6299999999999999E-2</v>
      </c>
      <c r="E103">
        <v>3.3E-3</v>
      </c>
      <c r="F103">
        <f t="shared" si="14"/>
        <v>1032.1024400000001</v>
      </c>
      <c r="G103">
        <f t="shared" si="15"/>
        <v>-0.52224999999999999</v>
      </c>
      <c r="H103">
        <f t="shared" si="16"/>
        <v>-539.01549928999998</v>
      </c>
      <c r="I103">
        <v>1</v>
      </c>
      <c r="J103">
        <f t="shared" si="17"/>
        <v>3.159792569896077E-2</v>
      </c>
      <c r="K103">
        <f t="shared" si="18"/>
        <v>-0.69947515177521746</v>
      </c>
      <c r="L103">
        <v>1</v>
      </c>
      <c r="M103">
        <f t="shared" si="19"/>
        <v>0.52447878292271144</v>
      </c>
      <c r="N103">
        <f t="shared" si="20"/>
        <v>8.4116348859999995E-2</v>
      </c>
      <c r="O103">
        <f t="shared" si="21"/>
        <v>1.7029690260000001E-2</v>
      </c>
      <c r="P103">
        <f t="shared" si="22"/>
        <v>7.385032973250602E-2</v>
      </c>
      <c r="V103">
        <v>3.8999999999999599</v>
      </c>
      <c r="W103">
        <f t="shared" si="24"/>
        <v>-0.70551999999999815</v>
      </c>
    </row>
    <row r="104" spans="1:23" x14ac:dyDescent="0.3">
      <c r="A104">
        <v>5.2129580000000004</v>
      </c>
      <c r="B104">
        <v>0.52015</v>
      </c>
      <c r="C104">
        <f t="shared" si="13"/>
        <v>2.7115201037000003</v>
      </c>
      <c r="D104">
        <v>1.6299999999999999E-2</v>
      </c>
      <c r="E104">
        <v>3.3E-3</v>
      </c>
      <c r="F104">
        <f t="shared" si="14"/>
        <v>1042.5916000000002</v>
      </c>
      <c r="G104">
        <f t="shared" si="15"/>
        <v>-0.52015</v>
      </c>
      <c r="H104">
        <f t="shared" si="16"/>
        <v>-542.30402074000006</v>
      </c>
      <c r="I104">
        <v>1</v>
      </c>
      <c r="J104">
        <f t="shared" si="17"/>
        <v>4.1709536538288516E-2</v>
      </c>
      <c r="K104">
        <f t="shared" si="18"/>
        <v>-0.70157515177521745</v>
      </c>
      <c r="L104">
        <v>1</v>
      </c>
      <c r="M104">
        <f t="shared" si="19"/>
        <v>0.52495200630999195</v>
      </c>
      <c r="N104">
        <f t="shared" si="20"/>
        <v>8.4971215399999994E-2</v>
      </c>
      <c r="O104">
        <f t="shared" si="21"/>
        <v>1.7202761400000002E-2</v>
      </c>
      <c r="P104">
        <f t="shared" si="22"/>
        <v>7.444916866522551E-2</v>
      </c>
      <c r="V104">
        <v>3.99999999999996</v>
      </c>
      <c r="W104">
        <f t="shared" si="24"/>
        <v>-0.71019999999999817</v>
      </c>
    </row>
    <row r="105" spans="1:23" x14ac:dyDescent="0.3">
      <c r="A105">
        <v>5.2674409000000004</v>
      </c>
      <c r="B105">
        <v>0.51763000000000003</v>
      </c>
      <c r="C105">
        <f t="shared" si="13"/>
        <v>2.7265854330670005</v>
      </c>
      <c r="D105">
        <v>1.6299999999999999E-2</v>
      </c>
      <c r="E105">
        <v>3.3E-3</v>
      </c>
      <c r="F105">
        <f t="shared" si="14"/>
        <v>1053.4881800000001</v>
      </c>
      <c r="G105">
        <f t="shared" si="15"/>
        <v>-0.51763000000000003</v>
      </c>
      <c r="H105">
        <f t="shared" si="16"/>
        <v>-545.31708661340008</v>
      </c>
      <c r="I105">
        <v>1</v>
      </c>
      <c r="J105">
        <f t="shared" si="17"/>
        <v>5.2106734455453434E-2</v>
      </c>
      <c r="K105">
        <f t="shared" si="18"/>
        <v>-0.70409515177521742</v>
      </c>
      <c r="L105">
        <v>1</v>
      </c>
      <c r="M105">
        <f t="shared" si="19"/>
        <v>0.52543859517251523</v>
      </c>
      <c r="N105">
        <f t="shared" si="20"/>
        <v>8.5859286669999993E-2</v>
      </c>
      <c r="O105">
        <f t="shared" si="21"/>
        <v>1.7382554970000002E-2</v>
      </c>
      <c r="P105">
        <f t="shared" si="22"/>
        <v>7.541471496270219E-2</v>
      </c>
      <c r="V105">
        <v>4.0999999999999996</v>
      </c>
      <c r="W105">
        <f t="shared" si="24"/>
        <v>-0.71487999999999996</v>
      </c>
    </row>
    <row r="106" spans="1:23" x14ac:dyDescent="0.3">
      <c r="A106">
        <v>5.3178495999999997</v>
      </c>
      <c r="B106">
        <v>0.51534000000000002</v>
      </c>
      <c r="C106">
        <f t="shared" si="13"/>
        <v>2.7405006128639999</v>
      </c>
      <c r="D106">
        <v>1.6299999999999999E-2</v>
      </c>
      <c r="E106">
        <v>3.3E-3</v>
      </c>
      <c r="F106">
        <f t="shared" si="14"/>
        <v>1063.5699199999999</v>
      </c>
      <c r="G106">
        <f t="shared" si="15"/>
        <v>-0.51534000000000002</v>
      </c>
      <c r="H106">
        <f t="shared" si="16"/>
        <v>-548.10012257279993</v>
      </c>
      <c r="I106">
        <v>1</v>
      </c>
      <c r="J106">
        <f t="shared" si="17"/>
        <v>6.1631098678041202E-2</v>
      </c>
      <c r="K106">
        <f t="shared" si="18"/>
        <v>-0.70638515177521743</v>
      </c>
      <c r="L106">
        <v>1</v>
      </c>
      <c r="M106">
        <f t="shared" si="19"/>
        <v>0.5258843354181324</v>
      </c>
      <c r="N106">
        <f t="shared" si="20"/>
        <v>8.6680948479999992E-2</v>
      </c>
      <c r="O106">
        <f t="shared" si="21"/>
        <v>1.7548903679999998E-2</v>
      </c>
      <c r="P106">
        <f t="shared" si="22"/>
        <v>7.6270964197085039E-2</v>
      </c>
      <c r="V106">
        <v>4.2</v>
      </c>
      <c r="W106">
        <f t="shared" si="24"/>
        <v>-0.71955999999999998</v>
      </c>
    </row>
    <row r="107" spans="1:23" x14ac:dyDescent="0.3">
      <c r="A107">
        <v>5.3702953999999998</v>
      </c>
      <c r="B107">
        <v>0.51288</v>
      </c>
      <c r="C107">
        <f t="shared" si="13"/>
        <v>2.7543171047519999</v>
      </c>
      <c r="D107">
        <v>1.6299999999999999E-2</v>
      </c>
      <c r="E107">
        <v>3.3E-3</v>
      </c>
      <c r="F107">
        <f t="shared" si="14"/>
        <v>1074.05908</v>
      </c>
      <c r="G107">
        <f t="shared" si="15"/>
        <v>-0.51288</v>
      </c>
      <c r="H107">
        <f t="shared" si="16"/>
        <v>-550.86342095039993</v>
      </c>
      <c r="I107">
        <v>1</v>
      </c>
      <c r="J107">
        <f t="shared" si="17"/>
        <v>7.1445003884703304E-2</v>
      </c>
      <c r="K107">
        <f t="shared" si="18"/>
        <v>-0.70884515177521745</v>
      </c>
      <c r="L107">
        <v>1</v>
      </c>
      <c r="M107">
        <f t="shared" si="19"/>
        <v>0.52634362618180408</v>
      </c>
      <c r="N107">
        <f t="shared" si="20"/>
        <v>8.7535815019999991E-2</v>
      </c>
      <c r="O107">
        <f t="shared" si="21"/>
        <v>1.772197482E-2</v>
      </c>
      <c r="P107">
        <f t="shared" si="22"/>
        <v>7.7243735753413381E-2</v>
      </c>
      <c r="V107">
        <v>4.3</v>
      </c>
      <c r="W107">
        <f t="shared" si="24"/>
        <v>-0.72423999999999999</v>
      </c>
    </row>
    <row r="108" spans="1:23" x14ac:dyDescent="0.3">
      <c r="A108">
        <v>5.4222324000000004</v>
      </c>
      <c r="B108">
        <v>0.51085000000000003</v>
      </c>
      <c r="C108">
        <f t="shared" si="13"/>
        <v>2.7699474215400004</v>
      </c>
      <c r="D108">
        <v>1.6299999999999999E-2</v>
      </c>
      <c r="E108">
        <v>3.3E-3</v>
      </c>
      <c r="F108">
        <f t="shared" si="14"/>
        <v>1084.4464800000001</v>
      </c>
      <c r="G108">
        <f t="shared" si="15"/>
        <v>-0.51085000000000003</v>
      </c>
      <c r="H108">
        <f t="shared" si="16"/>
        <v>-553.9894843080001</v>
      </c>
      <c r="I108">
        <v>1</v>
      </c>
      <c r="J108">
        <f t="shared" si="17"/>
        <v>8.1069700136200407E-2</v>
      </c>
      <c r="K108">
        <f t="shared" si="18"/>
        <v>-0.71087515177521743</v>
      </c>
      <c r="L108">
        <v>1</v>
      </c>
      <c r="M108">
        <f t="shared" si="19"/>
        <v>0.52679406196637424</v>
      </c>
      <c r="N108">
        <f t="shared" si="20"/>
        <v>8.8382388120000002E-2</v>
      </c>
      <c r="O108">
        <f t="shared" si="21"/>
        <v>1.7893366920000001E-2</v>
      </c>
      <c r="P108">
        <f t="shared" si="22"/>
        <v>7.7805334768843187E-2</v>
      </c>
      <c r="V108">
        <v>4.4000000000000004</v>
      </c>
      <c r="W108">
        <f t="shared" si="24"/>
        <v>-0.72892000000000001</v>
      </c>
    </row>
    <row r="109" spans="1:23" x14ac:dyDescent="0.3">
      <c r="A109">
        <v>5.4736596999999998</v>
      </c>
      <c r="B109">
        <v>0.50866</v>
      </c>
      <c r="C109">
        <f t="shared" si="13"/>
        <v>2.784231743002</v>
      </c>
      <c r="D109">
        <v>1.6299999999999999E-2</v>
      </c>
      <c r="E109">
        <v>3.3E-3</v>
      </c>
      <c r="F109">
        <f t="shared" si="14"/>
        <v>1094.7319399999999</v>
      </c>
      <c r="G109">
        <f t="shared" si="15"/>
        <v>-0.50866</v>
      </c>
      <c r="H109">
        <f t="shared" si="16"/>
        <v>-556.84634860040001</v>
      </c>
      <c r="I109">
        <v>1</v>
      </c>
      <c r="J109">
        <f t="shared" si="17"/>
        <v>9.0509529646190648E-2</v>
      </c>
      <c r="K109">
        <f t="shared" si="18"/>
        <v>-0.71306515177521745</v>
      </c>
      <c r="L109">
        <v>1</v>
      </c>
      <c r="M109">
        <f t="shared" si="19"/>
        <v>0.52723584598744178</v>
      </c>
      <c r="N109">
        <f t="shared" si="20"/>
        <v>8.9220653109999992E-2</v>
      </c>
      <c r="O109">
        <f t="shared" si="21"/>
        <v>1.8063077009999998E-2</v>
      </c>
      <c r="P109">
        <f t="shared" si="22"/>
        <v>7.8545575667775688E-2</v>
      </c>
      <c r="V109">
        <v>4.5</v>
      </c>
      <c r="W109">
        <f t="shared" si="24"/>
        <v>-0.73360000000000003</v>
      </c>
    </row>
    <row r="110" spans="1:23" x14ac:dyDescent="0.3">
      <c r="A110">
        <v>5.5240692999999998</v>
      </c>
      <c r="B110">
        <v>0.50639999999999996</v>
      </c>
      <c r="C110">
        <f t="shared" si="13"/>
        <v>2.7973886935199999</v>
      </c>
      <c r="D110">
        <v>1.6299999999999999E-2</v>
      </c>
      <c r="E110">
        <v>3.3E-3</v>
      </c>
      <c r="F110">
        <f t="shared" si="14"/>
        <v>1104.81386</v>
      </c>
      <c r="G110">
        <f t="shared" si="15"/>
        <v>-0.50639999999999996</v>
      </c>
      <c r="H110">
        <f t="shared" si="16"/>
        <v>-559.47773870399999</v>
      </c>
      <c r="I110">
        <v>1</v>
      </c>
      <c r="J110">
        <f t="shared" si="17"/>
        <v>9.9676868291314266E-2</v>
      </c>
      <c r="K110">
        <f t="shared" si="18"/>
        <v>-0.71532515177521749</v>
      </c>
      <c r="L110">
        <v>1</v>
      </c>
      <c r="M110">
        <f t="shared" si="19"/>
        <v>0.52766487743603352</v>
      </c>
      <c r="N110">
        <f t="shared" si="20"/>
        <v>9.0042329589999984E-2</v>
      </c>
      <c r="O110">
        <f t="shared" si="21"/>
        <v>1.822942869E-2</v>
      </c>
      <c r="P110">
        <f t="shared" si="22"/>
        <v>7.9388516059183983E-2</v>
      </c>
      <c r="V110">
        <v>4.5999999999999996</v>
      </c>
      <c r="W110">
        <f t="shared" si="24"/>
        <v>-0.73828000000000005</v>
      </c>
    </row>
    <row r="111" spans="1:23" x14ac:dyDescent="0.3">
      <c r="A111">
        <v>5.5749873000000001</v>
      </c>
      <c r="B111">
        <v>0.50424999999999998</v>
      </c>
      <c r="C111">
        <f t="shared" si="13"/>
        <v>2.8111873460250001</v>
      </c>
      <c r="D111">
        <v>1.6299999999999999E-2</v>
      </c>
      <c r="E111">
        <v>3.3E-3</v>
      </c>
      <c r="F111">
        <f t="shared" si="14"/>
        <v>1114.99746</v>
      </c>
      <c r="G111">
        <f t="shared" si="15"/>
        <v>-0.50424999999999998</v>
      </c>
      <c r="H111">
        <f t="shared" si="16"/>
        <v>-562.23746920500002</v>
      </c>
      <c r="I111">
        <v>1</v>
      </c>
      <c r="J111">
        <f t="shared" si="17"/>
        <v>0.10885212688258164</v>
      </c>
      <c r="K111">
        <f t="shared" si="18"/>
        <v>-0.71747515177521748</v>
      </c>
      <c r="L111">
        <v>1</v>
      </c>
      <c r="M111">
        <f t="shared" si="19"/>
        <v>0.52809427953810484</v>
      </c>
      <c r="N111">
        <f t="shared" si="20"/>
        <v>9.0872292989999992E-2</v>
      </c>
      <c r="O111">
        <f t="shared" si="21"/>
        <v>1.8397458089999999E-2</v>
      </c>
      <c r="P111">
        <f t="shared" si="22"/>
        <v>8.011112115711265E-2</v>
      </c>
      <c r="V111">
        <v>4.7</v>
      </c>
      <c r="W111">
        <f t="shared" si="24"/>
        <v>-0.74296000000000006</v>
      </c>
    </row>
    <row r="112" spans="1:23" x14ac:dyDescent="0.3">
      <c r="A112">
        <v>5.6289609</v>
      </c>
      <c r="B112">
        <v>0.50185999999999997</v>
      </c>
      <c r="C112">
        <f t="shared" si="13"/>
        <v>2.8249503172739998</v>
      </c>
      <c r="D112">
        <v>1.6299999999999999E-2</v>
      </c>
      <c r="E112">
        <v>3.3E-3</v>
      </c>
      <c r="F112">
        <f t="shared" si="14"/>
        <v>1125.7921799999999</v>
      </c>
      <c r="G112">
        <f t="shared" si="15"/>
        <v>-0.50185999999999997</v>
      </c>
      <c r="H112">
        <f t="shared" si="16"/>
        <v>-564.99006345479995</v>
      </c>
      <c r="I112">
        <v>1</v>
      </c>
      <c r="J112">
        <f t="shared" si="17"/>
        <v>0.11848694785205302</v>
      </c>
      <c r="K112">
        <f t="shared" si="18"/>
        <v>-0.71986515177521748</v>
      </c>
      <c r="L112">
        <v>1</v>
      </c>
      <c r="M112">
        <f t="shared" si="19"/>
        <v>0.52854518915947613</v>
      </c>
      <c r="N112">
        <f t="shared" si="20"/>
        <v>9.1752062669999995E-2</v>
      </c>
      <c r="O112">
        <f t="shared" si="21"/>
        <v>1.857557097E-2</v>
      </c>
      <c r="P112">
        <f t="shared" si="22"/>
        <v>8.0992328975741365E-2</v>
      </c>
      <c r="V112">
        <v>4.8</v>
      </c>
      <c r="W112">
        <f t="shared" si="24"/>
        <v>-0.74764000000000008</v>
      </c>
    </row>
    <row r="113" spans="1:23" x14ac:dyDescent="0.3">
      <c r="A113">
        <v>5.6808975000000004</v>
      </c>
      <c r="B113">
        <v>0.49965999999999999</v>
      </c>
      <c r="C113">
        <f t="shared" si="13"/>
        <v>2.8385172448500002</v>
      </c>
      <c r="D113">
        <v>1.6299999999999999E-2</v>
      </c>
      <c r="E113">
        <v>3.3E-3</v>
      </c>
      <c r="F113">
        <f t="shared" si="14"/>
        <v>1136.1795000000002</v>
      </c>
      <c r="G113">
        <f t="shared" si="15"/>
        <v>-0.49965999999999999</v>
      </c>
      <c r="H113">
        <f t="shared" si="16"/>
        <v>-567.70344897000007</v>
      </c>
      <c r="I113">
        <v>1</v>
      </c>
      <c r="J113">
        <f t="shared" si="17"/>
        <v>0.1276713183799858</v>
      </c>
      <c r="K113">
        <f t="shared" si="18"/>
        <v>-0.72206515177521746</v>
      </c>
      <c r="L113">
        <v>1</v>
      </c>
      <c r="M113">
        <f t="shared" si="19"/>
        <v>0.5289750177001834</v>
      </c>
      <c r="N113">
        <f t="shared" si="20"/>
        <v>9.2598629249999995E-2</v>
      </c>
      <c r="O113">
        <f t="shared" si="21"/>
        <v>1.8746961750000003E-2</v>
      </c>
      <c r="P113">
        <f t="shared" si="22"/>
        <v>8.1744543075034065E-2</v>
      </c>
      <c r="V113">
        <v>4.9000000000000004</v>
      </c>
      <c r="W113">
        <f t="shared" si="24"/>
        <v>-0.7523200000000001</v>
      </c>
    </row>
    <row r="114" spans="1:23" x14ac:dyDescent="0.3">
      <c r="A114">
        <v>5.7328345000000001</v>
      </c>
      <c r="B114">
        <v>0.49756</v>
      </c>
      <c r="C114">
        <f t="shared" si="13"/>
        <v>2.8524291338199999</v>
      </c>
      <c r="D114">
        <v>1.6299999999999999E-2</v>
      </c>
      <c r="E114">
        <v>3.3E-3</v>
      </c>
      <c r="F114">
        <f t="shared" si="14"/>
        <v>1146.5669</v>
      </c>
      <c r="G114">
        <f t="shared" si="15"/>
        <v>-0.49756</v>
      </c>
      <c r="H114">
        <f t="shared" si="16"/>
        <v>-570.48582676399997</v>
      </c>
      <c r="I114">
        <v>1</v>
      </c>
      <c r="J114">
        <f t="shared" si="17"/>
        <v>0.13677217311801845</v>
      </c>
      <c r="K114">
        <f t="shared" si="18"/>
        <v>-0.72416515177521745</v>
      </c>
      <c r="L114">
        <v>1</v>
      </c>
      <c r="M114">
        <f t="shared" si="19"/>
        <v>0.52940093770192331</v>
      </c>
      <c r="N114">
        <f t="shared" si="20"/>
        <v>9.3445202349999992E-2</v>
      </c>
      <c r="O114">
        <f t="shared" si="21"/>
        <v>1.891835385E-2</v>
      </c>
      <c r="P114">
        <f t="shared" si="22"/>
        <v>8.2400657873294147E-2</v>
      </c>
      <c r="V114">
        <v>5</v>
      </c>
      <c r="W114">
        <f t="shared" si="24"/>
        <v>-0.75700000000000001</v>
      </c>
    </row>
    <row r="115" spans="1:23" x14ac:dyDescent="0.3">
      <c r="A115">
        <v>5.7857890999999997</v>
      </c>
      <c r="B115">
        <v>0.49515999999999999</v>
      </c>
      <c r="C115">
        <f t="shared" si="13"/>
        <v>2.864891330756</v>
      </c>
      <c r="D115">
        <v>1.6299999999999999E-2</v>
      </c>
      <c r="E115">
        <v>3.3E-3</v>
      </c>
      <c r="F115">
        <f t="shared" si="14"/>
        <v>1157.1578199999999</v>
      </c>
      <c r="G115">
        <f t="shared" si="15"/>
        <v>-0.49515999999999999</v>
      </c>
      <c r="H115">
        <f t="shared" si="16"/>
        <v>-572.97826615120005</v>
      </c>
      <c r="I115">
        <v>1</v>
      </c>
      <c r="J115">
        <f t="shared" si="17"/>
        <v>0.1459668434036743</v>
      </c>
      <c r="K115">
        <f t="shared" si="18"/>
        <v>-0.72656515177521741</v>
      </c>
      <c r="L115">
        <v>1</v>
      </c>
      <c r="M115">
        <f t="shared" si="19"/>
        <v>0.52983124827129202</v>
      </c>
      <c r="N115">
        <f t="shared" si="20"/>
        <v>9.4308362329999992E-2</v>
      </c>
      <c r="O115">
        <f t="shared" si="21"/>
        <v>1.9093104029999999E-2</v>
      </c>
      <c r="P115">
        <f t="shared" si="22"/>
        <v>8.3332437143925395E-2</v>
      </c>
      <c r="V115">
        <v>5.0999999999999996</v>
      </c>
      <c r="W115">
        <f t="shared" si="24"/>
        <v>-0.76168000000000002</v>
      </c>
    </row>
    <row r="116" spans="1:23" x14ac:dyDescent="0.3">
      <c r="A116">
        <v>5.8361986999999997</v>
      </c>
      <c r="B116">
        <v>0.49279000000000001</v>
      </c>
      <c r="C116">
        <f t="shared" si="13"/>
        <v>2.8760203573730001</v>
      </c>
      <c r="D116">
        <v>1.6299999999999999E-2</v>
      </c>
      <c r="E116">
        <v>3.3E-3</v>
      </c>
      <c r="F116">
        <f t="shared" si="14"/>
        <v>1167.23974</v>
      </c>
      <c r="G116">
        <f t="shared" si="15"/>
        <v>-0.49279000000000001</v>
      </c>
      <c r="H116">
        <f t="shared" si="16"/>
        <v>-575.20407147460003</v>
      </c>
      <c r="I116">
        <v>1</v>
      </c>
      <c r="J116">
        <f t="shared" si="17"/>
        <v>0.15464176493950921</v>
      </c>
      <c r="K116">
        <f t="shared" si="18"/>
        <v>-0.72893515177521739</v>
      </c>
      <c r="L116">
        <v>1</v>
      </c>
      <c r="M116">
        <f t="shared" si="19"/>
        <v>0.53023723459916905</v>
      </c>
      <c r="N116">
        <f t="shared" si="20"/>
        <v>9.5130038809999984E-2</v>
      </c>
      <c r="O116">
        <f t="shared" si="21"/>
        <v>1.9259455709999998E-2</v>
      </c>
      <c r="P116">
        <f t="shared" si="22"/>
        <v>8.4308422656048362E-2</v>
      </c>
      <c r="V116">
        <v>5.2</v>
      </c>
      <c r="W116">
        <f t="shared" si="24"/>
        <v>-0.76636000000000004</v>
      </c>
    </row>
    <row r="117" spans="1:23" x14ac:dyDescent="0.3">
      <c r="A117">
        <v>5.8866073999999999</v>
      </c>
      <c r="B117">
        <v>0.49080000000000001</v>
      </c>
      <c r="C117">
        <f t="shared" si="13"/>
        <v>2.8891469119200002</v>
      </c>
      <c r="D117">
        <v>1.6299999999999999E-2</v>
      </c>
      <c r="E117">
        <v>3.3E-3</v>
      </c>
      <c r="F117">
        <f t="shared" si="14"/>
        <v>1177.3214800000001</v>
      </c>
      <c r="G117">
        <f t="shared" si="15"/>
        <v>-0.49080000000000001</v>
      </c>
      <c r="H117">
        <f t="shared" si="16"/>
        <v>-577.82938238400004</v>
      </c>
      <c r="I117">
        <v>1</v>
      </c>
      <c r="J117">
        <f t="shared" si="17"/>
        <v>0.1632419260727519</v>
      </c>
      <c r="K117">
        <f t="shared" si="18"/>
        <v>-0.73092515177521744</v>
      </c>
      <c r="L117">
        <v>1</v>
      </c>
      <c r="M117">
        <f t="shared" si="19"/>
        <v>0.53063972214020483</v>
      </c>
      <c r="N117">
        <f t="shared" si="20"/>
        <v>9.5951700619999997E-2</v>
      </c>
      <c r="O117">
        <f t="shared" si="21"/>
        <v>1.9425804419999998E-2</v>
      </c>
      <c r="P117">
        <f t="shared" si="22"/>
        <v>8.4907924595012618E-2</v>
      </c>
      <c r="V117">
        <v>5.3</v>
      </c>
      <c r="W117">
        <f t="shared" si="24"/>
        <v>-0.77104000000000006</v>
      </c>
    </row>
    <row r="118" spans="1:23" x14ac:dyDescent="0.3">
      <c r="A118">
        <v>5.9375258999999998</v>
      </c>
      <c r="B118">
        <v>0.48848999999999998</v>
      </c>
      <c r="C118">
        <f t="shared" si="13"/>
        <v>2.9004220268909999</v>
      </c>
      <c r="D118">
        <v>1.6299999999999999E-2</v>
      </c>
      <c r="E118">
        <v>3.3E-3</v>
      </c>
      <c r="F118">
        <f t="shared" si="14"/>
        <v>1187.5051799999999</v>
      </c>
      <c r="G118">
        <f t="shared" si="15"/>
        <v>-0.48848999999999998</v>
      </c>
      <c r="H118">
        <f t="shared" si="16"/>
        <v>-580.08440537820002</v>
      </c>
      <c r="I118">
        <v>1</v>
      </c>
      <c r="J118">
        <f t="shared" si="17"/>
        <v>0.17185461902240828</v>
      </c>
      <c r="K118">
        <f t="shared" si="18"/>
        <v>-0.73323515177521748</v>
      </c>
      <c r="L118">
        <v>1</v>
      </c>
      <c r="M118">
        <f t="shared" si="19"/>
        <v>0.53104279617024874</v>
      </c>
      <c r="N118">
        <f t="shared" si="20"/>
        <v>9.6781672169999985E-2</v>
      </c>
      <c r="O118">
        <f t="shared" si="21"/>
        <v>1.9593835469999998E-2</v>
      </c>
      <c r="P118">
        <f t="shared" si="22"/>
        <v>8.5816847964968745E-2</v>
      </c>
      <c r="V118">
        <v>5.4</v>
      </c>
      <c r="W118">
        <f t="shared" si="24"/>
        <v>-0.77571999999999997</v>
      </c>
    </row>
    <row r="119" spans="1:23" x14ac:dyDescent="0.3">
      <c r="A119">
        <v>5.9889530999999998</v>
      </c>
      <c r="B119">
        <v>0.48637999999999998</v>
      </c>
      <c r="C119">
        <f t="shared" si="13"/>
        <v>2.9129070087779998</v>
      </c>
      <c r="D119">
        <v>1.6299999999999999E-2</v>
      </c>
      <c r="E119">
        <v>3.3E-3</v>
      </c>
      <c r="F119">
        <f t="shared" si="14"/>
        <v>1197.79062</v>
      </c>
      <c r="G119">
        <f t="shared" si="15"/>
        <v>-0.48637999999999998</v>
      </c>
      <c r="H119">
        <f t="shared" si="16"/>
        <v>-582.58140175559993</v>
      </c>
      <c r="I119">
        <v>1</v>
      </c>
      <c r="J119">
        <f t="shared" si="17"/>
        <v>0.18047870979401912</v>
      </c>
      <c r="K119">
        <f t="shared" si="18"/>
        <v>-0.73534515177521742</v>
      </c>
      <c r="L119">
        <v>1</v>
      </c>
      <c r="M119">
        <f t="shared" si="19"/>
        <v>0.53144640361836015</v>
      </c>
      <c r="N119">
        <f t="shared" si="20"/>
        <v>9.7619935529999993E-2</v>
      </c>
      <c r="O119">
        <f t="shared" si="21"/>
        <v>1.9763545229999999E-2</v>
      </c>
      <c r="P119">
        <f t="shared" si="22"/>
        <v>8.6515267396857276E-2</v>
      </c>
      <c r="V119">
        <v>5.5</v>
      </c>
      <c r="W119">
        <f t="shared" si="24"/>
        <v>-0.78039999999999998</v>
      </c>
    </row>
    <row r="120" spans="1:23" x14ac:dyDescent="0.3">
      <c r="A120">
        <v>6.0408895999999999</v>
      </c>
      <c r="B120">
        <v>0.48401</v>
      </c>
      <c r="C120">
        <f t="shared" si="13"/>
        <v>2.9238509752959998</v>
      </c>
      <c r="D120">
        <v>1.6299999999999999E-2</v>
      </c>
      <c r="E120">
        <v>3.3E-3</v>
      </c>
      <c r="F120">
        <f t="shared" si="14"/>
        <v>1208.1779200000001</v>
      </c>
      <c r="G120">
        <f t="shared" si="15"/>
        <v>-0.48401</v>
      </c>
      <c r="H120">
        <f t="shared" si="16"/>
        <v>-584.77019505919998</v>
      </c>
      <c r="I120">
        <v>1</v>
      </c>
      <c r="J120">
        <f t="shared" si="17"/>
        <v>0.18911337343549856</v>
      </c>
      <c r="K120">
        <f t="shared" si="18"/>
        <v>-0.7377151517752174</v>
      </c>
      <c r="L120">
        <v>1</v>
      </c>
      <c r="M120">
        <f t="shared" si="19"/>
        <v>0.5318505058767814</v>
      </c>
      <c r="N120">
        <f t="shared" si="20"/>
        <v>9.8466500479999983E-2</v>
      </c>
      <c r="O120">
        <f t="shared" si="21"/>
        <v>1.9934935679999998E-2</v>
      </c>
      <c r="P120">
        <f t="shared" si="22"/>
        <v>8.7463209738436021E-2</v>
      </c>
      <c r="V120">
        <v>5.6</v>
      </c>
      <c r="W120">
        <f t="shared" si="24"/>
        <v>-0.78508</v>
      </c>
    </row>
    <row r="121" spans="1:23" x14ac:dyDescent="0.3">
      <c r="A121">
        <v>6.0928271000000001</v>
      </c>
      <c r="B121">
        <v>0.48176999999999998</v>
      </c>
      <c r="C121">
        <f t="shared" si="13"/>
        <v>2.935341311967</v>
      </c>
      <c r="D121">
        <v>1.6299999999999999E-2</v>
      </c>
      <c r="E121">
        <v>3.3E-3</v>
      </c>
      <c r="F121">
        <f t="shared" si="14"/>
        <v>1218.5654199999999</v>
      </c>
      <c r="G121">
        <f t="shared" si="15"/>
        <v>-0.48176999999999998</v>
      </c>
      <c r="H121">
        <f t="shared" si="16"/>
        <v>-587.0682623934</v>
      </c>
      <c r="I121">
        <v>1</v>
      </c>
      <c r="J121">
        <f t="shared" si="17"/>
        <v>0.19767428160376146</v>
      </c>
      <c r="K121">
        <f t="shared" si="18"/>
        <v>-0.73995515177521742</v>
      </c>
      <c r="L121">
        <v>1</v>
      </c>
      <c r="M121">
        <f t="shared" si="19"/>
        <v>0.53225115637905607</v>
      </c>
      <c r="N121">
        <f t="shared" si="20"/>
        <v>9.9313081729999989E-2</v>
      </c>
      <c r="O121">
        <f t="shared" si="21"/>
        <v>2.010632943E-2</v>
      </c>
      <c r="P121">
        <f t="shared" si="22"/>
        <v>8.8284584236161368E-2</v>
      </c>
      <c r="V121">
        <v>5.7</v>
      </c>
      <c r="W121">
        <f t="shared" si="24"/>
        <v>-0.78976000000000002</v>
      </c>
    </row>
    <row r="122" spans="1:23" x14ac:dyDescent="0.3">
      <c r="A122">
        <v>6.1452729000000001</v>
      </c>
      <c r="B122">
        <v>0.47961999999999999</v>
      </c>
      <c r="C122">
        <f t="shared" si="13"/>
        <v>2.947395788298</v>
      </c>
      <c r="D122">
        <v>1.6299999999999999E-2</v>
      </c>
      <c r="E122">
        <v>3.3E-3</v>
      </c>
      <c r="F122">
        <f t="shared" si="14"/>
        <v>1229.05458</v>
      </c>
      <c r="G122">
        <f t="shared" si="15"/>
        <v>-0.47961999999999999</v>
      </c>
      <c r="H122">
        <f t="shared" si="16"/>
        <v>-589.47915765959999</v>
      </c>
      <c r="I122">
        <v>1</v>
      </c>
      <c r="J122">
        <f t="shared" si="17"/>
        <v>0.20624523968730252</v>
      </c>
      <c r="K122">
        <f t="shared" si="18"/>
        <v>-0.74210515177521752</v>
      </c>
      <c r="L122">
        <v>1</v>
      </c>
      <c r="M122">
        <f t="shared" si="19"/>
        <v>0.53265227721736574</v>
      </c>
      <c r="N122">
        <f t="shared" si="20"/>
        <v>0.10016794826999999</v>
      </c>
      <c r="O122">
        <f t="shared" si="21"/>
        <v>2.0279400570000002E-2</v>
      </c>
      <c r="P122">
        <f t="shared" si="22"/>
        <v>8.900552571785178E-2</v>
      </c>
      <c r="V122">
        <v>5.8</v>
      </c>
      <c r="W122">
        <f t="shared" si="24"/>
        <v>-0.79444000000000004</v>
      </c>
    </row>
    <row r="123" spans="1:23" x14ac:dyDescent="0.3">
      <c r="A123">
        <v>6.1977187999999996</v>
      </c>
      <c r="B123">
        <v>0.47727000000000003</v>
      </c>
      <c r="C123">
        <f t="shared" si="13"/>
        <v>2.9579852516759999</v>
      </c>
      <c r="D123">
        <v>1.6299999999999999E-2</v>
      </c>
      <c r="E123">
        <v>3.3E-3</v>
      </c>
      <c r="F123">
        <f t="shared" si="14"/>
        <v>1239.54376</v>
      </c>
      <c r="G123">
        <f t="shared" si="15"/>
        <v>-0.47727000000000003</v>
      </c>
      <c r="H123">
        <f t="shared" si="16"/>
        <v>-591.59705033520004</v>
      </c>
      <c r="I123">
        <v>1</v>
      </c>
      <c r="J123">
        <f t="shared" si="17"/>
        <v>0.21474337642820662</v>
      </c>
      <c r="K123">
        <f t="shared" si="18"/>
        <v>-0.74445515177521737</v>
      </c>
      <c r="L123">
        <v>1</v>
      </c>
      <c r="M123">
        <f t="shared" si="19"/>
        <v>0.53304999001684006</v>
      </c>
      <c r="N123">
        <f t="shared" si="20"/>
        <v>0.10102281643999998</v>
      </c>
      <c r="O123">
        <f t="shared" si="21"/>
        <v>2.0452472039999999E-2</v>
      </c>
      <c r="P123">
        <f t="shared" si="22"/>
        <v>8.9929873278377329E-2</v>
      </c>
      <c r="V123">
        <v>5.9</v>
      </c>
      <c r="W123">
        <f t="shared" si="24"/>
        <v>-0.79912000000000005</v>
      </c>
    </row>
    <row r="124" spans="1:23" x14ac:dyDescent="0.3">
      <c r="A124">
        <v>6.2486366999999996</v>
      </c>
      <c r="B124">
        <v>0.47515000000000002</v>
      </c>
      <c r="C124">
        <f t="shared" si="13"/>
        <v>2.9690397280049998</v>
      </c>
      <c r="D124">
        <v>1.6299999999999999E-2</v>
      </c>
      <c r="E124">
        <v>3.3E-3</v>
      </c>
      <c r="F124">
        <f t="shared" si="14"/>
        <v>1249.7273399999999</v>
      </c>
      <c r="G124">
        <f t="shared" si="15"/>
        <v>-0.47515000000000002</v>
      </c>
      <c r="H124">
        <f t="shared" si="16"/>
        <v>-593.80794560099991</v>
      </c>
      <c r="I124">
        <v>1</v>
      </c>
      <c r="J124">
        <f t="shared" si="17"/>
        <v>0.22292539952083748</v>
      </c>
      <c r="K124">
        <f t="shared" si="18"/>
        <v>-0.74657515177521749</v>
      </c>
      <c r="L124">
        <v>1</v>
      </c>
      <c r="M124">
        <f t="shared" si="19"/>
        <v>0.5334329086975752</v>
      </c>
      <c r="N124">
        <f t="shared" si="20"/>
        <v>0.10185277820999998</v>
      </c>
      <c r="O124">
        <f t="shared" si="21"/>
        <v>2.0620501109999998E-2</v>
      </c>
      <c r="P124">
        <f t="shared" si="22"/>
        <v>9.0668963757642315E-2</v>
      </c>
      <c r="V124">
        <v>6</v>
      </c>
      <c r="W124">
        <f t="shared" si="24"/>
        <v>-0.80380000000000007</v>
      </c>
    </row>
    <row r="125" spans="1:23" x14ac:dyDescent="0.3">
      <c r="A125">
        <v>6.3010824999999997</v>
      </c>
      <c r="B125">
        <v>0.47248000000000001</v>
      </c>
      <c r="C125">
        <f t="shared" si="13"/>
        <v>2.9771354595999999</v>
      </c>
      <c r="D125">
        <v>1.6299999999999999E-2</v>
      </c>
      <c r="E125">
        <v>3.3E-3</v>
      </c>
      <c r="F125">
        <f t="shared" si="14"/>
        <v>1260.2165</v>
      </c>
      <c r="G125">
        <f t="shared" si="15"/>
        <v>-0.47248000000000001</v>
      </c>
      <c r="H125">
        <f t="shared" si="16"/>
        <v>-595.42709191999995</v>
      </c>
      <c r="I125">
        <v>1</v>
      </c>
      <c r="J125">
        <f t="shared" si="17"/>
        <v>0.23128353159991935</v>
      </c>
      <c r="K125">
        <f t="shared" si="18"/>
        <v>-0.74924515177521744</v>
      </c>
      <c r="L125">
        <v>1</v>
      </c>
      <c r="M125">
        <f t="shared" si="19"/>
        <v>0.53382406927887627</v>
      </c>
      <c r="N125">
        <f t="shared" si="20"/>
        <v>0.10270764474999998</v>
      </c>
      <c r="O125">
        <f t="shared" si="21"/>
        <v>2.079357225E-2</v>
      </c>
      <c r="P125">
        <f t="shared" si="22"/>
        <v>9.1919865496341194E-2</v>
      </c>
      <c r="V125">
        <v>6.1</v>
      </c>
      <c r="W125">
        <f t="shared" si="24"/>
        <v>-0.80848000000000009</v>
      </c>
    </row>
    <row r="126" spans="1:23" x14ac:dyDescent="0.3">
      <c r="A126">
        <v>6.3514917000000004</v>
      </c>
      <c r="B126">
        <v>0.47060000000000002</v>
      </c>
      <c r="C126">
        <f t="shared" si="13"/>
        <v>2.9890119940200002</v>
      </c>
      <c r="D126">
        <v>1.6299999999999999E-2</v>
      </c>
      <c r="E126">
        <v>3.3E-3</v>
      </c>
      <c r="F126">
        <f t="shared" si="14"/>
        <v>1270.2983400000001</v>
      </c>
      <c r="G126">
        <f t="shared" si="15"/>
        <v>-0.47060000000000002</v>
      </c>
      <c r="H126">
        <f t="shared" si="16"/>
        <v>-597.80239880400006</v>
      </c>
      <c r="I126">
        <v>1</v>
      </c>
      <c r="J126">
        <f t="shared" si="17"/>
        <v>0.23925178626849775</v>
      </c>
      <c r="K126">
        <f t="shared" si="18"/>
        <v>-0.75112515177521744</v>
      </c>
      <c r="L126">
        <v>1</v>
      </c>
      <c r="M126">
        <f t="shared" si="19"/>
        <v>0.53419698359736567</v>
      </c>
      <c r="N126">
        <f t="shared" si="20"/>
        <v>0.10352931471</v>
      </c>
      <c r="O126">
        <f t="shared" si="21"/>
        <v>2.0959922610000001E-2</v>
      </c>
      <c r="P126">
        <f t="shared" si="22"/>
        <v>9.2438930857851764E-2</v>
      </c>
      <c r="V126">
        <v>6.2</v>
      </c>
      <c r="W126">
        <f t="shared" si="24"/>
        <v>-0.8131600000000001</v>
      </c>
    </row>
    <row r="127" spans="1:23" x14ac:dyDescent="0.3">
      <c r="A127">
        <v>6.4049556000000001</v>
      </c>
      <c r="B127">
        <v>0.46834999999999999</v>
      </c>
      <c r="C127">
        <f t="shared" si="13"/>
        <v>2.9997609552599998</v>
      </c>
      <c r="D127">
        <v>1.6299999999999999E-2</v>
      </c>
      <c r="E127">
        <v>3.3E-3</v>
      </c>
      <c r="F127">
        <f t="shared" si="14"/>
        <v>1280.9911199999999</v>
      </c>
      <c r="G127">
        <f t="shared" si="15"/>
        <v>-0.46834999999999999</v>
      </c>
      <c r="H127">
        <f t="shared" si="16"/>
        <v>-599.95219105199999</v>
      </c>
      <c r="I127">
        <v>1</v>
      </c>
      <c r="J127">
        <f t="shared" si="17"/>
        <v>0.247634090806261</v>
      </c>
      <c r="K127">
        <f t="shared" si="18"/>
        <v>-0.75337515177521741</v>
      </c>
      <c r="L127">
        <v>1</v>
      </c>
      <c r="M127">
        <f t="shared" si="19"/>
        <v>0.534589275449733</v>
      </c>
      <c r="N127">
        <f t="shared" si="20"/>
        <v>0.10440077628</v>
      </c>
      <c r="O127">
        <f t="shared" si="21"/>
        <v>2.1136353480000002E-2</v>
      </c>
      <c r="P127">
        <f t="shared" si="22"/>
        <v>9.3248746565484403E-2</v>
      </c>
      <c r="V127">
        <v>6.3</v>
      </c>
      <c r="W127">
        <f t="shared" si="24"/>
        <v>-0.81784000000000001</v>
      </c>
    </row>
    <row r="128" spans="1:23" x14ac:dyDescent="0.3">
      <c r="A128">
        <v>6.4553652000000001</v>
      </c>
      <c r="B128">
        <v>0.46605999999999997</v>
      </c>
      <c r="C128">
        <f t="shared" si="13"/>
        <v>3.0085875051119997</v>
      </c>
      <c r="D128">
        <v>1.6299999999999999E-2</v>
      </c>
      <c r="E128">
        <v>3.3E-3</v>
      </c>
      <c r="F128">
        <f t="shared" si="14"/>
        <v>1291.07304</v>
      </c>
      <c r="G128">
        <f t="shared" si="15"/>
        <v>-0.46605999999999997</v>
      </c>
      <c r="H128">
        <f t="shared" si="16"/>
        <v>-601.71750102239992</v>
      </c>
      <c r="I128">
        <v>1</v>
      </c>
      <c r="J128">
        <f t="shared" si="17"/>
        <v>0.25547368656157088</v>
      </c>
      <c r="K128">
        <f t="shared" si="18"/>
        <v>-0.75566515177521754</v>
      </c>
      <c r="L128">
        <v>1</v>
      </c>
      <c r="M128">
        <f t="shared" si="19"/>
        <v>0.53495616853108152</v>
      </c>
      <c r="N128">
        <f t="shared" si="20"/>
        <v>0.10522245275999999</v>
      </c>
      <c r="O128">
        <f t="shared" si="21"/>
        <v>2.1302705160000001E-2</v>
      </c>
      <c r="P128">
        <f t="shared" si="22"/>
        <v>9.4183825324136022E-2</v>
      </c>
      <c r="V128">
        <v>6.4</v>
      </c>
      <c r="W128">
        <f t="shared" si="24"/>
        <v>-0.82252000000000003</v>
      </c>
    </row>
    <row r="129" spans="1:23" x14ac:dyDescent="0.3">
      <c r="A129">
        <v>6.5083197999999998</v>
      </c>
      <c r="B129">
        <v>0.46375</v>
      </c>
      <c r="C129">
        <f t="shared" si="13"/>
        <v>3.0182333072500001</v>
      </c>
      <c r="D129">
        <v>1.6299999999999999E-2</v>
      </c>
      <c r="E129">
        <v>3.3E-3</v>
      </c>
      <c r="F129">
        <f t="shared" si="14"/>
        <v>1301.6639599999999</v>
      </c>
      <c r="G129">
        <f t="shared" si="15"/>
        <v>-0.46375</v>
      </c>
      <c r="H129">
        <f t="shared" si="16"/>
        <v>-603.64666145000001</v>
      </c>
      <c r="I129">
        <v>1</v>
      </c>
      <c r="J129">
        <f t="shared" si="17"/>
        <v>0.26364341523597429</v>
      </c>
      <c r="K129">
        <f t="shared" si="18"/>
        <v>-0.75797515177521746</v>
      </c>
      <c r="L129">
        <v>1</v>
      </c>
      <c r="M129">
        <f t="shared" si="19"/>
        <v>0.5353385118330436</v>
      </c>
      <c r="N129">
        <f t="shared" si="20"/>
        <v>0.10608561273999999</v>
      </c>
      <c r="O129">
        <f t="shared" si="21"/>
        <v>2.147745534E-2</v>
      </c>
      <c r="P129">
        <f t="shared" si="22"/>
        <v>9.5073571862173883E-2</v>
      </c>
      <c r="V129">
        <v>6.5</v>
      </c>
      <c r="W129">
        <f t="shared" si="24"/>
        <v>-0.82720000000000005</v>
      </c>
    </row>
    <row r="130" spans="1:23" x14ac:dyDescent="0.3">
      <c r="A130">
        <v>6.5602568000000003</v>
      </c>
      <c r="B130">
        <v>0.46145999999999998</v>
      </c>
      <c r="C130">
        <f t="shared" si="13"/>
        <v>3.0272961029280001</v>
      </c>
      <c r="D130">
        <v>1.6299999999999999E-2</v>
      </c>
      <c r="E130">
        <v>3.3E-3</v>
      </c>
      <c r="F130">
        <f t="shared" si="14"/>
        <v>1312.0513600000002</v>
      </c>
      <c r="G130">
        <f t="shared" si="15"/>
        <v>-0.46145999999999998</v>
      </c>
      <c r="H130">
        <f t="shared" si="16"/>
        <v>-605.45922058560006</v>
      </c>
      <c r="I130">
        <v>1</v>
      </c>
      <c r="J130">
        <f t="shared" si="17"/>
        <v>0.27159183609716275</v>
      </c>
      <c r="K130">
        <f t="shared" si="18"/>
        <v>-0.76026515177521747</v>
      </c>
      <c r="L130">
        <v>1</v>
      </c>
      <c r="M130">
        <f t="shared" si="19"/>
        <v>0.53571049792934722</v>
      </c>
      <c r="N130">
        <f t="shared" si="20"/>
        <v>0.10693218584</v>
      </c>
      <c r="O130">
        <f t="shared" si="21"/>
        <v>2.1648847440000001E-2</v>
      </c>
      <c r="P130">
        <f t="shared" si="22"/>
        <v>9.5973620565870249E-2</v>
      </c>
      <c r="V130">
        <v>6.6</v>
      </c>
      <c r="W130">
        <f t="shared" si="24"/>
        <v>-0.83187999999999995</v>
      </c>
    </row>
    <row r="131" spans="1:23" x14ac:dyDescent="0.3">
      <c r="A131">
        <v>6.6121933999999998</v>
      </c>
      <c r="B131">
        <v>0.45911000000000002</v>
      </c>
      <c r="C131">
        <f t="shared" si="13"/>
        <v>3.0357241118739999</v>
      </c>
      <c r="D131">
        <v>1.6299999999999999E-2</v>
      </c>
      <c r="E131">
        <v>3.3E-3</v>
      </c>
      <c r="F131">
        <f t="shared" si="14"/>
        <v>1322.43868</v>
      </c>
      <c r="G131">
        <f t="shared" si="15"/>
        <v>-0.45911000000000002</v>
      </c>
      <c r="H131">
        <f t="shared" si="16"/>
        <v>-607.14482237480001</v>
      </c>
      <c r="I131">
        <v>1</v>
      </c>
      <c r="J131">
        <f t="shared" si="17"/>
        <v>0.27947751694566864</v>
      </c>
      <c r="K131">
        <f t="shared" si="18"/>
        <v>-0.76261515177521744</v>
      </c>
      <c r="L131">
        <v>1</v>
      </c>
      <c r="M131">
        <f t="shared" si="19"/>
        <v>0.53607954779305733</v>
      </c>
      <c r="N131">
        <f t="shared" si="20"/>
        <v>0.10777875241999998</v>
      </c>
      <c r="O131">
        <f t="shared" si="21"/>
        <v>2.182023822E-2</v>
      </c>
      <c r="P131">
        <f t="shared" si="22"/>
        <v>9.6936613342160124E-2</v>
      </c>
      <c r="V131">
        <v>6.7</v>
      </c>
      <c r="W131">
        <f t="shared" si="24"/>
        <v>-0.83655999999999997</v>
      </c>
    </row>
    <row r="132" spans="1:23" x14ac:dyDescent="0.3">
      <c r="A132">
        <v>6.6651489000000002</v>
      </c>
      <c r="B132">
        <v>0.45671</v>
      </c>
      <c r="C132">
        <f t="shared" ref="C132:C195" si="25">A132*B132</f>
        <v>3.0440401541190001</v>
      </c>
      <c r="D132">
        <v>1.6299999999999999E-2</v>
      </c>
      <c r="E132">
        <v>3.3E-3</v>
      </c>
      <c r="F132">
        <f t="shared" ref="F132:F195" si="26">A132*200</f>
        <v>1333.0297800000001</v>
      </c>
      <c r="G132">
        <f t="shared" ref="G132:G195" si="27">-B132</f>
        <v>-0.45671</v>
      </c>
      <c r="H132">
        <f t="shared" ref="H132:H195" si="28">-C132*200</f>
        <v>-608.80803082379998</v>
      </c>
      <c r="I132">
        <v>1</v>
      </c>
      <c r="J132">
        <f t="shared" ref="J132:J195" si="29">LN(F132/1000)</f>
        <v>0.28745438153217084</v>
      </c>
      <c r="K132">
        <f t="shared" ref="K132:K195" si="30">((-G132)-$N$2)</f>
        <v>-0.76501515177521751</v>
      </c>
      <c r="L132">
        <v>1</v>
      </c>
      <c r="M132">
        <f t="shared" ref="M132:M195" si="31">-1*($S$4+($S$5*J132))</f>
        <v>0.53645286505570566</v>
      </c>
      <c r="N132">
        <f t="shared" ref="N132:N195" si="32">D132*A132</f>
        <v>0.10864192706999999</v>
      </c>
      <c r="O132">
        <f t="shared" ref="O132:O195" si="33">E132*A132</f>
        <v>2.1994991370000001E-2</v>
      </c>
      <c r="P132">
        <f t="shared" ref="P132:P195" si="34">-K132-M132-N132-O132</f>
        <v>9.7925368279511843E-2</v>
      </c>
      <c r="V132">
        <v>6.8</v>
      </c>
      <c r="W132">
        <f t="shared" ref="W132:W163" si="35">V132*$S$5+$S$4</f>
        <v>-0.84123999999999999</v>
      </c>
    </row>
    <row r="133" spans="1:23" x14ac:dyDescent="0.3">
      <c r="A133">
        <v>6.7155576000000003</v>
      </c>
      <c r="B133">
        <v>0.45466000000000001</v>
      </c>
      <c r="C133">
        <f t="shared" si="25"/>
        <v>3.0532954184160004</v>
      </c>
      <c r="D133">
        <v>1.6299999999999999E-2</v>
      </c>
      <c r="E133">
        <v>3.3E-3</v>
      </c>
      <c r="F133">
        <f t="shared" si="26"/>
        <v>1343.1115200000002</v>
      </c>
      <c r="G133">
        <f t="shared" si="27"/>
        <v>-0.45466000000000001</v>
      </c>
      <c r="H133">
        <f t="shared" si="28"/>
        <v>-610.65908368320004</v>
      </c>
      <c r="I133">
        <v>1</v>
      </c>
      <c r="J133">
        <f t="shared" si="29"/>
        <v>0.29498895206832237</v>
      </c>
      <c r="K133">
        <f t="shared" si="30"/>
        <v>-0.76706515177521739</v>
      </c>
      <c r="L133">
        <v>1</v>
      </c>
      <c r="M133">
        <f t="shared" si="31"/>
        <v>0.53680548295679753</v>
      </c>
      <c r="N133">
        <f t="shared" si="32"/>
        <v>0.10946358887999999</v>
      </c>
      <c r="O133">
        <f t="shared" si="33"/>
        <v>2.2161340080000001E-2</v>
      </c>
      <c r="P133">
        <f t="shared" si="34"/>
        <v>9.8634739858419862E-2</v>
      </c>
      <c r="V133">
        <v>6.9</v>
      </c>
      <c r="W133">
        <f t="shared" si="35"/>
        <v>-0.84592000000000001</v>
      </c>
    </row>
    <row r="134" spans="1:23" x14ac:dyDescent="0.3">
      <c r="A134">
        <v>6.7710585999999999</v>
      </c>
      <c r="B134">
        <v>0.45233000000000001</v>
      </c>
      <c r="C134">
        <f t="shared" si="25"/>
        <v>3.0627529365380002</v>
      </c>
      <c r="D134">
        <v>1.6299999999999999E-2</v>
      </c>
      <c r="E134">
        <v>3.3E-3</v>
      </c>
      <c r="F134">
        <f t="shared" si="26"/>
        <v>1354.21172</v>
      </c>
      <c r="G134">
        <f t="shared" si="27"/>
        <v>-0.45233000000000001</v>
      </c>
      <c r="H134">
        <f t="shared" si="28"/>
        <v>-612.55058730760004</v>
      </c>
      <c r="I134">
        <v>1</v>
      </c>
      <c r="J134">
        <f t="shared" si="29"/>
        <v>0.30321952858815315</v>
      </c>
      <c r="K134">
        <f t="shared" si="30"/>
        <v>-0.76939515177521745</v>
      </c>
      <c r="L134">
        <v>1</v>
      </c>
      <c r="M134">
        <f t="shared" si="31"/>
        <v>0.53719067393792563</v>
      </c>
      <c r="N134">
        <f t="shared" si="32"/>
        <v>0.11036825517999999</v>
      </c>
      <c r="O134">
        <f t="shared" si="33"/>
        <v>2.234449338E-2</v>
      </c>
      <c r="P134">
        <f t="shared" si="34"/>
        <v>9.9491729277291829E-2</v>
      </c>
      <c r="V134">
        <v>7</v>
      </c>
      <c r="W134">
        <f t="shared" si="35"/>
        <v>-0.85060000000000002</v>
      </c>
    </row>
    <row r="135" spans="1:23" x14ac:dyDescent="0.3">
      <c r="A135">
        <v>6.8245228999999998</v>
      </c>
      <c r="B135">
        <v>0.44990999999999998</v>
      </c>
      <c r="C135">
        <f t="shared" si="25"/>
        <v>3.0704210979389996</v>
      </c>
      <c r="D135">
        <v>1.6299999999999999E-2</v>
      </c>
      <c r="E135">
        <v>3.3E-3</v>
      </c>
      <c r="F135">
        <f t="shared" si="26"/>
        <v>1364.9045799999999</v>
      </c>
      <c r="G135">
        <f t="shared" si="27"/>
        <v>-0.44990999999999998</v>
      </c>
      <c r="H135">
        <f t="shared" si="28"/>
        <v>-614.08421958779991</v>
      </c>
      <c r="I135">
        <v>1</v>
      </c>
      <c r="J135">
        <f t="shared" si="29"/>
        <v>0.31108452143156651</v>
      </c>
      <c r="K135">
        <f t="shared" si="30"/>
        <v>-0.77181515177521742</v>
      </c>
      <c r="L135">
        <v>1</v>
      </c>
      <c r="M135">
        <f t="shared" si="31"/>
        <v>0.53755875560299737</v>
      </c>
      <c r="N135">
        <f t="shared" si="32"/>
        <v>0.11123972326999999</v>
      </c>
      <c r="O135">
        <f t="shared" si="33"/>
        <v>2.2520925569999999E-2</v>
      </c>
      <c r="P135">
        <f t="shared" si="34"/>
        <v>0.10049574733222005</v>
      </c>
      <c r="V135">
        <v>7.1</v>
      </c>
      <c r="W135">
        <f t="shared" si="35"/>
        <v>-0.85528000000000004</v>
      </c>
    </row>
    <row r="136" spans="1:23" x14ac:dyDescent="0.3">
      <c r="A136">
        <v>6.8800239000000003</v>
      </c>
      <c r="B136">
        <v>0.44736999999999999</v>
      </c>
      <c r="C136">
        <f t="shared" si="25"/>
        <v>3.0779162921430001</v>
      </c>
      <c r="D136">
        <v>1.6299999999999999E-2</v>
      </c>
      <c r="E136">
        <v>3.3E-3</v>
      </c>
      <c r="F136">
        <f t="shared" si="26"/>
        <v>1376.00478</v>
      </c>
      <c r="G136">
        <f t="shared" si="27"/>
        <v>-0.44736999999999999</v>
      </c>
      <c r="H136">
        <f t="shared" si="28"/>
        <v>-615.58325842860006</v>
      </c>
      <c r="I136">
        <v>1</v>
      </c>
      <c r="J136">
        <f t="shared" si="29"/>
        <v>0.31918421334232738</v>
      </c>
      <c r="K136">
        <f t="shared" si="30"/>
        <v>-0.77435515177521741</v>
      </c>
      <c r="L136">
        <v>1</v>
      </c>
      <c r="M136">
        <f t="shared" si="31"/>
        <v>0.53793782118442091</v>
      </c>
      <c r="N136">
        <f t="shared" si="32"/>
        <v>0.11214438956999999</v>
      </c>
      <c r="O136">
        <f t="shared" si="33"/>
        <v>2.2704078870000002E-2</v>
      </c>
      <c r="P136">
        <f t="shared" si="34"/>
        <v>0.10156886215079651</v>
      </c>
      <c r="V136">
        <v>7.2</v>
      </c>
      <c r="W136">
        <f t="shared" si="35"/>
        <v>-0.85996000000000006</v>
      </c>
    </row>
    <row r="137" spans="1:23" x14ac:dyDescent="0.3">
      <c r="A137">
        <v>6.9319609</v>
      </c>
      <c r="B137">
        <v>0.44538</v>
      </c>
      <c r="C137">
        <f t="shared" si="25"/>
        <v>3.0873567456419999</v>
      </c>
      <c r="D137">
        <v>1.6299999999999999E-2</v>
      </c>
      <c r="E137">
        <v>3.3E-3</v>
      </c>
      <c r="F137">
        <f t="shared" si="26"/>
        <v>1386.3921800000001</v>
      </c>
      <c r="G137">
        <f t="shared" si="27"/>
        <v>-0.44538</v>
      </c>
      <c r="H137">
        <f t="shared" si="28"/>
        <v>-617.47134912839999</v>
      </c>
      <c r="I137">
        <v>1</v>
      </c>
      <c r="J137">
        <f t="shared" si="29"/>
        <v>0.32670481889556163</v>
      </c>
      <c r="K137">
        <f t="shared" si="30"/>
        <v>-0.77634515177521746</v>
      </c>
      <c r="L137">
        <v>1</v>
      </c>
      <c r="M137">
        <f t="shared" si="31"/>
        <v>0.53828978552431228</v>
      </c>
      <c r="N137">
        <f t="shared" si="32"/>
        <v>0.11299096266999999</v>
      </c>
      <c r="O137">
        <f t="shared" si="33"/>
        <v>2.2875470969999999E-2</v>
      </c>
      <c r="P137">
        <f t="shared" si="34"/>
        <v>0.1021889326109052</v>
      </c>
      <c r="V137">
        <v>7.3</v>
      </c>
      <c r="W137">
        <f t="shared" si="35"/>
        <v>-0.86464000000000008</v>
      </c>
    </row>
    <row r="138" spans="1:23" x14ac:dyDescent="0.3">
      <c r="A138">
        <v>6.9823696000000002</v>
      </c>
      <c r="B138">
        <v>0.44270999999999999</v>
      </c>
      <c r="C138">
        <f t="shared" si="25"/>
        <v>3.0911648456159999</v>
      </c>
      <c r="D138">
        <v>1.6299999999999999E-2</v>
      </c>
      <c r="E138">
        <v>3.3E-3</v>
      </c>
      <c r="F138">
        <f t="shared" si="26"/>
        <v>1396.4739200000001</v>
      </c>
      <c r="G138">
        <f t="shared" si="27"/>
        <v>-0.44270999999999999</v>
      </c>
      <c r="H138">
        <f t="shared" si="28"/>
        <v>-618.23296912319995</v>
      </c>
      <c r="I138">
        <v>1</v>
      </c>
      <c r="J138">
        <f t="shared" si="29"/>
        <v>0.33395043096913207</v>
      </c>
      <c r="K138">
        <f t="shared" si="30"/>
        <v>-0.77901515177521752</v>
      </c>
      <c r="L138">
        <v>1</v>
      </c>
      <c r="M138">
        <f t="shared" si="31"/>
        <v>0.5386288801693554</v>
      </c>
      <c r="N138">
        <f t="shared" si="32"/>
        <v>0.11381262448</v>
      </c>
      <c r="O138">
        <f t="shared" si="33"/>
        <v>2.3041819679999999E-2</v>
      </c>
      <c r="P138">
        <f t="shared" si="34"/>
        <v>0.10353182744586212</v>
      </c>
      <c r="V138">
        <v>7.4</v>
      </c>
      <c r="W138">
        <f t="shared" si="35"/>
        <v>-0.86932000000000009</v>
      </c>
    </row>
    <row r="139" spans="1:23" x14ac:dyDescent="0.3">
      <c r="A139">
        <v>7.0337974000000001</v>
      </c>
      <c r="B139">
        <v>0.44067000000000001</v>
      </c>
      <c r="C139">
        <f t="shared" si="25"/>
        <v>3.0995835002579999</v>
      </c>
      <c r="D139">
        <v>1.6299999999999999E-2</v>
      </c>
      <c r="E139">
        <v>3.3E-3</v>
      </c>
      <c r="F139">
        <f t="shared" si="26"/>
        <v>1406.7594799999999</v>
      </c>
      <c r="G139">
        <f t="shared" si="27"/>
        <v>-0.44067000000000001</v>
      </c>
      <c r="H139">
        <f t="shared" si="28"/>
        <v>-619.91670005159995</v>
      </c>
      <c r="I139">
        <v>1</v>
      </c>
      <c r="J139">
        <f t="shared" si="29"/>
        <v>0.34128881824581142</v>
      </c>
      <c r="K139">
        <f t="shared" si="30"/>
        <v>-0.78105515177521745</v>
      </c>
      <c r="L139">
        <v>1</v>
      </c>
      <c r="M139">
        <f t="shared" si="31"/>
        <v>0.538972316693904</v>
      </c>
      <c r="N139">
        <f t="shared" si="32"/>
        <v>0.11465089762</v>
      </c>
      <c r="O139">
        <f t="shared" si="33"/>
        <v>2.3211531420000001E-2</v>
      </c>
      <c r="P139">
        <f t="shared" si="34"/>
        <v>0.10422040604131345</v>
      </c>
      <c r="V139">
        <v>7.5</v>
      </c>
      <c r="W139">
        <f t="shared" si="35"/>
        <v>-0.87400000000000011</v>
      </c>
    </row>
    <row r="140" spans="1:23" x14ac:dyDescent="0.3">
      <c r="A140">
        <v>7.0857339000000001</v>
      </c>
      <c r="B140">
        <v>0.43817</v>
      </c>
      <c r="C140">
        <f t="shared" si="25"/>
        <v>3.104756022963</v>
      </c>
      <c r="D140">
        <v>1.6299999999999999E-2</v>
      </c>
      <c r="E140">
        <v>3.3E-3</v>
      </c>
      <c r="F140">
        <f t="shared" si="26"/>
        <v>1417.14678</v>
      </c>
      <c r="G140">
        <f t="shared" si="27"/>
        <v>-0.43817</v>
      </c>
      <c r="H140">
        <f t="shared" si="28"/>
        <v>-620.95120459259999</v>
      </c>
      <c r="I140">
        <v>1</v>
      </c>
      <c r="J140">
        <f t="shared" si="29"/>
        <v>0.34864554038279805</v>
      </c>
      <c r="K140">
        <f t="shared" si="30"/>
        <v>-0.78355515177521751</v>
      </c>
      <c r="L140">
        <v>1</v>
      </c>
      <c r="M140">
        <f t="shared" si="31"/>
        <v>0.53931661128991493</v>
      </c>
      <c r="N140">
        <f t="shared" si="32"/>
        <v>0.11549746256999999</v>
      </c>
      <c r="O140">
        <f t="shared" si="33"/>
        <v>2.338292187E-2</v>
      </c>
      <c r="P140">
        <f t="shared" si="34"/>
        <v>0.10535815604530259</v>
      </c>
    </row>
    <row r="141" spans="1:23" x14ac:dyDescent="0.3">
      <c r="A141">
        <v>7.1391977999999998</v>
      </c>
      <c r="B141">
        <v>0.43589</v>
      </c>
      <c r="C141">
        <f t="shared" si="25"/>
        <v>3.1119049290419998</v>
      </c>
      <c r="D141">
        <v>1.6299999999999999E-2</v>
      </c>
      <c r="E141">
        <v>3.3E-3</v>
      </c>
      <c r="F141">
        <f t="shared" si="26"/>
        <v>1427.8395599999999</v>
      </c>
      <c r="G141">
        <f t="shared" si="27"/>
        <v>-0.43589</v>
      </c>
      <c r="H141">
        <f t="shared" si="28"/>
        <v>-622.38098580839994</v>
      </c>
      <c r="I141">
        <v>1</v>
      </c>
      <c r="J141">
        <f t="shared" si="29"/>
        <v>0.35616250466415156</v>
      </c>
      <c r="K141">
        <f t="shared" si="30"/>
        <v>-0.78583515177521746</v>
      </c>
      <c r="L141">
        <v>1</v>
      </c>
      <c r="M141">
        <f t="shared" si="31"/>
        <v>0.5396684052182823</v>
      </c>
      <c r="N141">
        <f t="shared" si="32"/>
        <v>0.11636892413999998</v>
      </c>
      <c r="O141">
        <f t="shared" si="33"/>
        <v>2.3559352740000001E-2</v>
      </c>
      <c r="P141">
        <f t="shared" si="34"/>
        <v>0.10623846967693516</v>
      </c>
    </row>
    <row r="142" spans="1:23" x14ac:dyDescent="0.3">
      <c r="A142">
        <v>7.1896073999999999</v>
      </c>
      <c r="B142">
        <v>0.43369999999999997</v>
      </c>
      <c r="C142">
        <f t="shared" si="25"/>
        <v>3.1181327293799996</v>
      </c>
      <c r="D142">
        <v>1.6299999999999999E-2</v>
      </c>
      <c r="E142">
        <v>3.3E-3</v>
      </c>
      <c r="F142">
        <f t="shared" si="26"/>
        <v>1437.92148</v>
      </c>
      <c r="G142">
        <f t="shared" si="27"/>
        <v>-0.43369999999999997</v>
      </c>
      <c r="H142">
        <f t="shared" si="28"/>
        <v>-623.62654587599991</v>
      </c>
      <c r="I142">
        <v>1</v>
      </c>
      <c r="J142">
        <f t="shared" si="29"/>
        <v>0.36319865419188968</v>
      </c>
      <c r="K142">
        <f t="shared" si="30"/>
        <v>-0.78802515177521748</v>
      </c>
      <c r="L142">
        <v>1</v>
      </c>
      <c r="M142">
        <f t="shared" si="31"/>
        <v>0.5399976970161805</v>
      </c>
      <c r="N142">
        <f t="shared" si="32"/>
        <v>0.11719060061999999</v>
      </c>
      <c r="O142">
        <f t="shared" si="33"/>
        <v>2.372570442E-2</v>
      </c>
      <c r="P142">
        <f t="shared" si="34"/>
        <v>0.10711114971903701</v>
      </c>
    </row>
    <row r="143" spans="1:23" x14ac:dyDescent="0.3">
      <c r="A143">
        <v>7.2410351999999998</v>
      </c>
      <c r="B143">
        <v>0.43146000000000001</v>
      </c>
      <c r="C143">
        <f t="shared" si="25"/>
        <v>3.1242170473919999</v>
      </c>
      <c r="D143">
        <v>1.6299999999999999E-2</v>
      </c>
      <c r="E143">
        <v>3.3E-3</v>
      </c>
      <c r="F143">
        <f t="shared" si="26"/>
        <v>1448.20704</v>
      </c>
      <c r="G143">
        <f t="shared" si="27"/>
        <v>-0.43146000000000001</v>
      </c>
      <c r="H143">
        <f t="shared" si="28"/>
        <v>-624.84340947839996</v>
      </c>
      <c r="I143">
        <v>1</v>
      </c>
      <c r="J143">
        <f t="shared" si="29"/>
        <v>0.37032626716778333</v>
      </c>
      <c r="K143">
        <f t="shared" si="30"/>
        <v>-0.7902651517752175</v>
      </c>
      <c r="L143">
        <v>1</v>
      </c>
      <c r="M143">
        <f t="shared" si="31"/>
        <v>0.54033126930345232</v>
      </c>
      <c r="N143">
        <f t="shared" si="32"/>
        <v>0.11802887375999999</v>
      </c>
      <c r="O143">
        <f t="shared" si="33"/>
        <v>2.3895416159999999E-2</v>
      </c>
      <c r="P143">
        <f t="shared" si="34"/>
        <v>0.10800959255176519</v>
      </c>
    </row>
    <row r="144" spans="1:23" x14ac:dyDescent="0.3">
      <c r="A144">
        <v>7.2934805000000003</v>
      </c>
      <c r="B144">
        <v>0.42899999999999999</v>
      </c>
      <c r="C144">
        <f t="shared" si="25"/>
        <v>3.1289031345000002</v>
      </c>
      <c r="D144">
        <v>1.6299999999999999E-2</v>
      </c>
      <c r="E144">
        <v>3.3E-3</v>
      </c>
      <c r="F144">
        <f t="shared" si="26"/>
        <v>1458.6961000000001</v>
      </c>
      <c r="G144">
        <f t="shared" si="27"/>
        <v>-0.42899999999999999</v>
      </c>
      <c r="H144">
        <f t="shared" si="28"/>
        <v>-625.78062690000002</v>
      </c>
      <c r="I144">
        <v>1</v>
      </c>
      <c r="J144">
        <f t="shared" si="29"/>
        <v>0.37754295449296493</v>
      </c>
      <c r="K144">
        <f t="shared" si="30"/>
        <v>-0.79272515177521741</v>
      </c>
      <c r="L144">
        <v>1</v>
      </c>
      <c r="M144">
        <f t="shared" si="31"/>
        <v>0.54066901027027081</v>
      </c>
      <c r="N144">
        <f t="shared" si="32"/>
        <v>0.11888373214999999</v>
      </c>
      <c r="O144">
        <f t="shared" si="33"/>
        <v>2.4068485650000002E-2</v>
      </c>
      <c r="P144">
        <f t="shared" si="34"/>
        <v>0.10910392370494662</v>
      </c>
    </row>
    <row r="145" spans="1:16" x14ac:dyDescent="0.3">
      <c r="A145">
        <v>7.3438895999999998</v>
      </c>
      <c r="B145">
        <v>0.42676999999999998</v>
      </c>
      <c r="C145">
        <f t="shared" si="25"/>
        <v>3.1341517645919996</v>
      </c>
      <c r="D145">
        <v>1.6299999999999999E-2</v>
      </c>
      <c r="E145">
        <v>3.3E-3</v>
      </c>
      <c r="F145">
        <f t="shared" si="26"/>
        <v>1468.77792</v>
      </c>
      <c r="G145">
        <f t="shared" si="27"/>
        <v>-0.42676999999999998</v>
      </c>
      <c r="H145">
        <f t="shared" si="28"/>
        <v>-626.83035291839997</v>
      </c>
      <c r="I145">
        <v>1</v>
      </c>
      <c r="J145">
        <f t="shared" si="29"/>
        <v>0.38443070809135849</v>
      </c>
      <c r="K145">
        <f t="shared" si="30"/>
        <v>-0.79495515177521747</v>
      </c>
      <c r="L145">
        <v>1</v>
      </c>
      <c r="M145">
        <f t="shared" si="31"/>
        <v>0.54099135713867563</v>
      </c>
      <c r="N145">
        <f t="shared" si="32"/>
        <v>0.11970540047999999</v>
      </c>
      <c r="O145">
        <f t="shared" si="33"/>
        <v>2.423483568E-2</v>
      </c>
      <c r="P145">
        <f t="shared" si="34"/>
        <v>0.11002355847654184</v>
      </c>
    </row>
    <row r="146" spans="1:16" x14ac:dyDescent="0.3">
      <c r="A146">
        <v>7.3942983</v>
      </c>
      <c r="B146">
        <v>0.42448000000000002</v>
      </c>
      <c r="C146">
        <f t="shared" si="25"/>
        <v>3.138731742384</v>
      </c>
      <c r="D146">
        <v>1.6299999999999999E-2</v>
      </c>
      <c r="E146">
        <v>3.3E-3</v>
      </c>
      <c r="F146">
        <f t="shared" si="26"/>
        <v>1478.8596600000001</v>
      </c>
      <c r="G146">
        <f t="shared" si="27"/>
        <v>-0.42448000000000002</v>
      </c>
      <c r="H146">
        <f t="shared" si="28"/>
        <v>-627.74634847679999</v>
      </c>
      <c r="I146">
        <v>1</v>
      </c>
      <c r="J146">
        <f t="shared" si="29"/>
        <v>0.39127129078833633</v>
      </c>
      <c r="K146">
        <f t="shared" si="30"/>
        <v>-0.79724515177521749</v>
      </c>
      <c r="L146">
        <v>1</v>
      </c>
      <c r="M146">
        <f t="shared" si="31"/>
        <v>0.5413114964088942</v>
      </c>
      <c r="N146">
        <f t="shared" si="32"/>
        <v>0.12052706228999999</v>
      </c>
      <c r="O146">
        <f t="shared" si="33"/>
        <v>2.440118439E-2</v>
      </c>
      <c r="P146">
        <f t="shared" si="34"/>
        <v>0.1110054086863233</v>
      </c>
    </row>
    <row r="147" spans="1:16" x14ac:dyDescent="0.3">
      <c r="A147">
        <v>7.4447080000000003</v>
      </c>
      <c r="B147">
        <v>0.42209000000000002</v>
      </c>
      <c r="C147">
        <f t="shared" si="25"/>
        <v>3.1423367997200002</v>
      </c>
      <c r="D147">
        <v>1.6299999999999999E-2</v>
      </c>
      <c r="E147">
        <v>3.3E-3</v>
      </c>
      <c r="F147">
        <f t="shared" si="26"/>
        <v>1488.9416000000001</v>
      </c>
      <c r="G147">
        <f t="shared" si="27"/>
        <v>-0.42209000000000002</v>
      </c>
      <c r="H147">
        <f t="shared" si="28"/>
        <v>-628.46735994400001</v>
      </c>
      <c r="I147">
        <v>1</v>
      </c>
      <c r="J147">
        <f t="shared" si="29"/>
        <v>0.3980655319790502</v>
      </c>
      <c r="K147">
        <f t="shared" si="30"/>
        <v>-0.79963515177521738</v>
      </c>
      <c r="L147">
        <v>1</v>
      </c>
      <c r="M147">
        <f t="shared" si="31"/>
        <v>0.54162946689661962</v>
      </c>
      <c r="N147">
        <f t="shared" si="32"/>
        <v>0.12134874039999999</v>
      </c>
      <c r="O147">
        <f t="shared" si="33"/>
        <v>2.4567536399999999E-2</v>
      </c>
      <c r="P147">
        <f t="shared" si="34"/>
        <v>0.11208940807859777</v>
      </c>
    </row>
    <row r="148" spans="1:16" x14ac:dyDescent="0.3">
      <c r="A148">
        <v>7.4961361999999996</v>
      </c>
      <c r="B148">
        <v>0.41998999999999997</v>
      </c>
      <c r="C148">
        <f t="shared" si="25"/>
        <v>3.1483022426379996</v>
      </c>
      <c r="D148">
        <v>1.6299999999999999E-2</v>
      </c>
      <c r="E148">
        <v>3.3E-3</v>
      </c>
      <c r="F148">
        <f t="shared" si="26"/>
        <v>1499.2272399999999</v>
      </c>
      <c r="G148">
        <f t="shared" si="27"/>
        <v>-0.41998999999999997</v>
      </c>
      <c r="H148">
        <f t="shared" si="28"/>
        <v>-629.6604485275999</v>
      </c>
      <c r="I148">
        <v>1</v>
      </c>
      <c r="J148">
        <f t="shared" si="29"/>
        <v>0.40494980202745545</v>
      </c>
      <c r="K148">
        <f t="shared" si="30"/>
        <v>-0.80173515177521748</v>
      </c>
      <c r="L148">
        <v>1</v>
      </c>
      <c r="M148">
        <f t="shared" si="31"/>
        <v>0.54195165073488494</v>
      </c>
      <c r="N148">
        <f t="shared" si="32"/>
        <v>0.12218702005999998</v>
      </c>
      <c r="O148">
        <f t="shared" si="33"/>
        <v>2.4737249459999999E-2</v>
      </c>
      <c r="P148">
        <f t="shared" si="34"/>
        <v>0.11285923152033256</v>
      </c>
    </row>
    <row r="149" spans="1:16" x14ac:dyDescent="0.3">
      <c r="A149">
        <v>7.5475630000000002</v>
      </c>
      <c r="B149">
        <v>0.41743000000000002</v>
      </c>
      <c r="C149">
        <f t="shared" si="25"/>
        <v>3.1505792230900003</v>
      </c>
      <c r="D149">
        <v>1.6299999999999999E-2</v>
      </c>
      <c r="E149">
        <v>3.3E-3</v>
      </c>
      <c r="F149">
        <f t="shared" si="26"/>
        <v>1509.5126</v>
      </c>
      <c r="G149">
        <f t="shared" si="27"/>
        <v>-0.41743000000000002</v>
      </c>
      <c r="H149">
        <f t="shared" si="28"/>
        <v>-630.1158446180001</v>
      </c>
      <c r="I149">
        <v>1</v>
      </c>
      <c r="J149">
        <f t="shared" si="29"/>
        <v>0.41178681726473221</v>
      </c>
      <c r="K149">
        <f t="shared" si="30"/>
        <v>-0.80429515177521749</v>
      </c>
      <c r="L149">
        <v>1</v>
      </c>
      <c r="M149">
        <f t="shared" si="31"/>
        <v>0.54227162304798948</v>
      </c>
      <c r="N149">
        <f t="shared" si="32"/>
        <v>0.12302527689999999</v>
      </c>
      <c r="O149">
        <f t="shared" si="33"/>
        <v>2.4906957900000002E-2</v>
      </c>
      <c r="P149">
        <f t="shared" si="34"/>
        <v>0.11409129392722803</v>
      </c>
    </row>
    <row r="150" spans="1:16" x14ac:dyDescent="0.3">
      <c r="A150">
        <v>7.5989902000000003</v>
      </c>
      <c r="B150">
        <v>0.41526999999999997</v>
      </c>
      <c r="C150">
        <f t="shared" si="25"/>
        <v>3.1556326603539997</v>
      </c>
      <c r="D150">
        <v>1.6299999999999999E-2</v>
      </c>
      <c r="E150">
        <v>3.3E-3</v>
      </c>
      <c r="F150">
        <f t="shared" si="26"/>
        <v>1519.7980400000001</v>
      </c>
      <c r="G150">
        <f t="shared" si="27"/>
        <v>-0.41526999999999997</v>
      </c>
      <c r="H150">
        <f t="shared" si="28"/>
        <v>-631.12653207079995</v>
      </c>
      <c r="I150">
        <v>1</v>
      </c>
      <c r="J150">
        <f t="shared" si="29"/>
        <v>0.4185774576093419</v>
      </c>
      <c r="K150">
        <f t="shared" si="30"/>
        <v>-0.80645515177521743</v>
      </c>
      <c r="L150">
        <v>1</v>
      </c>
      <c r="M150">
        <f t="shared" si="31"/>
        <v>0.54258942501611718</v>
      </c>
      <c r="N150">
        <f t="shared" si="32"/>
        <v>0.12386354025999999</v>
      </c>
      <c r="O150">
        <f t="shared" si="33"/>
        <v>2.5076667659999999E-2</v>
      </c>
      <c r="P150">
        <f t="shared" si="34"/>
        <v>0.11492551883910027</v>
      </c>
    </row>
    <row r="151" spans="1:16" x14ac:dyDescent="0.3">
      <c r="A151">
        <v>7.6514365</v>
      </c>
      <c r="B151">
        <v>0.41272999999999999</v>
      </c>
      <c r="C151">
        <f t="shared" si="25"/>
        <v>3.1579773866449998</v>
      </c>
      <c r="D151">
        <v>1.6299999999999999E-2</v>
      </c>
      <c r="E151">
        <v>3.3E-3</v>
      </c>
      <c r="F151">
        <f t="shared" si="26"/>
        <v>1530.2873</v>
      </c>
      <c r="G151">
        <f t="shared" si="27"/>
        <v>-0.41272999999999999</v>
      </c>
      <c r="H151">
        <f t="shared" si="28"/>
        <v>-631.595477329</v>
      </c>
      <c r="I151">
        <v>1</v>
      </c>
      <c r="J151">
        <f t="shared" si="29"/>
        <v>0.42545549555408163</v>
      </c>
      <c r="K151">
        <f t="shared" si="30"/>
        <v>-0.80899515177521741</v>
      </c>
      <c r="L151">
        <v>1</v>
      </c>
      <c r="M151">
        <f t="shared" si="31"/>
        <v>0.54291131719193109</v>
      </c>
      <c r="N151">
        <f t="shared" si="32"/>
        <v>0.12471841495</v>
      </c>
      <c r="O151">
        <f t="shared" si="33"/>
        <v>2.5249740449999999E-2</v>
      </c>
      <c r="P151">
        <f t="shared" si="34"/>
        <v>0.11611567918328633</v>
      </c>
    </row>
    <row r="152" spans="1:16" x14ac:dyDescent="0.3">
      <c r="A152">
        <v>7.7028642999999999</v>
      </c>
      <c r="B152">
        <v>0.41042000000000001</v>
      </c>
      <c r="C152">
        <f t="shared" si="25"/>
        <v>3.1614095660060002</v>
      </c>
      <c r="D152">
        <v>1.6299999999999999E-2</v>
      </c>
      <c r="E152">
        <v>3.3E-3</v>
      </c>
      <c r="F152">
        <f t="shared" si="26"/>
        <v>1540.57286</v>
      </c>
      <c r="G152">
        <f t="shared" si="27"/>
        <v>-0.41042000000000001</v>
      </c>
      <c r="H152">
        <f t="shared" si="28"/>
        <v>-632.28191320120004</v>
      </c>
      <c r="I152">
        <v>1</v>
      </c>
      <c r="J152">
        <f t="shared" si="29"/>
        <v>0.43215433426850886</v>
      </c>
      <c r="K152">
        <f t="shared" si="30"/>
        <v>-0.81130515177521745</v>
      </c>
      <c r="L152">
        <v>1</v>
      </c>
      <c r="M152">
        <f t="shared" si="31"/>
        <v>0.54322482284376628</v>
      </c>
      <c r="N152">
        <f t="shared" si="32"/>
        <v>0.12555668808999998</v>
      </c>
      <c r="O152">
        <f t="shared" si="33"/>
        <v>2.541945219E-2</v>
      </c>
      <c r="P152">
        <f t="shared" si="34"/>
        <v>0.1171041886514512</v>
      </c>
    </row>
    <row r="153" spans="1:16" x14ac:dyDescent="0.3">
      <c r="A153">
        <v>7.7593828</v>
      </c>
      <c r="B153">
        <v>0.40805999999999998</v>
      </c>
      <c r="C153">
        <f t="shared" si="25"/>
        <v>3.1662937453679998</v>
      </c>
      <c r="D153">
        <v>1.6299999999999999E-2</v>
      </c>
      <c r="E153">
        <v>3.3E-3</v>
      </c>
      <c r="F153">
        <f t="shared" si="26"/>
        <v>1551.8765599999999</v>
      </c>
      <c r="G153">
        <f t="shared" si="27"/>
        <v>-0.40805999999999998</v>
      </c>
      <c r="H153">
        <f t="shared" si="28"/>
        <v>-633.25874907359992</v>
      </c>
      <c r="I153">
        <v>1</v>
      </c>
      <c r="J153">
        <f t="shared" si="29"/>
        <v>0.43946488251539084</v>
      </c>
      <c r="K153">
        <f t="shared" si="30"/>
        <v>-0.81366515177521748</v>
      </c>
      <c r="L153">
        <v>1</v>
      </c>
      <c r="M153">
        <f t="shared" si="31"/>
        <v>0.54356695650172027</v>
      </c>
      <c r="N153">
        <f t="shared" si="32"/>
        <v>0.12647793963999998</v>
      </c>
      <c r="O153">
        <f t="shared" si="33"/>
        <v>2.5605963240000001E-2</v>
      </c>
      <c r="P153">
        <f t="shared" si="34"/>
        <v>0.11801429239349723</v>
      </c>
    </row>
    <row r="154" spans="1:16" x14ac:dyDescent="0.3">
      <c r="A154">
        <v>7.8118290999999997</v>
      </c>
      <c r="B154">
        <v>0.40544000000000002</v>
      </c>
      <c r="C154">
        <f t="shared" si="25"/>
        <v>3.1672279903040002</v>
      </c>
      <c r="D154">
        <v>1.6299999999999999E-2</v>
      </c>
      <c r="E154">
        <v>3.3E-3</v>
      </c>
      <c r="F154">
        <f t="shared" si="26"/>
        <v>1562.36582</v>
      </c>
      <c r="G154">
        <f t="shared" si="27"/>
        <v>-0.40544000000000002</v>
      </c>
      <c r="H154">
        <f t="shared" si="28"/>
        <v>-633.44559806080008</v>
      </c>
      <c r="I154">
        <v>1</v>
      </c>
      <c r="J154">
        <f t="shared" si="29"/>
        <v>0.44620122374093335</v>
      </c>
      <c r="K154">
        <f t="shared" si="30"/>
        <v>-0.81628515177521743</v>
      </c>
      <c r="L154">
        <v>1</v>
      </c>
      <c r="M154">
        <f t="shared" si="31"/>
        <v>0.54388221727107566</v>
      </c>
      <c r="N154">
        <f t="shared" si="32"/>
        <v>0.12733281432999999</v>
      </c>
      <c r="O154">
        <f t="shared" si="33"/>
        <v>2.5779036030000001E-2</v>
      </c>
      <c r="P154">
        <f t="shared" si="34"/>
        <v>0.11929108414414177</v>
      </c>
    </row>
    <row r="155" spans="1:16" x14ac:dyDescent="0.3">
      <c r="A155">
        <v>7.8632562999999998</v>
      </c>
      <c r="B155">
        <v>0.40316999999999997</v>
      </c>
      <c r="C155">
        <f t="shared" si="25"/>
        <v>3.1702290424709996</v>
      </c>
      <c r="D155">
        <v>1.6299999999999999E-2</v>
      </c>
      <c r="E155">
        <v>3.3E-3</v>
      </c>
      <c r="F155">
        <f t="shared" si="26"/>
        <v>1572.6512599999999</v>
      </c>
      <c r="G155">
        <f t="shared" si="27"/>
        <v>-0.40316999999999997</v>
      </c>
      <c r="H155">
        <f t="shared" si="28"/>
        <v>-634.04580849419995</v>
      </c>
      <c r="I155">
        <v>1</v>
      </c>
      <c r="J155">
        <f t="shared" si="29"/>
        <v>0.45276289574543638</v>
      </c>
      <c r="K155">
        <f t="shared" si="30"/>
        <v>-0.81855515177521743</v>
      </c>
      <c r="L155">
        <v>1</v>
      </c>
      <c r="M155">
        <f t="shared" si="31"/>
        <v>0.54418930352088646</v>
      </c>
      <c r="N155">
        <f t="shared" si="32"/>
        <v>0.12817107769</v>
      </c>
      <c r="O155">
        <f t="shared" si="33"/>
        <v>2.5948745789999998E-2</v>
      </c>
      <c r="P155">
        <f t="shared" si="34"/>
        <v>0.12024602477433097</v>
      </c>
    </row>
    <row r="156" spans="1:16" x14ac:dyDescent="0.3">
      <c r="A156">
        <v>7.9136660000000001</v>
      </c>
      <c r="B156">
        <v>0.40094999999999997</v>
      </c>
      <c r="C156">
        <f t="shared" si="25"/>
        <v>3.1729843826999997</v>
      </c>
      <c r="D156">
        <v>1.6299999999999999E-2</v>
      </c>
      <c r="E156">
        <v>3.3E-3</v>
      </c>
      <c r="F156">
        <f t="shared" si="26"/>
        <v>1582.7332000000001</v>
      </c>
      <c r="G156">
        <f t="shared" si="27"/>
        <v>-0.40094999999999997</v>
      </c>
      <c r="H156">
        <f t="shared" si="28"/>
        <v>-634.59687653999993</v>
      </c>
      <c r="I156">
        <v>1</v>
      </c>
      <c r="J156">
        <f t="shared" si="29"/>
        <v>0.45915322594886754</v>
      </c>
      <c r="K156">
        <f t="shared" si="30"/>
        <v>-0.82077515177521754</v>
      </c>
      <c r="L156">
        <v>1</v>
      </c>
      <c r="M156">
        <f t="shared" si="31"/>
        <v>0.54448837097440705</v>
      </c>
      <c r="N156">
        <f t="shared" si="32"/>
        <v>0.1289927558</v>
      </c>
      <c r="O156">
        <f t="shared" si="33"/>
        <v>2.6115097800000001E-2</v>
      </c>
      <c r="P156">
        <f t="shared" si="34"/>
        <v>0.12117892720081049</v>
      </c>
    </row>
    <row r="157" spans="1:16" x14ac:dyDescent="0.3">
      <c r="A157">
        <v>7.9661122999999998</v>
      </c>
      <c r="B157">
        <v>0.39859</v>
      </c>
      <c r="C157">
        <f t="shared" si="25"/>
        <v>3.1752127016569998</v>
      </c>
      <c r="D157">
        <v>1.6299999999999999E-2</v>
      </c>
      <c r="E157">
        <v>3.3E-3</v>
      </c>
      <c r="F157">
        <f t="shared" si="26"/>
        <v>1593.22246</v>
      </c>
      <c r="G157">
        <f t="shared" si="27"/>
        <v>-0.39859</v>
      </c>
      <c r="H157">
        <f t="shared" si="28"/>
        <v>-635.04254033140001</v>
      </c>
      <c r="I157">
        <v>1</v>
      </c>
      <c r="J157">
        <f t="shared" si="29"/>
        <v>0.46575866963999407</v>
      </c>
      <c r="K157">
        <f t="shared" si="30"/>
        <v>-0.82313515177521746</v>
      </c>
      <c r="L157">
        <v>1</v>
      </c>
      <c r="M157">
        <f t="shared" si="31"/>
        <v>0.54479750573915176</v>
      </c>
      <c r="N157">
        <f t="shared" si="32"/>
        <v>0.12984763048999998</v>
      </c>
      <c r="O157">
        <f t="shared" si="33"/>
        <v>2.628817059E-2</v>
      </c>
      <c r="P157">
        <f t="shared" si="34"/>
        <v>0.12220184495606573</v>
      </c>
    </row>
    <row r="158" spans="1:16" x14ac:dyDescent="0.3">
      <c r="A158">
        <v>8.0165209999999991</v>
      </c>
      <c r="B158">
        <v>0.39610000000000001</v>
      </c>
      <c r="C158">
        <f t="shared" si="25"/>
        <v>3.1753439680999995</v>
      </c>
      <c r="D158">
        <v>1.6299999999999999E-2</v>
      </c>
      <c r="E158">
        <v>3.3E-3</v>
      </c>
      <c r="F158">
        <f t="shared" si="26"/>
        <v>1603.3041999999998</v>
      </c>
      <c r="G158">
        <f t="shared" si="27"/>
        <v>-0.39610000000000001</v>
      </c>
      <c r="H158">
        <f t="shared" si="28"/>
        <v>-635.06879361999995</v>
      </c>
      <c r="I158">
        <v>1</v>
      </c>
      <c r="J158">
        <f t="shared" si="29"/>
        <v>0.47206662480630435</v>
      </c>
      <c r="K158">
        <f t="shared" si="30"/>
        <v>-0.82562515177521745</v>
      </c>
      <c r="L158">
        <v>1</v>
      </c>
      <c r="M158">
        <f t="shared" si="31"/>
        <v>0.54509271804093506</v>
      </c>
      <c r="N158">
        <f t="shared" si="32"/>
        <v>0.13066929229999996</v>
      </c>
      <c r="O158">
        <f t="shared" si="33"/>
        <v>2.6454519299999996E-2</v>
      </c>
      <c r="P158">
        <f t="shared" si="34"/>
        <v>0.12340862213428243</v>
      </c>
    </row>
    <row r="159" spans="1:16" x14ac:dyDescent="0.3">
      <c r="A159">
        <v>8.0710034000000004</v>
      </c>
      <c r="B159">
        <v>0.39360000000000001</v>
      </c>
      <c r="C159">
        <f t="shared" si="25"/>
        <v>3.17674693824</v>
      </c>
      <c r="D159">
        <v>1.6299999999999999E-2</v>
      </c>
      <c r="E159">
        <v>3.3E-3</v>
      </c>
      <c r="F159">
        <f t="shared" si="26"/>
        <v>1614.2006800000001</v>
      </c>
      <c r="G159">
        <f t="shared" si="27"/>
        <v>-0.39360000000000001</v>
      </c>
      <c r="H159">
        <f t="shared" si="28"/>
        <v>-635.34938764799995</v>
      </c>
      <c r="I159">
        <v>1</v>
      </c>
      <c r="J159">
        <f t="shared" si="29"/>
        <v>0.47883989916935221</v>
      </c>
      <c r="K159">
        <f t="shared" si="30"/>
        <v>-0.82812515177521751</v>
      </c>
      <c r="L159">
        <v>1</v>
      </c>
      <c r="M159">
        <f t="shared" si="31"/>
        <v>0.5454097072811257</v>
      </c>
      <c r="N159">
        <f t="shared" si="32"/>
        <v>0.13155735541999999</v>
      </c>
      <c r="O159">
        <f t="shared" si="33"/>
        <v>2.6634311220000002E-2</v>
      </c>
      <c r="P159">
        <f t="shared" si="34"/>
        <v>0.12452377785409181</v>
      </c>
    </row>
    <row r="160" spans="1:16" x14ac:dyDescent="0.3">
      <c r="A160">
        <v>8.1234491999999996</v>
      </c>
      <c r="B160">
        <v>0.39106000000000002</v>
      </c>
      <c r="C160">
        <f t="shared" si="25"/>
        <v>3.176756044152</v>
      </c>
      <c r="D160">
        <v>1.6299999999999999E-2</v>
      </c>
      <c r="E160">
        <v>3.3E-3</v>
      </c>
      <c r="F160">
        <f t="shared" si="26"/>
        <v>1624.68984</v>
      </c>
      <c r="G160">
        <f t="shared" si="27"/>
        <v>-0.39106000000000002</v>
      </c>
      <c r="H160">
        <f t="shared" si="28"/>
        <v>-635.35120883039997</v>
      </c>
      <c r="I160">
        <v>1</v>
      </c>
      <c r="J160">
        <f t="shared" si="29"/>
        <v>0.48531692987183706</v>
      </c>
      <c r="K160">
        <f t="shared" si="30"/>
        <v>-0.83066515177521749</v>
      </c>
      <c r="L160">
        <v>1</v>
      </c>
      <c r="M160">
        <f t="shared" si="31"/>
        <v>0.54571283231800205</v>
      </c>
      <c r="N160">
        <f t="shared" si="32"/>
        <v>0.13241222195999999</v>
      </c>
      <c r="O160">
        <f t="shared" si="33"/>
        <v>2.680738236E-2</v>
      </c>
      <c r="P160">
        <f t="shared" si="34"/>
        <v>0.12573271513721546</v>
      </c>
    </row>
    <row r="161" spans="1:16" x14ac:dyDescent="0.3">
      <c r="A161">
        <v>8.1753862000000002</v>
      </c>
      <c r="B161">
        <v>0.38868000000000003</v>
      </c>
      <c r="C161">
        <f t="shared" si="25"/>
        <v>3.1776091082160001</v>
      </c>
      <c r="D161">
        <v>1.6299999999999999E-2</v>
      </c>
      <c r="E161">
        <v>3.3E-3</v>
      </c>
      <c r="F161">
        <f t="shared" si="26"/>
        <v>1635.0772400000001</v>
      </c>
      <c r="G161">
        <f t="shared" si="27"/>
        <v>-0.38868000000000003</v>
      </c>
      <c r="H161">
        <f t="shared" si="28"/>
        <v>-635.52182164320004</v>
      </c>
      <c r="I161">
        <v>1</v>
      </c>
      <c r="J161">
        <f t="shared" si="29"/>
        <v>0.49169004482358197</v>
      </c>
      <c r="K161">
        <f t="shared" si="30"/>
        <v>-0.83304515177521743</v>
      </c>
      <c r="L161">
        <v>1</v>
      </c>
      <c r="M161">
        <f t="shared" si="31"/>
        <v>0.54601109409774362</v>
      </c>
      <c r="N161">
        <f t="shared" si="32"/>
        <v>0.13325879505999999</v>
      </c>
      <c r="O161">
        <f t="shared" si="33"/>
        <v>2.697877446E-2</v>
      </c>
      <c r="P161">
        <f t="shared" si="34"/>
        <v>0.12679648815747382</v>
      </c>
    </row>
    <row r="162" spans="1:16" x14ac:dyDescent="0.3">
      <c r="A162">
        <v>8.2257958999999996</v>
      </c>
      <c r="B162">
        <v>0.38618000000000002</v>
      </c>
      <c r="C162">
        <f t="shared" si="25"/>
        <v>3.1766378606619998</v>
      </c>
      <c r="D162">
        <v>1.6299999999999999E-2</v>
      </c>
      <c r="E162">
        <v>3.3E-3</v>
      </c>
      <c r="F162">
        <f t="shared" si="26"/>
        <v>1645.1591799999999</v>
      </c>
      <c r="G162">
        <f t="shared" si="27"/>
        <v>-0.38618000000000002</v>
      </c>
      <c r="H162">
        <f t="shared" si="28"/>
        <v>-635.32757213239995</v>
      </c>
      <c r="I162">
        <v>1</v>
      </c>
      <c r="J162">
        <f t="shared" si="29"/>
        <v>0.49783714549325869</v>
      </c>
      <c r="K162">
        <f t="shared" si="30"/>
        <v>-0.83554515177521749</v>
      </c>
      <c r="L162">
        <v>1</v>
      </c>
      <c r="M162">
        <f t="shared" si="31"/>
        <v>0.54629877840908447</v>
      </c>
      <c r="N162">
        <f t="shared" si="32"/>
        <v>0.13408047316999999</v>
      </c>
      <c r="O162">
        <f t="shared" si="33"/>
        <v>2.7145126469999999E-2</v>
      </c>
      <c r="P162">
        <f t="shared" si="34"/>
        <v>0.12802077372613302</v>
      </c>
    </row>
    <row r="163" spans="1:16" x14ac:dyDescent="0.3">
      <c r="A163">
        <v>8.2782412000000001</v>
      </c>
      <c r="B163">
        <v>0.38368999999999998</v>
      </c>
      <c r="C163">
        <f t="shared" si="25"/>
        <v>3.1762783660279998</v>
      </c>
      <c r="D163">
        <v>1.6299999999999999E-2</v>
      </c>
      <c r="E163">
        <v>3.3E-3</v>
      </c>
      <c r="F163">
        <f t="shared" si="26"/>
        <v>1655.64824</v>
      </c>
      <c r="G163">
        <f t="shared" si="27"/>
        <v>-0.38368999999999998</v>
      </c>
      <c r="H163">
        <f t="shared" si="28"/>
        <v>-635.25567320559992</v>
      </c>
      <c r="I163">
        <v>1</v>
      </c>
      <c r="J163">
        <f t="shared" si="29"/>
        <v>0.50419261794077186</v>
      </c>
      <c r="K163">
        <f t="shared" si="30"/>
        <v>-0.83803515177521748</v>
      </c>
      <c r="L163">
        <v>1</v>
      </c>
      <c r="M163">
        <f t="shared" si="31"/>
        <v>0.54659621451962814</v>
      </c>
      <c r="N163">
        <f t="shared" si="32"/>
        <v>0.13493533155999998</v>
      </c>
      <c r="O163">
        <f t="shared" si="33"/>
        <v>2.731819596E-2</v>
      </c>
      <c r="P163">
        <f t="shared" si="34"/>
        <v>0.12918540973558934</v>
      </c>
    </row>
    <row r="164" spans="1:16" x14ac:dyDescent="0.3">
      <c r="A164">
        <v>8.3306874999999998</v>
      </c>
      <c r="B164">
        <v>0.38120999999999999</v>
      </c>
      <c r="C164">
        <f t="shared" si="25"/>
        <v>3.175741381875</v>
      </c>
      <c r="D164">
        <v>1.6299999999999999E-2</v>
      </c>
      <c r="E164">
        <v>3.3E-3</v>
      </c>
      <c r="F164">
        <f t="shared" si="26"/>
        <v>1666.1375</v>
      </c>
      <c r="G164">
        <f t="shared" si="27"/>
        <v>-0.38120999999999999</v>
      </c>
      <c r="H164">
        <f t="shared" si="28"/>
        <v>-635.14827637500002</v>
      </c>
      <c r="I164">
        <v>1</v>
      </c>
      <c r="J164">
        <f t="shared" si="29"/>
        <v>0.5105080733521945</v>
      </c>
      <c r="K164">
        <f t="shared" si="30"/>
        <v>-0.84051515177521741</v>
      </c>
      <c r="L164">
        <v>1</v>
      </c>
      <c r="M164">
        <f t="shared" si="31"/>
        <v>0.54689177783288268</v>
      </c>
      <c r="N164">
        <f t="shared" si="32"/>
        <v>0.13579020624999999</v>
      </c>
      <c r="O164">
        <f t="shared" si="33"/>
        <v>2.7491268749999999E-2</v>
      </c>
      <c r="P164">
        <f t="shared" si="34"/>
        <v>0.13034189894233475</v>
      </c>
    </row>
    <row r="165" spans="1:16" x14ac:dyDescent="0.3">
      <c r="A165">
        <v>8.3846611000000006</v>
      </c>
      <c r="B165">
        <v>0.37873000000000001</v>
      </c>
      <c r="C165">
        <f t="shared" si="25"/>
        <v>3.1755226984030003</v>
      </c>
      <c r="D165">
        <v>1.6299999999999999E-2</v>
      </c>
      <c r="E165">
        <v>3.3E-3</v>
      </c>
      <c r="F165">
        <f t="shared" si="26"/>
        <v>1676.9322200000001</v>
      </c>
      <c r="G165">
        <f t="shared" si="27"/>
        <v>-0.37873000000000001</v>
      </c>
      <c r="H165">
        <f t="shared" si="28"/>
        <v>-635.10453968060006</v>
      </c>
      <c r="I165">
        <v>1</v>
      </c>
      <c r="J165">
        <f t="shared" si="29"/>
        <v>0.51696606461222094</v>
      </c>
      <c r="K165">
        <f t="shared" si="30"/>
        <v>-0.84299515177521744</v>
      </c>
      <c r="L165">
        <v>1</v>
      </c>
      <c r="M165">
        <f t="shared" si="31"/>
        <v>0.54719401182385197</v>
      </c>
      <c r="N165">
        <f t="shared" si="32"/>
        <v>0.13666997592999999</v>
      </c>
      <c r="O165">
        <f t="shared" si="33"/>
        <v>2.7669381630000003E-2</v>
      </c>
      <c r="P165">
        <f t="shared" si="34"/>
        <v>0.13146178239136547</v>
      </c>
    </row>
    <row r="166" spans="1:16" x14ac:dyDescent="0.3">
      <c r="A166">
        <v>8.4376162000000008</v>
      </c>
      <c r="B166">
        <v>0.37626999999999999</v>
      </c>
      <c r="C166">
        <f t="shared" si="25"/>
        <v>3.1748218475740004</v>
      </c>
      <c r="D166">
        <v>1.6299999999999999E-2</v>
      </c>
      <c r="E166">
        <v>3.3E-3</v>
      </c>
      <c r="F166">
        <f t="shared" si="26"/>
        <v>1687.5232400000002</v>
      </c>
      <c r="G166">
        <f t="shared" si="27"/>
        <v>-0.37626999999999999</v>
      </c>
      <c r="H166">
        <f t="shared" si="28"/>
        <v>-634.96436951480007</v>
      </c>
      <c r="I166">
        <v>1</v>
      </c>
      <c r="J166">
        <f t="shared" si="29"/>
        <v>0.52326191552156875</v>
      </c>
      <c r="K166">
        <f t="shared" si="30"/>
        <v>-0.84545515177521746</v>
      </c>
      <c r="L166">
        <v>1</v>
      </c>
      <c r="M166">
        <f t="shared" si="31"/>
        <v>0.54748865764640942</v>
      </c>
      <c r="N166">
        <f t="shared" si="32"/>
        <v>0.13753314406</v>
      </c>
      <c r="O166">
        <f t="shared" si="33"/>
        <v>2.7844133460000003E-2</v>
      </c>
      <c r="P166">
        <f t="shared" si="34"/>
        <v>0.13258921660880804</v>
      </c>
    </row>
    <row r="167" spans="1:16" x14ac:dyDescent="0.3">
      <c r="A167">
        <v>8.4880253999999997</v>
      </c>
      <c r="B167">
        <v>0.37378</v>
      </c>
      <c r="C167">
        <f t="shared" si="25"/>
        <v>3.1726541340119998</v>
      </c>
      <c r="D167">
        <v>1.6299999999999999E-2</v>
      </c>
      <c r="E167">
        <v>3.3E-3</v>
      </c>
      <c r="F167">
        <f t="shared" si="26"/>
        <v>1697.60508</v>
      </c>
      <c r="G167">
        <f t="shared" si="27"/>
        <v>-0.37378</v>
      </c>
      <c r="H167">
        <f t="shared" si="28"/>
        <v>-634.53082680239993</v>
      </c>
      <c r="I167">
        <v>1</v>
      </c>
      <c r="J167">
        <f t="shared" si="29"/>
        <v>0.52921848133304772</v>
      </c>
      <c r="K167">
        <f t="shared" si="30"/>
        <v>-0.84794515177521745</v>
      </c>
      <c r="L167">
        <v>1</v>
      </c>
      <c r="M167">
        <f t="shared" si="31"/>
        <v>0.54776742492638664</v>
      </c>
      <c r="N167">
        <f t="shared" si="32"/>
        <v>0.13835481401999999</v>
      </c>
      <c r="O167">
        <f t="shared" si="33"/>
        <v>2.8010483819999998E-2</v>
      </c>
      <c r="P167">
        <f t="shared" si="34"/>
        <v>0.13381242900883084</v>
      </c>
    </row>
    <row r="168" spans="1:16" x14ac:dyDescent="0.3">
      <c r="A168">
        <v>8.5384346000000004</v>
      </c>
      <c r="B168">
        <v>0.37120999999999998</v>
      </c>
      <c r="C168">
        <f t="shared" si="25"/>
        <v>3.1695523078660002</v>
      </c>
      <c r="D168">
        <v>1.6299999999999999E-2</v>
      </c>
      <c r="E168">
        <v>3.3E-3</v>
      </c>
      <c r="F168">
        <f t="shared" si="26"/>
        <v>1707.6869200000001</v>
      </c>
      <c r="G168">
        <f t="shared" si="27"/>
        <v>-0.37120999999999998</v>
      </c>
      <c r="H168">
        <f t="shared" si="28"/>
        <v>-633.9104615732</v>
      </c>
      <c r="I168">
        <v>1</v>
      </c>
      <c r="J168">
        <f t="shared" si="29"/>
        <v>0.53513977645676514</v>
      </c>
      <c r="K168">
        <f t="shared" si="30"/>
        <v>-0.85051515177521742</v>
      </c>
      <c r="L168">
        <v>1</v>
      </c>
      <c r="M168">
        <f t="shared" si="31"/>
        <v>0.54804454153817661</v>
      </c>
      <c r="N168">
        <f t="shared" si="32"/>
        <v>0.13917648397999999</v>
      </c>
      <c r="O168">
        <f t="shared" si="33"/>
        <v>2.8176834180000002E-2</v>
      </c>
      <c r="P168">
        <f t="shared" si="34"/>
        <v>0.13511729207704082</v>
      </c>
    </row>
    <row r="169" spans="1:16" x14ac:dyDescent="0.3">
      <c r="A169">
        <v>8.5898623000000001</v>
      </c>
      <c r="B169">
        <v>0.36901</v>
      </c>
      <c r="C169">
        <f t="shared" si="25"/>
        <v>3.1697450873230002</v>
      </c>
      <c r="D169">
        <v>1.6299999999999999E-2</v>
      </c>
      <c r="E169">
        <v>3.3E-3</v>
      </c>
      <c r="F169">
        <f t="shared" si="26"/>
        <v>1717.97246</v>
      </c>
      <c r="G169">
        <f t="shared" si="27"/>
        <v>-0.36901</v>
      </c>
      <c r="H169">
        <f t="shared" si="28"/>
        <v>-633.94901746460005</v>
      </c>
      <c r="I169">
        <v>1</v>
      </c>
      <c r="J169">
        <f t="shared" si="29"/>
        <v>0.54114479316582431</v>
      </c>
      <c r="K169">
        <f t="shared" si="30"/>
        <v>-0.85271515177521739</v>
      </c>
      <c r="L169">
        <v>1</v>
      </c>
      <c r="M169">
        <f t="shared" si="31"/>
        <v>0.54832557632016055</v>
      </c>
      <c r="N169">
        <f t="shared" si="32"/>
        <v>0.14001475548999998</v>
      </c>
      <c r="O169">
        <f t="shared" si="33"/>
        <v>2.8346545590000001E-2</v>
      </c>
      <c r="P169">
        <f t="shared" si="34"/>
        <v>0.13602827437505688</v>
      </c>
    </row>
    <row r="170" spans="1:16" x14ac:dyDescent="0.3">
      <c r="A170">
        <v>8.6407802999999994</v>
      </c>
      <c r="B170">
        <v>0.36637999999999998</v>
      </c>
      <c r="C170">
        <f t="shared" si="25"/>
        <v>3.1658090863139998</v>
      </c>
      <c r="D170">
        <v>1.6299999999999999E-2</v>
      </c>
      <c r="E170">
        <v>3.3E-3</v>
      </c>
      <c r="F170">
        <f t="shared" si="26"/>
        <v>1728.1560599999998</v>
      </c>
      <c r="G170">
        <f t="shared" si="27"/>
        <v>-0.36637999999999998</v>
      </c>
      <c r="H170">
        <f t="shared" si="28"/>
        <v>-633.16181726280001</v>
      </c>
      <c r="I170">
        <v>1</v>
      </c>
      <c r="J170">
        <f t="shared" si="29"/>
        <v>0.5470549788039355</v>
      </c>
      <c r="K170">
        <f t="shared" si="30"/>
        <v>-0.85534515177521753</v>
      </c>
      <c r="L170">
        <v>1</v>
      </c>
      <c r="M170">
        <f t="shared" si="31"/>
        <v>0.54860217300802416</v>
      </c>
      <c r="N170">
        <f t="shared" si="32"/>
        <v>0.14084471888999997</v>
      </c>
      <c r="O170">
        <f t="shared" si="33"/>
        <v>2.851457499E-2</v>
      </c>
      <c r="P170">
        <f t="shared" si="34"/>
        <v>0.13738368488719338</v>
      </c>
    </row>
    <row r="171" spans="1:16" x14ac:dyDescent="0.3">
      <c r="A171">
        <v>8.6927178000000005</v>
      </c>
      <c r="B171">
        <v>0.36371999999999999</v>
      </c>
      <c r="C171">
        <f t="shared" si="25"/>
        <v>3.1617153182160003</v>
      </c>
      <c r="D171">
        <v>1.6299999999999999E-2</v>
      </c>
      <c r="E171">
        <v>3.3E-3</v>
      </c>
      <c r="F171">
        <f t="shared" si="26"/>
        <v>1738.5435600000001</v>
      </c>
      <c r="G171">
        <f t="shared" si="27"/>
        <v>-0.36371999999999999</v>
      </c>
      <c r="H171">
        <f t="shared" si="28"/>
        <v>-632.34306364320003</v>
      </c>
      <c r="I171">
        <v>1</v>
      </c>
      <c r="J171">
        <f t="shared" si="29"/>
        <v>0.55304772823471071</v>
      </c>
      <c r="K171">
        <f t="shared" si="30"/>
        <v>-0.85800515177521741</v>
      </c>
      <c r="L171">
        <v>1</v>
      </c>
      <c r="M171">
        <f t="shared" si="31"/>
        <v>0.54888263368138446</v>
      </c>
      <c r="N171">
        <f t="shared" si="32"/>
        <v>0.14169130014</v>
      </c>
      <c r="O171">
        <f t="shared" si="33"/>
        <v>2.8685968740000001E-2</v>
      </c>
      <c r="P171">
        <f t="shared" si="34"/>
        <v>0.13874524921383294</v>
      </c>
    </row>
    <row r="172" spans="1:16" x14ac:dyDescent="0.3">
      <c r="A172">
        <v>8.7477090000000004</v>
      </c>
      <c r="B172">
        <v>0.36118</v>
      </c>
      <c r="C172">
        <f t="shared" si="25"/>
        <v>3.15949753662</v>
      </c>
      <c r="D172">
        <v>1.6299999999999999E-2</v>
      </c>
      <c r="E172">
        <v>3.3E-3</v>
      </c>
      <c r="F172">
        <f t="shared" si="26"/>
        <v>1749.5418</v>
      </c>
      <c r="G172">
        <f t="shared" si="27"/>
        <v>-0.36118</v>
      </c>
      <c r="H172">
        <f t="shared" si="28"/>
        <v>-631.89950732399996</v>
      </c>
      <c r="I172">
        <v>1</v>
      </c>
      <c r="J172">
        <f t="shared" si="29"/>
        <v>0.55935392508090942</v>
      </c>
      <c r="K172">
        <f t="shared" si="30"/>
        <v>-0.8605451517752174</v>
      </c>
      <c r="L172">
        <v>1</v>
      </c>
      <c r="M172">
        <f t="shared" si="31"/>
        <v>0.54917776369378657</v>
      </c>
      <c r="N172">
        <f t="shared" si="32"/>
        <v>0.14258765669999998</v>
      </c>
      <c r="O172">
        <f t="shared" si="33"/>
        <v>2.8867439700000001E-2</v>
      </c>
      <c r="P172">
        <f t="shared" si="34"/>
        <v>0.13991229168143085</v>
      </c>
    </row>
    <row r="173" spans="1:16" x14ac:dyDescent="0.3">
      <c r="A173">
        <v>8.7991357000000008</v>
      </c>
      <c r="B173">
        <v>0.35837999999999998</v>
      </c>
      <c r="C173">
        <f t="shared" si="25"/>
        <v>3.1534342521659999</v>
      </c>
      <c r="D173">
        <v>1.6299999999999999E-2</v>
      </c>
      <c r="E173">
        <v>3.3E-3</v>
      </c>
      <c r="F173">
        <f t="shared" si="26"/>
        <v>1759.8271400000001</v>
      </c>
      <c r="G173">
        <f t="shared" si="27"/>
        <v>-0.35837999999999998</v>
      </c>
      <c r="H173">
        <f t="shared" si="28"/>
        <v>-630.68685043319999</v>
      </c>
      <c r="I173">
        <v>1</v>
      </c>
      <c r="J173">
        <f t="shared" si="29"/>
        <v>0.56521558831747132</v>
      </c>
      <c r="K173">
        <f t="shared" si="30"/>
        <v>-0.86334515177521753</v>
      </c>
      <c r="L173">
        <v>1</v>
      </c>
      <c r="M173">
        <f t="shared" si="31"/>
        <v>0.54945208953325764</v>
      </c>
      <c r="N173">
        <f t="shared" si="32"/>
        <v>0.14342591191000001</v>
      </c>
      <c r="O173">
        <f t="shared" si="33"/>
        <v>2.9037147810000004E-2</v>
      </c>
      <c r="P173">
        <f t="shared" si="34"/>
        <v>0.14143000252195989</v>
      </c>
    </row>
    <row r="174" spans="1:16" x14ac:dyDescent="0.3">
      <c r="A174">
        <v>8.8505634999999998</v>
      </c>
      <c r="B174">
        <v>0.35593000000000002</v>
      </c>
      <c r="C174">
        <f t="shared" si="25"/>
        <v>3.1501810665550001</v>
      </c>
      <c r="D174">
        <v>1.6299999999999999E-2</v>
      </c>
      <c r="E174">
        <v>3.3E-3</v>
      </c>
      <c r="F174">
        <f t="shared" si="26"/>
        <v>1770.1126999999999</v>
      </c>
      <c r="G174">
        <f t="shared" si="27"/>
        <v>-0.35593000000000002</v>
      </c>
      <c r="H174">
        <f t="shared" si="28"/>
        <v>-630.03621331099998</v>
      </c>
      <c r="I174">
        <v>1</v>
      </c>
      <c r="J174">
        <f t="shared" si="29"/>
        <v>0.57104321687512594</v>
      </c>
      <c r="K174">
        <f t="shared" si="30"/>
        <v>-0.86579515177521738</v>
      </c>
      <c r="L174">
        <v>1</v>
      </c>
      <c r="M174">
        <f t="shared" si="31"/>
        <v>0.54972482254975596</v>
      </c>
      <c r="N174">
        <f t="shared" si="32"/>
        <v>0.14426418504999999</v>
      </c>
      <c r="O174">
        <f t="shared" si="33"/>
        <v>2.9206859549999999E-2</v>
      </c>
      <c r="P174">
        <f t="shared" si="34"/>
        <v>0.14259928462546143</v>
      </c>
    </row>
    <row r="175" spans="1:16" x14ac:dyDescent="0.3">
      <c r="A175">
        <v>8.9014824000000008</v>
      </c>
      <c r="B175">
        <v>0.35324</v>
      </c>
      <c r="C175">
        <f t="shared" si="25"/>
        <v>3.1443596429760001</v>
      </c>
      <c r="D175">
        <v>1.6299999999999999E-2</v>
      </c>
      <c r="E175">
        <v>3.3E-3</v>
      </c>
      <c r="F175">
        <f t="shared" si="26"/>
        <v>1780.2964800000002</v>
      </c>
      <c r="G175">
        <f t="shared" si="27"/>
        <v>-0.35324</v>
      </c>
      <c r="H175">
        <f t="shared" si="28"/>
        <v>-628.87192859520007</v>
      </c>
      <c r="I175">
        <v>1</v>
      </c>
      <c r="J175">
        <f t="shared" si="29"/>
        <v>0.57677991223187064</v>
      </c>
      <c r="K175">
        <f t="shared" si="30"/>
        <v>-0.86848515177521746</v>
      </c>
      <c r="L175">
        <v>1</v>
      </c>
      <c r="M175">
        <f t="shared" si="31"/>
        <v>0.5499932998924516</v>
      </c>
      <c r="N175">
        <f t="shared" si="32"/>
        <v>0.14509416312000001</v>
      </c>
      <c r="O175">
        <f t="shared" si="33"/>
        <v>2.9374891920000003E-2</v>
      </c>
      <c r="P175">
        <f t="shared" si="34"/>
        <v>0.14402279684276584</v>
      </c>
    </row>
    <row r="176" spans="1:16" x14ac:dyDescent="0.3">
      <c r="A176">
        <v>8.9529092000000006</v>
      </c>
      <c r="B176">
        <v>0.35077999999999998</v>
      </c>
      <c r="C176">
        <f t="shared" si="25"/>
        <v>3.1405014891760001</v>
      </c>
      <c r="D176">
        <v>1.6299999999999999E-2</v>
      </c>
      <c r="E176">
        <v>3.3E-3</v>
      </c>
      <c r="F176">
        <f t="shared" si="26"/>
        <v>1790.5818400000001</v>
      </c>
      <c r="G176">
        <f t="shared" si="27"/>
        <v>-0.35077999999999998</v>
      </c>
      <c r="H176">
        <f t="shared" si="28"/>
        <v>-628.10029783520008</v>
      </c>
      <c r="I176">
        <v>1</v>
      </c>
      <c r="J176">
        <f t="shared" si="29"/>
        <v>0.58254061731459639</v>
      </c>
      <c r="K176">
        <f t="shared" si="30"/>
        <v>-0.87094515177521747</v>
      </c>
      <c r="L176">
        <v>1</v>
      </c>
      <c r="M176">
        <f t="shared" si="31"/>
        <v>0.55026290089032315</v>
      </c>
      <c r="N176">
        <f t="shared" si="32"/>
        <v>0.14593241996</v>
      </c>
      <c r="O176">
        <f t="shared" si="33"/>
        <v>2.9544600360000003E-2</v>
      </c>
      <c r="P176">
        <f t="shared" si="34"/>
        <v>0.14520523056489432</v>
      </c>
    </row>
    <row r="177" spans="1:16" x14ac:dyDescent="0.3">
      <c r="A177">
        <v>9.0053555000000003</v>
      </c>
      <c r="B177">
        <v>0.34809000000000001</v>
      </c>
      <c r="C177">
        <f t="shared" si="25"/>
        <v>3.1346741959950002</v>
      </c>
      <c r="D177">
        <v>1.6299999999999999E-2</v>
      </c>
      <c r="E177">
        <v>3.3E-3</v>
      </c>
      <c r="F177">
        <f t="shared" si="26"/>
        <v>1801.0711000000001</v>
      </c>
      <c r="G177">
        <f t="shared" si="27"/>
        <v>-0.34809000000000001</v>
      </c>
      <c r="H177">
        <f t="shared" si="28"/>
        <v>-626.93483919900007</v>
      </c>
      <c r="I177">
        <v>1</v>
      </c>
      <c r="J177">
        <f t="shared" si="29"/>
        <v>0.58838154348232086</v>
      </c>
      <c r="K177">
        <f t="shared" si="30"/>
        <v>-0.87363515177521744</v>
      </c>
      <c r="L177">
        <v>1</v>
      </c>
      <c r="M177">
        <f t="shared" si="31"/>
        <v>0.5505362562349726</v>
      </c>
      <c r="N177">
        <f t="shared" si="32"/>
        <v>0.14678729464999998</v>
      </c>
      <c r="O177">
        <f t="shared" si="33"/>
        <v>2.9717673150000002E-2</v>
      </c>
      <c r="P177">
        <f t="shared" si="34"/>
        <v>0.14659392774024485</v>
      </c>
    </row>
    <row r="178" spans="1:16" x14ac:dyDescent="0.3">
      <c r="A178">
        <v>9.0572920000000003</v>
      </c>
      <c r="B178">
        <v>0.34553</v>
      </c>
      <c r="C178">
        <f t="shared" si="25"/>
        <v>3.1295661047600003</v>
      </c>
      <c r="D178">
        <v>1.6299999999999999E-2</v>
      </c>
      <c r="E178">
        <v>3.3E-3</v>
      </c>
      <c r="F178">
        <f t="shared" si="26"/>
        <v>1811.4584</v>
      </c>
      <c r="G178">
        <f t="shared" si="27"/>
        <v>-0.34553</v>
      </c>
      <c r="H178">
        <f t="shared" si="28"/>
        <v>-625.91322095200007</v>
      </c>
      <c r="I178">
        <v>1</v>
      </c>
      <c r="J178">
        <f t="shared" si="29"/>
        <v>0.59413226669516062</v>
      </c>
      <c r="K178">
        <f t="shared" si="30"/>
        <v>-0.87619515177521745</v>
      </c>
      <c r="L178">
        <v>1</v>
      </c>
      <c r="M178">
        <f t="shared" si="31"/>
        <v>0.55080539008133356</v>
      </c>
      <c r="N178">
        <f t="shared" si="32"/>
        <v>0.1476338596</v>
      </c>
      <c r="O178">
        <f t="shared" si="33"/>
        <v>2.9889063600000002E-2</v>
      </c>
      <c r="P178">
        <f t="shared" si="34"/>
        <v>0.14786683849388388</v>
      </c>
    </row>
    <row r="179" spans="1:16" x14ac:dyDescent="0.3">
      <c r="A179">
        <v>9.1107568000000008</v>
      </c>
      <c r="B179">
        <v>0.34273999999999999</v>
      </c>
      <c r="C179">
        <f t="shared" si="25"/>
        <v>3.1226207856320003</v>
      </c>
      <c r="D179">
        <v>1.6299999999999999E-2</v>
      </c>
      <c r="E179">
        <v>3.3E-3</v>
      </c>
      <c r="F179">
        <f t="shared" si="26"/>
        <v>1822.1513600000001</v>
      </c>
      <c r="G179">
        <f t="shared" si="27"/>
        <v>-0.34273999999999999</v>
      </c>
      <c r="H179">
        <f t="shared" si="28"/>
        <v>-624.52415712640004</v>
      </c>
      <c r="I179">
        <v>1</v>
      </c>
      <c r="J179">
        <f t="shared" si="29"/>
        <v>0.6000178689329051</v>
      </c>
      <c r="K179">
        <f t="shared" si="30"/>
        <v>-0.87898515177521741</v>
      </c>
      <c r="L179">
        <v>1</v>
      </c>
      <c r="M179">
        <f t="shared" si="31"/>
        <v>0.55108083626605997</v>
      </c>
      <c r="N179">
        <f t="shared" si="32"/>
        <v>0.14850533584</v>
      </c>
      <c r="O179">
        <f t="shared" si="33"/>
        <v>3.0065497440000002E-2</v>
      </c>
      <c r="P179">
        <f t="shared" si="34"/>
        <v>0.14933348222915743</v>
      </c>
    </row>
    <row r="180" spans="1:16" x14ac:dyDescent="0.3">
      <c r="A180">
        <v>9.1672764000000004</v>
      </c>
      <c r="B180">
        <v>0.34011000000000002</v>
      </c>
      <c r="C180">
        <f t="shared" si="25"/>
        <v>3.1178823764040002</v>
      </c>
      <c r="D180">
        <v>1.6299999999999999E-2</v>
      </c>
      <c r="E180">
        <v>3.3E-3</v>
      </c>
      <c r="F180">
        <f t="shared" si="26"/>
        <v>1833.4552800000001</v>
      </c>
      <c r="G180">
        <f t="shared" si="27"/>
        <v>-0.34011000000000002</v>
      </c>
      <c r="H180">
        <f t="shared" si="28"/>
        <v>-623.57647528080008</v>
      </c>
      <c r="I180">
        <v>1</v>
      </c>
      <c r="J180">
        <f t="shared" si="29"/>
        <v>0.60620231772183675</v>
      </c>
      <c r="K180">
        <f t="shared" si="30"/>
        <v>-0.88161515177521743</v>
      </c>
      <c r="L180">
        <v>1</v>
      </c>
      <c r="M180">
        <f t="shared" si="31"/>
        <v>0.55137026846938197</v>
      </c>
      <c r="N180">
        <f t="shared" si="32"/>
        <v>0.14942660531999999</v>
      </c>
      <c r="O180">
        <f t="shared" si="33"/>
        <v>3.0252012120000001E-2</v>
      </c>
      <c r="P180">
        <f t="shared" si="34"/>
        <v>0.15056626586583546</v>
      </c>
    </row>
    <row r="181" spans="1:16" x14ac:dyDescent="0.3">
      <c r="A181">
        <v>9.2187031000000008</v>
      </c>
      <c r="B181">
        <v>0.33700999999999998</v>
      </c>
      <c r="C181">
        <f t="shared" si="25"/>
        <v>3.1067951317309999</v>
      </c>
      <c r="D181">
        <v>1.6299999999999999E-2</v>
      </c>
      <c r="E181">
        <v>3.3E-3</v>
      </c>
      <c r="F181">
        <f t="shared" si="26"/>
        <v>1843.7406200000003</v>
      </c>
      <c r="G181">
        <f t="shared" si="27"/>
        <v>-0.33700999999999998</v>
      </c>
      <c r="H181">
        <f t="shared" si="28"/>
        <v>-621.35902634619993</v>
      </c>
      <c r="I181">
        <v>1</v>
      </c>
      <c r="J181">
        <f t="shared" si="29"/>
        <v>0.61179645363542468</v>
      </c>
      <c r="K181">
        <f t="shared" si="30"/>
        <v>-0.88471515177521742</v>
      </c>
      <c r="L181">
        <v>1</v>
      </c>
      <c r="M181">
        <f t="shared" si="31"/>
        <v>0.55163207403013792</v>
      </c>
      <c r="N181">
        <f t="shared" si="32"/>
        <v>0.15026486052999999</v>
      </c>
      <c r="O181">
        <f t="shared" si="33"/>
        <v>3.0421720230000001E-2</v>
      </c>
      <c r="P181">
        <f t="shared" si="34"/>
        <v>0.15239649698507951</v>
      </c>
    </row>
    <row r="182" spans="1:16" x14ac:dyDescent="0.3">
      <c r="A182">
        <v>9.2736943000000007</v>
      </c>
      <c r="B182">
        <v>0.33450999999999997</v>
      </c>
      <c r="C182">
        <f t="shared" si="25"/>
        <v>3.1021434802929999</v>
      </c>
      <c r="D182">
        <v>1.6299999999999999E-2</v>
      </c>
      <c r="E182">
        <v>3.3E-3</v>
      </c>
      <c r="F182">
        <f t="shared" si="26"/>
        <v>1854.7388600000002</v>
      </c>
      <c r="G182">
        <f t="shared" si="27"/>
        <v>-0.33450999999999997</v>
      </c>
      <c r="H182">
        <f t="shared" si="28"/>
        <v>-620.42869605859994</v>
      </c>
      <c r="I182">
        <v>1</v>
      </c>
      <c r="J182">
        <f t="shared" si="29"/>
        <v>0.6177439098691645</v>
      </c>
      <c r="K182">
        <f t="shared" si="30"/>
        <v>-0.88721515177521748</v>
      </c>
      <c r="L182">
        <v>1</v>
      </c>
      <c r="M182">
        <f t="shared" si="31"/>
        <v>0.55191041498187687</v>
      </c>
      <c r="N182">
        <f t="shared" si="32"/>
        <v>0.15116121708999999</v>
      </c>
      <c r="O182">
        <f t="shared" si="33"/>
        <v>3.0603191190000004E-2</v>
      </c>
      <c r="P182">
        <f t="shared" si="34"/>
        <v>0.1535403285133406</v>
      </c>
    </row>
    <row r="183" spans="1:16" x14ac:dyDescent="0.3">
      <c r="A183">
        <v>9.3241045000000007</v>
      </c>
      <c r="B183">
        <v>0.33129999999999998</v>
      </c>
      <c r="C183">
        <f t="shared" si="25"/>
        <v>3.0890758208500002</v>
      </c>
      <c r="D183">
        <v>1.6299999999999999E-2</v>
      </c>
      <c r="E183">
        <v>3.3E-3</v>
      </c>
      <c r="F183">
        <f t="shared" si="26"/>
        <v>1864.8209000000002</v>
      </c>
      <c r="G183">
        <f t="shared" si="27"/>
        <v>-0.33129999999999998</v>
      </c>
      <c r="H183">
        <f t="shared" si="28"/>
        <v>-617.81516417</v>
      </c>
      <c r="I183">
        <v>1</v>
      </c>
      <c r="J183">
        <f t="shared" si="29"/>
        <v>0.62316501631281296</v>
      </c>
      <c r="K183">
        <f t="shared" si="30"/>
        <v>-0.89042515177521753</v>
      </c>
      <c r="L183">
        <v>1</v>
      </c>
      <c r="M183">
        <f t="shared" si="31"/>
        <v>0.55216412276343962</v>
      </c>
      <c r="N183">
        <f t="shared" si="32"/>
        <v>0.15198290335</v>
      </c>
      <c r="O183">
        <f t="shared" si="33"/>
        <v>3.0769544850000004E-2</v>
      </c>
      <c r="P183">
        <f t="shared" si="34"/>
        <v>0.1555085808117779</v>
      </c>
    </row>
    <row r="184" spans="1:16" x14ac:dyDescent="0.3">
      <c r="A184">
        <v>9.3750225</v>
      </c>
      <c r="B184">
        <v>0.32899</v>
      </c>
      <c r="C184">
        <f t="shared" si="25"/>
        <v>3.0842886522750002</v>
      </c>
      <c r="D184">
        <v>1.6299999999999999E-2</v>
      </c>
      <c r="E184">
        <v>3.3E-3</v>
      </c>
      <c r="F184">
        <f t="shared" si="26"/>
        <v>1875.0045</v>
      </c>
      <c r="G184">
        <f t="shared" si="27"/>
        <v>-0.32899</v>
      </c>
      <c r="H184">
        <f t="shared" si="28"/>
        <v>-616.85773045500002</v>
      </c>
      <c r="I184">
        <v>1</v>
      </c>
      <c r="J184">
        <f t="shared" si="29"/>
        <v>0.62861105941949413</v>
      </c>
      <c r="K184">
        <f t="shared" si="30"/>
        <v>-0.89273515177521745</v>
      </c>
      <c r="L184">
        <v>1</v>
      </c>
      <c r="M184">
        <f t="shared" si="31"/>
        <v>0.55241899758083235</v>
      </c>
      <c r="N184">
        <f t="shared" si="32"/>
        <v>0.15281286675</v>
      </c>
      <c r="O184">
        <f t="shared" si="33"/>
        <v>3.0937574249999999E-2</v>
      </c>
      <c r="P184">
        <f t="shared" si="34"/>
        <v>0.15656571319438511</v>
      </c>
    </row>
    <row r="185" spans="1:16" x14ac:dyDescent="0.3">
      <c r="A185">
        <v>9.4264501999999997</v>
      </c>
      <c r="B185">
        <v>0.32634000000000002</v>
      </c>
      <c r="C185">
        <f t="shared" si="25"/>
        <v>3.0762277582680002</v>
      </c>
      <c r="D185">
        <v>1.6299999999999999E-2</v>
      </c>
      <c r="E185">
        <v>3.3E-3</v>
      </c>
      <c r="F185">
        <f t="shared" si="26"/>
        <v>1885.2900399999999</v>
      </c>
      <c r="G185">
        <f t="shared" si="27"/>
        <v>-0.32634000000000002</v>
      </c>
      <c r="H185">
        <f t="shared" si="28"/>
        <v>-615.24555165360005</v>
      </c>
      <c r="I185">
        <v>1</v>
      </c>
      <c r="J185">
        <f t="shared" si="29"/>
        <v>0.63408167643760904</v>
      </c>
      <c r="K185">
        <f t="shared" si="30"/>
        <v>-0.89538515177521738</v>
      </c>
      <c r="L185">
        <v>1</v>
      </c>
      <c r="M185">
        <f t="shared" si="31"/>
        <v>0.55267502245728017</v>
      </c>
      <c r="N185">
        <f t="shared" si="32"/>
        <v>0.15365113825999999</v>
      </c>
      <c r="O185">
        <f t="shared" si="33"/>
        <v>3.1107285659999998E-2</v>
      </c>
      <c r="P185">
        <f t="shared" si="34"/>
        <v>0.15795170539793724</v>
      </c>
    </row>
    <row r="186" spans="1:16" x14ac:dyDescent="0.3">
      <c r="A186">
        <v>9.4773682000000008</v>
      </c>
      <c r="B186">
        <v>0.32335999999999998</v>
      </c>
      <c r="C186">
        <f t="shared" si="25"/>
        <v>3.0646017811520001</v>
      </c>
      <c r="D186">
        <v>1.6299999999999999E-2</v>
      </c>
      <c r="E186">
        <v>3.3E-3</v>
      </c>
      <c r="F186">
        <f t="shared" si="26"/>
        <v>1895.4736400000002</v>
      </c>
      <c r="G186">
        <f t="shared" si="27"/>
        <v>-0.32335999999999998</v>
      </c>
      <c r="H186">
        <f t="shared" si="28"/>
        <v>-612.92035623039999</v>
      </c>
      <c r="I186">
        <v>1</v>
      </c>
      <c r="J186">
        <f t="shared" si="29"/>
        <v>0.63946874925661024</v>
      </c>
      <c r="K186">
        <f t="shared" si="30"/>
        <v>-0.89836515177521747</v>
      </c>
      <c r="L186">
        <v>1</v>
      </c>
      <c r="M186">
        <f t="shared" si="31"/>
        <v>0.55292713746520938</v>
      </c>
      <c r="N186">
        <f t="shared" si="32"/>
        <v>0.15448110166000001</v>
      </c>
      <c r="O186">
        <f t="shared" si="33"/>
        <v>3.1275315060000003E-2</v>
      </c>
      <c r="P186">
        <f t="shared" si="34"/>
        <v>0.15968159759000808</v>
      </c>
    </row>
    <row r="187" spans="1:16" x14ac:dyDescent="0.3">
      <c r="A187">
        <v>9.5298145000000005</v>
      </c>
      <c r="B187">
        <v>0.32044</v>
      </c>
      <c r="C187">
        <f t="shared" si="25"/>
        <v>3.0537337583800004</v>
      </c>
      <c r="D187">
        <v>1.6299999999999999E-2</v>
      </c>
      <c r="E187">
        <v>3.3E-3</v>
      </c>
      <c r="F187">
        <f t="shared" si="26"/>
        <v>1905.9629</v>
      </c>
      <c r="G187">
        <f t="shared" si="27"/>
        <v>-0.32044</v>
      </c>
      <c r="H187">
        <f t="shared" si="28"/>
        <v>-610.74675167600003</v>
      </c>
      <c r="I187">
        <v>1</v>
      </c>
      <c r="J187">
        <f t="shared" si="29"/>
        <v>0.64498734019471882</v>
      </c>
      <c r="K187">
        <f t="shared" si="30"/>
        <v>-0.9012851517752174</v>
      </c>
      <c r="L187">
        <v>1</v>
      </c>
      <c r="M187">
        <f t="shared" si="31"/>
        <v>0.55318540752111289</v>
      </c>
      <c r="N187">
        <f t="shared" si="32"/>
        <v>0.15533597634999999</v>
      </c>
      <c r="O187">
        <f t="shared" si="33"/>
        <v>3.1448387850000002E-2</v>
      </c>
      <c r="P187">
        <f t="shared" si="34"/>
        <v>0.16131538005410451</v>
      </c>
    </row>
    <row r="188" spans="1:16" x14ac:dyDescent="0.3">
      <c r="A188">
        <v>9.5807324000000005</v>
      </c>
      <c r="B188">
        <v>0.31794</v>
      </c>
      <c r="C188">
        <f t="shared" si="25"/>
        <v>3.0460980592560003</v>
      </c>
      <c r="D188">
        <v>1.6299999999999999E-2</v>
      </c>
      <c r="E188">
        <v>3.3E-3</v>
      </c>
      <c r="F188">
        <f t="shared" si="26"/>
        <v>1916.1464800000001</v>
      </c>
      <c r="G188">
        <f t="shared" si="27"/>
        <v>-0.31794</v>
      </c>
      <c r="H188">
        <f t="shared" si="28"/>
        <v>-609.21961185120006</v>
      </c>
      <c r="I188">
        <v>1</v>
      </c>
      <c r="J188">
        <f t="shared" si="29"/>
        <v>0.65031612756590196</v>
      </c>
      <c r="K188">
        <f t="shared" si="30"/>
        <v>-0.90378515177521745</v>
      </c>
      <c r="L188">
        <v>1</v>
      </c>
      <c r="M188">
        <f t="shared" si="31"/>
        <v>0.55343479477008428</v>
      </c>
      <c r="N188">
        <f t="shared" si="32"/>
        <v>0.15616593811999999</v>
      </c>
      <c r="O188">
        <f t="shared" si="33"/>
        <v>3.1616416920000001E-2</v>
      </c>
      <c r="P188">
        <f t="shared" si="34"/>
        <v>0.16256800196513319</v>
      </c>
    </row>
    <row r="189" spans="1:16" x14ac:dyDescent="0.3">
      <c r="A189">
        <v>9.6321601999999995</v>
      </c>
      <c r="B189">
        <v>0.31490000000000001</v>
      </c>
      <c r="C189">
        <f t="shared" si="25"/>
        <v>3.0331672469800002</v>
      </c>
      <c r="D189">
        <v>1.6299999999999999E-2</v>
      </c>
      <c r="E189">
        <v>3.3E-3</v>
      </c>
      <c r="F189">
        <f t="shared" si="26"/>
        <v>1926.4320399999999</v>
      </c>
      <c r="G189">
        <f t="shared" si="27"/>
        <v>-0.31490000000000001</v>
      </c>
      <c r="H189">
        <f t="shared" si="28"/>
        <v>-606.63344939600006</v>
      </c>
      <c r="I189">
        <v>1</v>
      </c>
      <c r="J189">
        <f t="shared" si="29"/>
        <v>0.65566960805385432</v>
      </c>
      <c r="K189">
        <f t="shared" si="30"/>
        <v>-0.9068251517752175</v>
      </c>
      <c r="L189">
        <v>1</v>
      </c>
      <c r="M189">
        <f t="shared" si="31"/>
        <v>0.55368533765692041</v>
      </c>
      <c r="N189">
        <f t="shared" si="32"/>
        <v>0.15700421125999997</v>
      </c>
      <c r="O189">
        <f t="shared" si="33"/>
        <v>3.1786128659999996E-2</v>
      </c>
      <c r="P189">
        <f t="shared" si="34"/>
        <v>0.16434947419829712</v>
      </c>
    </row>
    <row r="190" spans="1:16" x14ac:dyDescent="0.3">
      <c r="A190">
        <v>9.6840966999999996</v>
      </c>
      <c r="B190">
        <v>0.31230999999999998</v>
      </c>
      <c r="C190">
        <f t="shared" si="25"/>
        <v>3.0244402403769994</v>
      </c>
      <c r="D190">
        <v>1.6299999999999999E-2</v>
      </c>
      <c r="E190">
        <v>3.3E-3</v>
      </c>
      <c r="F190">
        <f t="shared" si="26"/>
        <v>1936.81934</v>
      </c>
      <c r="G190">
        <f t="shared" si="27"/>
        <v>-0.31230999999999998</v>
      </c>
      <c r="H190">
        <f t="shared" si="28"/>
        <v>-604.88804807539987</v>
      </c>
      <c r="I190">
        <v>1</v>
      </c>
      <c r="J190">
        <f t="shared" si="29"/>
        <v>0.66104711213502043</v>
      </c>
      <c r="K190">
        <f t="shared" si="30"/>
        <v>-0.90941515177521748</v>
      </c>
      <c r="L190">
        <v>1</v>
      </c>
      <c r="M190">
        <f t="shared" si="31"/>
        <v>0.55393700484791897</v>
      </c>
      <c r="N190">
        <f t="shared" si="32"/>
        <v>0.15785077620999999</v>
      </c>
      <c r="O190">
        <f t="shared" si="33"/>
        <v>3.1957519109999999E-2</v>
      </c>
      <c r="P190">
        <f t="shared" si="34"/>
        <v>0.16566985160729852</v>
      </c>
    </row>
    <row r="191" spans="1:16" x14ac:dyDescent="0.3">
      <c r="A191">
        <v>9.7350145999999995</v>
      </c>
      <c r="B191">
        <v>0.30930999999999997</v>
      </c>
      <c r="C191">
        <f t="shared" si="25"/>
        <v>3.0111373659259995</v>
      </c>
      <c r="D191">
        <v>1.6299999999999999E-2</v>
      </c>
      <c r="E191">
        <v>3.3E-3</v>
      </c>
      <c r="F191">
        <f t="shared" si="26"/>
        <v>1947.0029199999999</v>
      </c>
      <c r="G191">
        <f t="shared" si="27"/>
        <v>-0.30930999999999997</v>
      </c>
      <c r="H191">
        <f t="shared" si="28"/>
        <v>-602.22747318519987</v>
      </c>
      <c r="I191">
        <v>1</v>
      </c>
      <c r="J191">
        <f t="shared" si="29"/>
        <v>0.66629122613213265</v>
      </c>
      <c r="K191">
        <f t="shared" si="30"/>
        <v>-0.91241515177521748</v>
      </c>
      <c r="L191">
        <v>1</v>
      </c>
      <c r="M191">
        <f t="shared" si="31"/>
        <v>0.55418242938298379</v>
      </c>
      <c r="N191">
        <f t="shared" si="32"/>
        <v>0.15868073797999999</v>
      </c>
      <c r="O191">
        <f t="shared" si="33"/>
        <v>3.2125548179999998E-2</v>
      </c>
      <c r="P191">
        <f t="shared" si="34"/>
        <v>0.16742643623223372</v>
      </c>
    </row>
    <row r="192" spans="1:16" x14ac:dyDescent="0.3">
      <c r="A192">
        <v>9.7859335999999999</v>
      </c>
      <c r="B192">
        <v>0.30646000000000001</v>
      </c>
      <c r="C192">
        <f t="shared" si="25"/>
        <v>2.9989972110559999</v>
      </c>
      <c r="D192">
        <v>1.6299999999999999E-2</v>
      </c>
      <c r="E192">
        <v>3.3E-3</v>
      </c>
      <c r="F192">
        <f t="shared" si="26"/>
        <v>1957.1867199999999</v>
      </c>
      <c r="G192">
        <f t="shared" si="27"/>
        <v>-0.30646000000000001</v>
      </c>
      <c r="H192">
        <f t="shared" si="28"/>
        <v>-599.79944221120002</v>
      </c>
      <c r="I192">
        <v>1</v>
      </c>
      <c r="J192">
        <f t="shared" si="29"/>
        <v>0.67150809520646004</v>
      </c>
      <c r="K192">
        <f t="shared" si="30"/>
        <v>-0.9152651517752175</v>
      </c>
      <c r="L192">
        <v>1</v>
      </c>
      <c r="M192">
        <f t="shared" si="31"/>
        <v>0.55442657885566238</v>
      </c>
      <c r="N192">
        <f t="shared" si="32"/>
        <v>0.15951071768</v>
      </c>
      <c r="O192">
        <f t="shared" si="33"/>
        <v>3.2293580879999999E-2</v>
      </c>
      <c r="P192">
        <f t="shared" si="34"/>
        <v>0.16903427435955512</v>
      </c>
    </row>
    <row r="193" spans="1:16" x14ac:dyDescent="0.3">
      <c r="A193">
        <v>9.8363428000000006</v>
      </c>
      <c r="B193">
        <v>0.30309999999999998</v>
      </c>
      <c r="C193">
        <f t="shared" si="25"/>
        <v>2.9813955026799999</v>
      </c>
      <c r="D193">
        <v>1.6299999999999999E-2</v>
      </c>
      <c r="E193">
        <v>3.3E-3</v>
      </c>
      <c r="F193">
        <f t="shared" si="26"/>
        <v>1967.2685600000002</v>
      </c>
      <c r="G193">
        <f t="shared" si="27"/>
        <v>-0.30309999999999998</v>
      </c>
      <c r="H193">
        <f t="shared" si="28"/>
        <v>-596.27910053599999</v>
      </c>
      <c r="I193">
        <v>1</v>
      </c>
      <c r="J193">
        <f t="shared" si="29"/>
        <v>0.67664606287822127</v>
      </c>
      <c r="K193">
        <f t="shared" si="30"/>
        <v>-0.91862515177521753</v>
      </c>
      <c r="L193">
        <v>1</v>
      </c>
      <c r="M193">
        <f t="shared" si="31"/>
        <v>0.55466703574270082</v>
      </c>
      <c r="N193">
        <f t="shared" si="32"/>
        <v>0.16033238763999999</v>
      </c>
      <c r="O193">
        <f t="shared" si="33"/>
        <v>3.2459931240000003E-2</v>
      </c>
      <c r="P193">
        <f t="shared" si="34"/>
        <v>0.17116579715251673</v>
      </c>
    </row>
    <row r="194" spans="1:16" x14ac:dyDescent="0.3">
      <c r="A194">
        <v>9.8872616999999998</v>
      </c>
      <c r="B194">
        <v>0.30042999999999997</v>
      </c>
      <c r="C194">
        <f t="shared" si="25"/>
        <v>2.9704300325309996</v>
      </c>
      <c r="D194">
        <v>1.6299999999999999E-2</v>
      </c>
      <c r="E194">
        <v>3.3E-3</v>
      </c>
      <c r="F194">
        <f t="shared" si="26"/>
        <v>1977.45234</v>
      </c>
      <c r="G194">
        <f t="shared" si="27"/>
        <v>-0.30042999999999997</v>
      </c>
      <c r="H194">
        <f t="shared" si="28"/>
        <v>-594.08600650619996</v>
      </c>
      <c r="I194">
        <v>1</v>
      </c>
      <c r="J194">
        <f t="shared" si="29"/>
        <v>0.68180931923143462</v>
      </c>
      <c r="K194">
        <f t="shared" si="30"/>
        <v>-0.92129515177521748</v>
      </c>
      <c r="L194">
        <v>1</v>
      </c>
      <c r="M194">
        <f t="shared" si="31"/>
        <v>0.55490867614003114</v>
      </c>
      <c r="N194">
        <f t="shared" si="32"/>
        <v>0.16116236570999998</v>
      </c>
      <c r="O194">
        <f t="shared" si="33"/>
        <v>3.2627963609999998E-2</v>
      </c>
      <c r="P194">
        <f t="shared" si="34"/>
        <v>0.17259614631518636</v>
      </c>
    </row>
    <row r="195" spans="1:16" x14ac:dyDescent="0.3">
      <c r="A195">
        <v>9.9381786999999999</v>
      </c>
      <c r="B195">
        <v>0.29770000000000002</v>
      </c>
      <c r="C195">
        <f t="shared" si="25"/>
        <v>2.9585957989900002</v>
      </c>
      <c r="D195">
        <v>1.6299999999999999E-2</v>
      </c>
      <c r="E195">
        <v>3.3E-3</v>
      </c>
      <c r="F195">
        <f t="shared" si="26"/>
        <v>1987.6357399999999</v>
      </c>
      <c r="G195">
        <f t="shared" si="27"/>
        <v>-0.29770000000000002</v>
      </c>
      <c r="H195">
        <f t="shared" si="28"/>
        <v>-591.71915979800008</v>
      </c>
      <c r="I195">
        <v>1</v>
      </c>
      <c r="J195">
        <f t="shared" si="29"/>
        <v>0.68694586206957176</v>
      </c>
      <c r="K195">
        <f t="shared" si="30"/>
        <v>-0.92402515177521738</v>
      </c>
      <c r="L195">
        <v>1</v>
      </c>
      <c r="M195">
        <f t="shared" si="31"/>
        <v>0.55514906634485595</v>
      </c>
      <c r="N195">
        <f t="shared" si="32"/>
        <v>0.16199231280999998</v>
      </c>
      <c r="O195">
        <f t="shared" si="33"/>
        <v>3.2795989710000001E-2</v>
      </c>
      <c r="P195">
        <f t="shared" si="34"/>
        <v>0.17408778291036145</v>
      </c>
    </row>
    <row r="196" spans="1:16" x14ac:dyDescent="0.3">
      <c r="A196">
        <v>9.9896074000000006</v>
      </c>
      <c r="B196">
        <v>0.29450999999999999</v>
      </c>
      <c r="C196">
        <f t="shared" ref="C196:C259" si="36">A196*B196</f>
        <v>2.9420392753739999</v>
      </c>
      <c r="D196">
        <v>1.6299999999999999E-2</v>
      </c>
      <c r="E196">
        <v>3.3E-3</v>
      </c>
      <c r="F196">
        <f t="shared" ref="F196:F259" si="37">A196*200</f>
        <v>1997.9214800000002</v>
      </c>
      <c r="G196">
        <f t="shared" ref="G196:G259" si="38">-B196</f>
        <v>-0.29450999999999999</v>
      </c>
      <c r="H196">
        <f t="shared" ref="H196:H259" si="39">-C196*200</f>
        <v>-588.40785507479995</v>
      </c>
      <c r="I196">
        <v>1</v>
      </c>
      <c r="J196">
        <f t="shared" ref="J196:J259" si="40">LN(F196/1000)</f>
        <v>0.69210738015482487</v>
      </c>
      <c r="K196">
        <f t="shared" ref="K196:K259" si="41">((-G196)-$N$2)</f>
        <v>-0.92721515177521741</v>
      </c>
      <c r="L196">
        <v>1</v>
      </c>
      <c r="M196">
        <f t="shared" ref="M196:M259" si="42">-1*($S$4+($S$5*J196))</f>
        <v>0.55539062539124584</v>
      </c>
      <c r="N196">
        <f t="shared" ref="N196:N259" si="43">D196*A196</f>
        <v>0.16283060061999999</v>
      </c>
      <c r="O196">
        <f t="shared" ref="O196:O259" si="44">E196*A196</f>
        <v>3.2965704419999999E-2</v>
      </c>
      <c r="P196">
        <f t="shared" ref="P196:P259" si="45">-K196-M196-N196-O196</f>
        <v>0.17602822134397159</v>
      </c>
    </row>
    <row r="197" spans="1:16" x14ac:dyDescent="0.3">
      <c r="A197">
        <v>10.044599</v>
      </c>
      <c r="B197">
        <v>0.29157</v>
      </c>
      <c r="C197">
        <f t="shared" si="36"/>
        <v>2.9287037304300001</v>
      </c>
      <c r="D197">
        <v>1.6299999999999999E-2</v>
      </c>
      <c r="E197">
        <v>3.3E-3</v>
      </c>
      <c r="F197">
        <f t="shared" si="37"/>
        <v>2008.9197999999999</v>
      </c>
      <c r="G197">
        <f t="shared" si="38"/>
        <v>-0.29157</v>
      </c>
      <c r="H197">
        <f t="shared" si="39"/>
        <v>-585.74074608600006</v>
      </c>
      <c r="I197">
        <v>1</v>
      </c>
      <c r="J197">
        <f t="shared" si="40"/>
        <v>0.69759716467757127</v>
      </c>
      <c r="K197">
        <f t="shared" si="41"/>
        <v>-0.93015515177521746</v>
      </c>
      <c r="L197">
        <v>1</v>
      </c>
      <c r="M197">
        <f t="shared" si="42"/>
        <v>0.55564754730691035</v>
      </c>
      <c r="N197">
        <f t="shared" si="43"/>
        <v>0.16372696369999998</v>
      </c>
      <c r="O197">
        <f t="shared" si="44"/>
        <v>3.3147176699999996E-2</v>
      </c>
      <c r="P197">
        <f t="shared" si="45"/>
        <v>0.17763346406830713</v>
      </c>
    </row>
    <row r="198" spans="1:16" x14ac:dyDescent="0.3">
      <c r="A198">
        <v>10.097044</v>
      </c>
      <c r="B198">
        <v>0.28842000000000001</v>
      </c>
      <c r="C198">
        <f t="shared" si="36"/>
        <v>2.9121894304800002</v>
      </c>
      <c r="D198">
        <v>1.6299999999999999E-2</v>
      </c>
      <c r="E198">
        <v>3.3E-3</v>
      </c>
      <c r="F198">
        <f t="shared" si="37"/>
        <v>2019.4088000000002</v>
      </c>
      <c r="G198">
        <f t="shared" si="38"/>
        <v>-0.28842000000000001</v>
      </c>
      <c r="H198">
        <f t="shared" si="39"/>
        <v>-582.43788609600006</v>
      </c>
      <c r="I198">
        <v>1</v>
      </c>
      <c r="J198">
        <f t="shared" si="40"/>
        <v>0.70280479530860773</v>
      </c>
      <c r="K198">
        <f t="shared" si="41"/>
        <v>-0.93330515177521745</v>
      </c>
      <c r="L198">
        <v>1</v>
      </c>
      <c r="M198">
        <f t="shared" si="42"/>
        <v>0.5558912644204429</v>
      </c>
      <c r="N198">
        <f t="shared" si="43"/>
        <v>0.16458181719999998</v>
      </c>
      <c r="O198">
        <f t="shared" si="44"/>
        <v>3.3320245200000001E-2</v>
      </c>
      <c r="P198">
        <f t="shared" si="45"/>
        <v>0.17951182495477458</v>
      </c>
    </row>
    <row r="199" spans="1:16" x14ac:dyDescent="0.3">
      <c r="A199">
        <v>10.148472</v>
      </c>
      <c r="B199">
        <v>0.28525</v>
      </c>
      <c r="C199">
        <f t="shared" si="36"/>
        <v>2.894851638</v>
      </c>
      <c r="D199">
        <v>1.6299999999999999E-2</v>
      </c>
      <c r="E199">
        <v>3.3E-3</v>
      </c>
      <c r="F199">
        <f t="shared" si="37"/>
        <v>2029.6944000000001</v>
      </c>
      <c r="G199">
        <f t="shared" si="38"/>
        <v>-0.28525</v>
      </c>
      <c r="H199">
        <f t="shared" si="39"/>
        <v>-578.97032760000002</v>
      </c>
      <c r="I199">
        <v>1</v>
      </c>
      <c r="J199">
        <f t="shared" si="40"/>
        <v>0.70788523984920981</v>
      </c>
      <c r="K199">
        <f t="shared" si="41"/>
        <v>-0.93647515177521745</v>
      </c>
      <c r="L199">
        <v>1</v>
      </c>
      <c r="M199">
        <f t="shared" si="42"/>
        <v>0.55612902922494301</v>
      </c>
      <c r="N199">
        <f t="shared" si="43"/>
        <v>0.16542009359999998</v>
      </c>
      <c r="O199">
        <f t="shared" si="44"/>
        <v>3.3489957600000002E-2</v>
      </c>
      <c r="P199">
        <f t="shared" si="45"/>
        <v>0.18143607135027445</v>
      </c>
    </row>
    <row r="200" spans="1:16" x14ac:dyDescent="0.3">
      <c r="A200">
        <v>10.198881</v>
      </c>
      <c r="B200">
        <v>0.28211999999999998</v>
      </c>
      <c r="C200">
        <f t="shared" si="36"/>
        <v>2.8773083077199999</v>
      </c>
      <c r="D200">
        <v>1.6299999999999999E-2</v>
      </c>
      <c r="E200">
        <v>3.3E-3</v>
      </c>
      <c r="F200">
        <f t="shared" si="37"/>
        <v>2039.7762</v>
      </c>
      <c r="G200">
        <f t="shared" si="38"/>
        <v>-0.28211999999999998</v>
      </c>
      <c r="H200">
        <f t="shared" si="39"/>
        <v>-575.46166154399998</v>
      </c>
      <c r="I200">
        <v>1</v>
      </c>
      <c r="J200">
        <f t="shared" si="40"/>
        <v>0.71284009595564157</v>
      </c>
      <c r="K200">
        <f t="shared" si="41"/>
        <v>-0.93960515177521753</v>
      </c>
      <c r="L200">
        <v>1</v>
      </c>
      <c r="M200">
        <f t="shared" si="42"/>
        <v>0.55636091649072406</v>
      </c>
      <c r="N200">
        <f t="shared" si="43"/>
        <v>0.16624176029999999</v>
      </c>
      <c r="O200">
        <f t="shared" si="44"/>
        <v>3.36563073E-2</v>
      </c>
      <c r="P200">
        <f t="shared" si="45"/>
        <v>0.18334616768449349</v>
      </c>
    </row>
    <row r="201" spans="1:16" x14ac:dyDescent="0.3">
      <c r="A201">
        <v>10.250818000000001</v>
      </c>
      <c r="B201">
        <v>0.27886</v>
      </c>
      <c r="C201">
        <f t="shared" si="36"/>
        <v>2.8585431074800001</v>
      </c>
      <c r="D201">
        <v>1.6299999999999999E-2</v>
      </c>
      <c r="E201">
        <v>3.3E-3</v>
      </c>
      <c r="F201">
        <f t="shared" si="37"/>
        <v>2050.1636000000003</v>
      </c>
      <c r="G201">
        <f t="shared" si="38"/>
        <v>-0.27886</v>
      </c>
      <c r="H201">
        <f t="shared" si="39"/>
        <v>-571.70862149599998</v>
      </c>
      <c r="I201">
        <v>1</v>
      </c>
      <c r="J201">
        <f t="shared" si="40"/>
        <v>0.71791959484412582</v>
      </c>
      <c r="K201">
        <f t="shared" si="41"/>
        <v>-0.94286515177521746</v>
      </c>
      <c r="L201">
        <v>1</v>
      </c>
      <c r="M201">
        <f t="shared" si="42"/>
        <v>0.55659863703870516</v>
      </c>
      <c r="N201">
        <f t="shared" si="43"/>
        <v>0.16708833339999998</v>
      </c>
      <c r="O201">
        <f t="shared" si="44"/>
        <v>3.3827699400000001E-2</v>
      </c>
      <c r="P201">
        <f t="shared" si="45"/>
        <v>0.18535048193651232</v>
      </c>
    </row>
    <row r="202" spans="1:16" x14ac:dyDescent="0.3">
      <c r="A202">
        <v>10.302244999999999</v>
      </c>
      <c r="B202">
        <v>0.27550999999999998</v>
      </c>
      <c r="C202">
        <f t="shared" si="36"/>
        <v>2.8383715199499995</v>
      </c>
      <c r="D202">
        <v>1.6299999999999999E-2</v>
      </c>
      <c r="E202">
        <v>3.3E-3</v>
      </c>
      <c r="F202">
        <f t="shared" si="37"/>
        <v>2060.4489999999996</v>
      </c>
      <c r="G202">
        <f t="shared" si="38"/>
        <v>-0.27550999999999998</v>
      </c>
      <c r="H202">
        <f t="shared" si="39"/>
        <v>-567.67430398999988</v>
      </c>
      <c r="I202">
        <v>1</v>
      </c>
      <c r="J202">
        <f t="shared" si="40"/>
        <v>0.72292392021645435</v>
      </c>
      <c r="K202">
        <f t="shared" si="41"/>
        <v>-0.94621515177521753</v>
      </c>
      <c r="L202">
        <v>1</v>
      </c>
      <c r="M202">
        <f t="shared" si="42"/>
        <v>0.55683283946613005</v>
      </c>
      <c r="N202">
        <f t="shared" si="43"/>
        <v>0.16792659349999997</v>
      </c>
      <c r="O202">
        <f t="shared" si="44"/>
        <v>3.39974085E-2</v>
      </c>
      <c r="P202">
        <f t="shared" si="45"/>
        <v>0.18745831030908752</v>
      </c>
    </row>
    <row r="203" spans="1:16" x14ac:dyDescent="0.3">
      <c r="A203">
        <v>10.354691000000001</v>
      </c>
      <c r="B203">
        <v>0.27244000000000002</v>
      </c>
      <c r="C203">
        <f t="shared" si="36"/>
        <v>2.8210320160400002</v>
      </c>
      <c r="D203">
        <v>1.6299999999999999E-2</v>
      </c>
      <c r="E203">
        <v>3.3E-3</v>
      </c>
      <c r="F203">
        <f t="shared" si="37"/>
        <v>2070.9382000000001</v>
      </c>
      <c r="G203">
        <f t="shared" si="38"/>
        <v>-0.27244000000000002</v>
      </c>
      <c r="H203">
        <f t="shared" si="39"/>
        <v>-564.20640320799998</v>
      </c>
      <c r="I203">
        <v>1</v>
      </c>
      <c r="J203">
        <f t="shared" si="40"/>
        <v>0.72800174131151829</v>
      </c>
      <c r="K203">
        <f t="shared" si="41"/>
        <v>-0.94928515177521744</v>
      </c>
      <c r="L203">
        <v>1</v>
      </c>
      <c r="M203">
        <f t="shared" si="42"/>
        <v>0.55707048149337912</v>
      </c>
      <c r="N203">
        <f t="shared" si="43"/>
        <v>0.16878146329999999</v>
      </c>
      <c r="O203">
        <f t="shared" si="44"/>
        <v>3.41704803E-2</v>
      </c>
      <c r="P203">
        <f t="shared" si="45"/>
        <v>0.18926272668183833</v>
      </c>
    </row>
    <row r="204" spans="1:16" x14ac:dyDescent="0.3">
      <c r="A204">
        <v>10.406628</v>
      </c>
      <c r="B204">
        <v>0.26893</v>
      </c>
      <c r="C204">
        <f t="shared" si="36"/>
        <v>2.7986544680400001</v>
      </c>
      <c r="D204">
        <v>1.6299999999999999E-2</v>
      </c>
      <c r="E204">
        <v>3.3E-3</v>
      </c>
      <c r="F204">
        <f t="shared" si="37"/>
        <v>2081.3256000000001</v>
      </c>
      <c r="G204">
        <f t="shared" si="38"/>
        <v>-0.26893</v>
      </c>
      <c r="H204">
        <f t="shared" si="39"/>
        <v>-559.73089360799997</v>
      </c>
      <c r="I204">
        <v>1</v>
      </c>
      <c r="J204">
        <f t="shared" si="40"/>
        <v>0.7330049984112289</v>
      </c>
      <c r="K204">
        <f t="shared" si="41"/>
        <v>-0.95279515177521745</v>
      </c>
      <c r="L204">
        <v>1</v>
      </c>
      <c r="M204">
        <f t="shared" si="42"/>
        <v>0.55730463392564555</v>
      </c>
      <c r="N204">
        <f t="shared" si="43"/>
        <v>0.16962803639999999</v>
      </c>
      <c r="O204">
        <f t="shared" si="44"/>
        <v>3.4341872400000001E-2</v>
      </c>
      <c r="P204">
        <f t="shared" si="45"/>
        <v>0.19152060904957191</v>
      </c>
    </row>
    <row r="205" spans="1:16" x14ac:dyDescent="0.3">
      <c r="A205">
        <v>10.457037</v>
      </c>
      <c r="B205">
        <v>0.26590999999999998</v>
      </c>
      <c r="C205">
        <f t="shared" si="36"/>
        <v>2.7806307086699995</v>
      </c>
      <c r="D205">
        <v>1.6299999999999999E-2</v>
      </c>
      <c r="E205">
        <v>3.3E-3</v>
      </c>
      <c r="F205">
        <f t="shared" si="37"/>
        <v>2091.4074000000001</v>
      </c>
      <c r="G205">
        <f t="shared" si="38"/>
        <v>-0.26590999999999998</v>
      </c>
      <c r="H205">
        <f t="shared" si="39"/>
        <v>-556.12614173399993</v>
      </c>
      <c r="I205">
        <v>1</v>
      </c>
      <c r="J205">
        <f t="shared" si="40"/>
        <v>0.73783723647579513</v>
      </c>
      <c r="K205">
        <f t="shared" si="41"/>
        <v>-0.95581515177521748</v>
      </c>
      <c r="L205">
        <v>1</v>
      </c>
      <c r="M205">
        <f t="shared" si="42"/>
        <v>0.55753078266706724</v>
      </c>
      <c r="N205">
        <f t="shared" si="43"/>
        <v>0.17044970309999999</v>
      </c>
      <c r="O205">
        <f t="shared" si="44"/>
        <v>3.4508222099999999E-2</v>
      </c>
      <c r="P205">
        <f t="shared" si="45"/>
        <v>0.19332644390815024</v>
      </c>
    </row>
    <row r="206" spans="1:16" x14ac:dyDescent="0.3">
      <c r="A206">
        <v>10.507446</v>
      </c>
      <c r="B206">
        <v>0.26223000000000002</v>
      </c>
      <c r="C206">
        <f t="shared" si="36"/>
        <v>2.7553675645800002</v>
      </c>
      <c r="D206">
        <v>1.6299999999999999E-2</v>
      </c>
      <c r="E206">
        <v>3.3E-3</v>
      </c>
      <c r="F206">
        <f t="shared" si="37"/>
        <v>2101.4892</v>
      </c>
      <c r="G206">
        <f t="shared" si="38"/>
        <v>-0.26223000000000002</v>
      </c>
      <c r="H206">
        <f t="shared" si="39"/>
        <v>-551.07351291600003</v>
      </c>
      <c r="I206">
        <v>1</v>
      </c>
      <c r="J206">
        <f t="shared" si="40"/>
        <v>0.74264623626353321</v>
      </c>
      <c r="K206">
        <f t="shared" si="41"/>
        <v>-0.95949515177521749</v>
      </c>
      <c r="L206">
        <v>1</v>
      </c>
      <c r="M206">
        <f t="shared" si="42"/>
        <v>0.55775584385713339</v>
      </c>
      <c r="N206">
        <f t="shared" si="43"/>
        <v>0.17127136979999999</v>
      </c>
      <c r="O206">
        <f t="shared" si="44"/>
        <v>3.4674571799999998E-2</v>
      </c>
      <c r="P206">
        <f t="shared" si="45"/>
        <v>0.19579336631808411</v>
      </c>
    </row>
    <row r="207" spans="1:16" x14ac:dyDescent="0.3">
      <c r="A207">
        <v>10.558363</v>
      </c>
      <c r="B207">
        <v>0.25913000000000003</v>
      </c>
      <c r="C207">
        <f t="shared" si="36"/>
        <v>2.7359886041900001</v>
      </c>
      <c r="D207">
        <v>1.6299999999999999E-2</v>
      </c>
      <c r="E207">
        <v>3.3E-3</v>
      </c>
      <c r="F207">
        <f t="shared" si="37"/>
        <v>2111.6725999999999</v>
      </c>
      <c r="G207">
        <f t="shared" si="38"/>
        <v>-0.25913000000000003</v>
      </c>
      <c r="H207">
        <f t="shared" si="39"/>
        <v>-547.19772083800001</v>
      </c>
      <c r="I207">
        <v>1</v>
      </c>
      <c r="J207">
        <f t="shared" si="40"/>
        <v>0.74748033488794341</v>
      </c>
      <c r="K207">
        <f t="shared" si="41"/>
        <v>-0.96259515177521737</v>
      </c>
      <c r="L207">
        <v>1</v>
      </c>
      <c r="M207">
        <f t="shared" si="42"/>
        <v>0.55798207967275582</v>
      </c>
      <c r="N207">
        <f t="shared" si="43"/>
        <v>0.1721013169</v>
      </c>
      <c r="O207">
        <f t="shared" si="44"/>
        <v>3.4842597900000001E-2</v>
      </c>
      <c r="P207">
        <f t="shared" si="45"/>
        <v>0.19766915730246157</v>
      </c>
    </row>
    <row r="208" spans="1:16" x14ac:dyDescent="0.3">
      <c r="A208">
        <v>10.610810000000001</v>
      </c>
      <c r="B208">
        <v>0.25559999999999999</v>
      </c>
      <c r="C208">
        <f t="shared" si="36"/>
        <v>2.7121230359999999</v>
      </c>
      <c r="D208">
        <v>1.6299999999999999E-2</v>
      </c>
      <c r="E208">
        <v>3.3E-3</v>
      </c>
      <c r="F208">
        <f t="shared" si="37"/>
        <v>2122.1620000000003</v>
      </c>
      <c r="G208">
        <f t="shared" si="38"/>
        <v>-0.25559999999999999</v>
      </c>
      <c r="H208">
        <f t="shared" si="39"/>
        <v>-542.42460719999997</v>
      </c>
      <c r="I208">
        <v>1</v>
      </c>
      <c r="J208">
        <f t="shared" si="40"/>
        <v>0.75243538035038049</v>
      </c>
      <c r="K208">
        <f t="shared" si="41"/>
        <v>-0.96612515177521741</v>
      </c>
      <c r="L208">
        <v>1</v>
      </c>
      <c r="M208">
        <f t="shared" si="42"/>
        <v>0.55821397580039778</v>
      </c>
      <c r="N208">
        <f t="shared" si="43"/>
        <v>0.172956203</v>
      </c>
      <c r="O208">
        <f t="shared" si="44"/>
        <v>3.5015673000000004E-2</v>
      </c>
      <c r="P208">
        <f t="shared" si="45"/>
        <v>0.19993929997481963</v>
      </c>
    </row>
    <row r="209" spans="1:16" x14ac:dyDescent="0.3">
      <c r="A209">
        <v>10.662747</v>
      </c>
      <c r="B209">
        <v>0.25241000000000002</v>
      </c>
      <c r="C209">
        <f t="shared" si="36"/>
        <v>2.69138397027</v>
      </c>
      <c r="D209">
        <v>1.6299999999999999E-2</v>
      </c>
      <c r="E209">
        <v>3.3E-3</v>
      </c>
      <c r="F209">
        <f t="shared" si="37"/>
        <v>2132.5493999999999</v>
      </c>
      <c r="G209">
        <f t="shared" si="38"/>
        <v>-0.25241000000000002</v>
      </c>
      <c r="H209">
        <f t="shared" si="39"/>
        <v>-538.27679405399999</v>
      </c>
      <c r="I209">
        <v>1</v>
      </c>
      <c r="J209">
        <f t="shared" si="40"/>
        <v>0.7573181654143305</v>
      </c>
      <c r="K209">
        <f t="shared" si="41"/>
        <v>-0.96931515177521743</v>
      </c>
      <c r="L209">
        <v>1</v>
      </c>
      <c r="M209">
        <f t="shared" si="42"/>
        <v>0.55844249014139069</v>
      </c>
      <c r="N209">
        <f t="shared" si="43"/>
        <v>0.17380277609999997</v>
      </c>
      <c r="O209">
        <f t="shared" si="44"/>
        <v>3.5187065099999998E-2</v>
      </c>
      <c r="P209">
        <f t="shared" si="45"/>
        <v>0.20188282043382677</v>
      </c>
    </row>
    <row r="210" spans="1:16" x14ac:dyDescent="0.3">
      <c r="A210">
        <v>10.669876</v>
      </c>
      <c r="B210">
        <v>0.25155</v>
      </c>
      <c r="C210">
        <f t="shared" si="36"/>
        <v>2.6840073078</v>
      </c>
      <c r="D210">
        <v>1.6299999999999999E-2</v>
      </c>
      <c r="E210">
        <v>3.3E-3</v>
      </c>
      <c r="F210">
        <f t="shared" si="37"/>
        <v>2133.9751999999999</v>
      </c>
      <c r="G210">
        <f t="shared" si="38"/>
        <v>-0.25155</v>
      </c>
      <c r="H210">
        <f t="shared" si="39"/>
        <v>-536.80146156000001</v>
      </c>
      <c r="I210">
        <v>1</v>
      </c>
      <c r="J210">
        <f t="shared" si="40"/>
        <v>0.75798653144371064</v>
      </c>
      <c r="K210">
        <f t="shared" si="41"/>
        <v>-0.97017515177521751</v>
      </c>
      <c r="L210">
        <v>1</v>
      </c>
      <c r="M210">
        <f t="shared" si="42"/>
        <v>0.5584737696715657</v>
      </c>
      <c r="N210">
        <f t="shared" si="43"/>
        <v>0.17391897879999998</v>
      </c>
      <c r="O210">
        <f t="shared" si="44"/>
        <v>3.5210590800000004E-2</v>
      </c>
      <c r="P210">
        <f t="shared" si="45"/>
        <v>0.20257181250365183</v>
      </c>
    </row>
    <row r="211" spans="1:16" x14ac:dyDescent="0.3">
      <c r="C211">
        <f t="shared" si="36"/>
        <v>0</v>
      </c>
      <c r="D211">
        <v>1.6299999999999999E-2</v>
      </c>
      <c r="E211">
        <v>2.8849251857154599E-3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1:16" x14ac:dyDescent="0.3">
      <c r="C212">
        <f t="shared" si="36"/>
        <v>0</v>
      </c>
      <c r="D212">
        <v>1.6299999999999999E-2</v>
      </c>
      <c r="E212">
        <v>2.8849251857154599E-3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1:16" x14ac:dyDescent="0.3">
      <c r="C213">
        <f t="shared" si="36"/>
        <v>0</v>
      </c>
      <c r="D213">
        <v>1.6299999999999999E-2</v>
      </c>
      <c r="E213">
        <v>2.8849251857154599E-3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1:16" x14ac:dyDescent="0.3">
      <c r="C214">
        <f t="shared" si="36"/>
        <v>0</v>
      </c>
      <c r="D214">
        <v>1.6299999999999999E-2</v>
      </c>
      <c r="E214">
        <v>2.8849251857154599E-3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1:16" x14ac:dyDescent="0.3">
      <c r="C215">
        <f t="shared" si="36"/>
        <v>0</v>
      </c>
      <c r="D215">
        <v>1.6299999999999999E-2</v>
      </c>
      <c r="E215">
        <v>2.8849251857154599E-3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1:16" x14ac:dyDescent="0.3">
      <c r="C216">
        <f t="shared" si="36"/>
        <v>0</v>
      </c>
      <c r="D216">
        <v>1.6299999999999999E-2</v>
      </c>
      <c r="E216">
        <v>2.8849251857154599E-3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1:16" x14ac:dyDescent="0.3">
      <c r="C217">
        <f t="shared" si="36"/>
        <v>0</v>
      </c>
      <c r="D217">
        <v>1.6299999999999999E-2</v>
      </c>
      <c r="E217">
        <v>2.8849251857154599E-3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1:16" x14ac:dyDescent="0.3">
      <c r="C218">
        <f t="shared" si="36"/>
        <v>0</v>
      </c>
      <c r="D218">
        <v>1.6299999999999999E-2</v>
      </c>
      <c r="E218">
        <v>2.8849251857154599E-3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1:16" x14ac:dyDescent="0.3">
      <c r="C219">
        <f t="shared" si="36"/>
        <v>0</v>
      </c>
      <c r="D219">
        <v>1.6299999999999999E-2</v>
      </c>
      <c r="E219">
        <v>2.8849251857154599E-3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1:16" x14ac:dyDescent="0.3">
      <c r="C220">
        <f t="shared" si="36"/>
        <v>0</v>
      </c>
      <c r="D220">
        <v>1.6299999999999999E-2</v>
      </c>
      <c r="E220">
        <v>2.8849251857154599E-3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1:16" x14ac:dyDescent="0.3">
      <c r="C221">
        <f t="shared" si="36"/>
        <v>0</v>
      </c>
      <c r="D221">
        <v>1.6299999999999999E-2</v>
      </c>
      <c r="E221">
        <v>2.8849251857154599E-3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1:16" x14ac:dyDescent="0.3">
      <c r="C222">
        <f t="shared" si="36"/>
        <v>0</v>
      </c>
      <c r="D222">
        <v>1.6299999999999999E-2</v>
      </c>
      <c r="E222">
        <v>2.8849251857154599E-3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1:16" x14ac:dyDescent="0.3">
      <c r="C223">
        <f t="shared" si="36"/>
        <v>0</v>
      </c>
      <c r="D223">
        <v>1.6299999999999999E-2</v>
      </c>
      <c r="E223">
        <v>2.8849251857154599E-3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1:16" x14ac:dyDescent="0.3">
      <c r="C224">
        <f t="shared" si="36"/>
        <v>0</v>
      </c>
      <c r="D224">
        <v>1.6299999999999999E-2</v>
      </c>
      <c r="E224">
        <v>2.8849251857154599E-3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1.6299999999999999E-2</v>
      </c>
      <c r="E225">
        <v>2.8849251857154599E-3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1.6299999999999999E-2</v>
      </c>
      <c r="E226">
        <v>2.8849251857154599E-3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1.6299999999999999E-2</v>
      </c>
      <c r="E227">
        <v>2.8849251857154599E-3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1.6299999999999999E-2</v>
      </c>
      <c r="E228">
        <v>2.8849251857154599E-3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1.6299999999999999E-2</v>
      </c>
      <c r="E229">
        <v>2.8849251857154599E-3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1.6299999999999999E-2</v>
      </c>
      <c r="E230">
        <v>2.8849251857154599E-3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1.6299999999999999E-2</v>
      </c>
      <c r="E231">
        <v>2.8849251857154599E-3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1.6299999999999999E-2</v>
      </c>
      <c r="E232">
        <v>2.8849251857154599E-3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1.6299999999999999E-2</v>
      </c>
      <c r="E233">
        <v>2.8849251857154599E-3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1.6299999999999999E-2</v>
      </c>
      <c r="E234">
        <v>2.8849251857154599E-3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1.6299999999999999E-2</v>
      </c>
      <c r="E235">
        <v>2.8849251857154599E-3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1.6299999999999999E-2</v>
      </c>
      <c r="E236">
        <v>2.8849251857154599E-3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1.6299999999999999E-2</v>
      </c>
      <c r="E237">
        <v>2.8849251857154599E-3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1.6299999999999999E-2</v>
      </c>
      <c r="E238">
        <v>2.8849251857154599E-3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1.6299999999999999E-2</v>
      </c>
      <c r="E239">
        <v>2.8849251857154599E-3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1.6299999999999999E-2</v>
      </c>
      <c r="E240">
        <v>2.8849251857154599E-3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1.6299999999999999E-2</v>
      </c>
      <c r="E241">
        <v>2.8849251857154599E-3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1.6299999999999999E-2</v>
      </c>
      <c r="E242">
        <v>2.8849251857154599E-3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1.6299999999999999E-2</v>
      </c>
      <c r="E243">
        <v>2.8849251857154599E-3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1.6299999999999999E-2</v>
      </c>
      <c r="E244">
        <v>2.8849251857154599E-3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1.6299999999999999E-2</v>
      </c>
      <c r="E245">
        <v>2.8849251857154599E-3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1.6299999999999999E-2</v>
      </c>
      <c r="E246">
        <v>2.8849251857154599E-3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1.6299999999999999E-2</v>
      </c>
      <c r="E247">
        <v>2.8849251857154599E-3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1.6299999999999999E-2</v>
      </c>
      <c r="E248">
        <v>2.8849251857154599E-3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1.6299999999999999E-2</v>
      </c>
      <c r="E249">
        <v>2.8849251857154599E-3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1.6299999999999999E-2</v>
      </c>
      <c r="E250">
        <v>2.8849251857154599E-3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1.6299999999999999E-2</v>
      </c>
      <c r="E251">
        <v>2.8849251857154599E-3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1.6299999999999999E-2</v>
      </c>
      <c r="E252">
        <v>2.8849251857154599E-3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1.6299999999999999E-2</v>
      </c>
      <c r="E253">
        <v>2.8849251857154599E-3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1.6299999999999999E-2</v>
      </c>
      <c r="E254">
        <v>2.8849251857154599E-3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1.6299999999999999E-2</v>
      </c>
      <c r="E255">
        <v>2.8849251857154599E-3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1.6299999999999999E-2</v>
      </c>
      <c r="E256">
        <v>2.8849251857154599E-3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1.6299999999999999E-2</v>
      </c>
      <c r="E257">
        <v>2.8849251857154599E-3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1.6299999999999999E-2</v>
      </c>
      <c r="E258">
        <v>2.8849251857154599E-3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1.6299999999999999E-2</v>
      </c>
      <c r="E259">
        <v>2.8849251857154599E-3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1.6299999999999999E-2</v>
      </c>
      <c r="E260">
        <v>2.8849251857154599E-3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1.6299999999999999E-2</v>
      </c>
      <c r="E261">
        <v>2.8849251857154599E-3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1.6299999999999999E-2</v>
      </c>
      <c r="E262">
        <v>2.8849251857154599E-3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1.6299999999999999E-2</v>
      </c>
      <c r="E263">
        <v>2.8849251857154599E-3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1.6299999999999999E-2</v>
      </c>
      <c r="E264">
        <v>2.8849251857154599E-3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1.6299999999999999E-2</v>
      </c>
      <c r="E265">
        <v>2.8849251857154599E-3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1.6299999999999999E-2</v>
      </c>
      <c r="E266">
        <v>2.8849251857154599E-3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1.6299999999999999E-2</v>
      </c>
      <c r="E267">
        <v>2.8849251857154599E-3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1.6299999999999999E-2</v>
      </c>
      <c r="E268">
        <v>2.8849251857154599E-3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1.6299999999999999E-2</v>
      </c>
      <c r="E269">
        <v>2.8849251857154599E-3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1.6299999999999999E-2</v>
      </c>
      <c r="E270">
        <v>2.8849251857154599E-3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1.6299999999999999E-2</v>
      </c>
      <c r="E271">
        <v>2.8849251857154599E-3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1.6299999999999999E-2</v>
      </c>
      <c r="E272">
        <v>2.8849251857154599E-3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1.6299999999999999E-2</v>
      </c>
      <c r="E273">
        <v>2.8849251857154599E-3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1.6299999999999999E-2</v>
      </c>
      <c r="E274">
        <v>2.8849251857154599E-3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1.6299999999999999E-2</v>
      </c>
      <c r="E275">
        <v>2.8849251857154599E-3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1.6299999999999999E-2</v>
      </c>
      <c r="E276">
        <v>2.8849251857154599E-3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1.6299999999999999E-2</v>
      </c>
      <c r="E277">
        <v>2.8849251857154599E-3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1.6299999999999999E-2</v>
      </c>
      <c r="E278">
        <v>2.8849251857154599E-3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1.6299999999999999E-2</v>
      </c>
      <c r="E279">
        <v>2.8849251857154599E-3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1.6299999999999999E-2</v>
      </c>
      <c r="E280">
        <v>2.8849251857154599E-3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1.6299999999999999E-2</v>
      </c>
      <c r="E281">
        <v>2.8849251857154599E-3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1.6299999999999999E-2</v>
      </c>
      <c r="E282">
        <v>2.8849251857154599E-3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1.6299999999999999E-2</v>
      </c>
      <c r="E283">
        <v>2.8849251857154599E-3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1.6299999999999999E-2</v>
      </c>
      <c r="E284">
        <v>2.8849251857154599E-3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1.6299999999999999E-2</v>
      </c>
      <c r="E285">
        <v>2.8849251857154599E-3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1.6299999999999999E-2</v>
      </c>
      <c r="E286">
        <v>2.8849251857154599E-3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1.6299999999999999E-2</v>
      </c>
      <c r="E287">
        <v>2.8849251857154599E-3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1.6299999999999999E-2</v>
      </c>
      <c r="E288">
        <v>2.8849251857154599E-3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1.6299999999999999E-2</v>
      </c>
      <c r="E289">
        <v>2.8849251857154599E-3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1.6299999999999999E-2</v>
      </c>
      <c r="E290">
        <v>2.8849251857154599E-3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1.6299999999999999E-2</v>
      </c>
      <c r="E291">
        <v>2.8849251857154599E-3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1.6299999999999999E-2</v>
      </c>
      <c r="E292">
        <v>2.8849251857154599E-3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1.6299999999999999E-2</v>
      </c>
      <c r="E293">
        <v>2.8849251857154599E-3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1.6299999999999999E-2</v>
      </c>
      <c r="E294">
        <v>2.8849251857154599E-3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1.6299999999999999E-2</v>
      </c>
      <c r="E295">
        <v>2.8849251857154599E-3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1.6299999999999999E-2</v>
      </c>
      <c r="E296">
        <v>2.8849251857154599E-3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1.6299999999999999E-2</v>
      </c>
      <c r="E297">
        <v>2.8849251857154599E-3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1.6299999999999999E-2</v>
      </c>
      <c r="E298">
        <v>2.8849251857154599E-3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1.6299999999999999E-2</v>
      </c>
      <c r="E299">
        <v>2.8849251857154599E-3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1.6299999999999999E-2</v>
      </c>
      <c r="E300">
        <v>2.8849251857154599E-3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1.6299999999999999E-2</v>
      </c>
      <c r="E301">
        <v>2.8849251857154599E-3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1.6299999999999999E-2</v>
      </c>
      <c r="E302">
        <v>2.8849251857154599E-3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1.6299999999999999E-2</v>
      </c>
      <c r="E303">
        <v>2.8849251857154599E-3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2026-06-03T03:49:24Z</dcterms:modified>
</cp:coreProperties>
</file>