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ential DATA raw final\O2 BP\BOL\Edited\"/>
    </mc:Choice>
  </mc:AlternateContent>
  <xr:revisionPtr revIDLastSave="0" documentId="13_ncr:1_{FBB94ED8-A4B6-4E56-A562-B68C3CD569B0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I194" i="2"/>
  <c r="K194" i="2" s="1"/>
  <c r="F194" i="2"/>
  <c r="B194" i="2"/>
  <c r="E194" i="2" s="1"/>
  <c r="O193" i="2"/>
  <c r="I193" i="2"/>
  <c r="K193" i="2" s="1"/>
  <c r="F193" i="2"/>
  <c r="E193" i="2"/>
  <c r="B193" i="2"/>
  <c r="O192" i="2"/>
  <c r="K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B190" i="2"/>
  <c r="E190" i="2" s="1"/>
  <c r="O189" i="2"/>
  <c r="I189" i="2"/>
  <c r="F189" i="2"/>
  <c r="E189" i="2"/>
  <c r="B189" i="2"/>
  <c r="O188" i="2"/>
  <c r="K188" i="2"/>
  <c r="I188" i="2"/>
  <c r="F188" i="2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B186" i="2"/>
  <c r="E186" i="2" s="1"/>
  <c r="O185" i="2"/>
  <c r="I185" i="2"/>
  <c r="F185" i="2"/>
  <c r="E185" i="2"/>
  <c r="B185" i="2"/>
  <c r="O184" i="2"/>
  <c r="K184" i="2"/>
  <c r="I184" i="2"/>
  <c r="F184" i="2"/>
  <c r="E184" i="2"/>
  <c r="B184" i="2"/>
  <c r="O183" i="2"/>
  <c r="K183" i="2"/>
  <c r="I183" i="2"/>
  <c r="F183" i="2"/>
  <c r="B183" i="2"/>
  <c r="E183" i="2" s="1"/>
  <c r="O182" i="2"/>
  <c r="I182" i="2"/>
  <c r="K182" i="2" s="1"/>
  <c r="F182" i="2"/>
  <c r="E182" i="2"/>
  <c r="B182" i="2"/>
  <c r="O181" i="2"/>
  <c r="I181" i="2"/>
  <c r="F181" i="2"/>
  <c r="K181" i="2" s="1"/>
  <c r="E181" i="2"/>
  <c r="B181" i="2"/>
  <c r="O180" i="2"/>
  <c r="K180" i="2"/>
  <c r="I180" i="2"/>
  <c r="F180" i="2"/>
  <c r="E180" i="2"/>
  <c r="B180" i="2"/>
  <c r="O179" i="2"/>
  <c r="K179" i="2"/>
  <c r="I179" i="2"/>
  <c r="F179" i="2"/>
  <c r="B179" i="2"/>
  <c r="E179" i="2" s="1"/>
  <c r="O178" i="2"/>
  <c r="I178" i="2"/>
  <c r="K178" i="2" s="1"/>
  <c r="F178" i="2"/>
  <c r="E178" i="2"/>
  <c r="B178" i="2"/>
  <c r="O177" i="2"/>
  <c r="I177" i="2"/>
  <c r="F177" i="2"/>
  <c r="K177" i="2" s="1"/>
  <c r="E177" i="2"/>
  <c r="B177" i="2"/>
  <c r="O176" i="2"/>
  <c r="K176" i="2"/>
  <c r="I176" i="2"/>
  <c r="F176" i="2"/>
  <c r="E176" i="2"/>
  <c r="B176" i="2"/>
  <c r="O175" i="2"/>
  <c r="K175" i="2"/>
  <c r="I175" i="2"/>
  <c r="F175" i="2"/>
  <c r="B175" i="2"/>
  <c r="E175" i="2" s="1"/>
  <c r="O174" i="2"/>
  <c r="I174" i="2"/>
  <c r="K174" i="2" s="1"/>
  <c r="F174" i="2"/>
  <c r="E174" i="2"/>
  <c r="B174" i="2"/>
  <c r="O173" i="2"/>
  <c r="I173" i="2"/>
  <c r="F173" i="2"/>
  <c r="K173" i="2" s="1"/>
  <c r="E173" i="2"/>
  <c r="B173" i="2"/>
  <c r="O172" i="2"/>
  <c r="K172" i="2"/>
  <c r="I172" i="2"/>
  <c r="F172" i="2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E170" i="2"/>
  <c r="B170" i="2"/>
  <c r="O169" i="2"/>
  <c r="I169" i="2"/>
  <c r="F169" i="2"/>
  <c r="K169" i="2" s="1"/>
  <c r="E169" i="2"/>
  <c r="B169" i="2"/>
  <c r="O168" i="2"/>
  <c r="K168" i="2"/>
  <c r="I168" i="2"/>
  <c r="F168" i="2"/>
  <c r="E168" i="2"/>
  <c r="B168" i="2"/>
  <c r="O167" i="2"/>
  <c r="K167" i="2"/>
  <c r="I167" i="2"/>
  <c r="F167" i="2"/>
  <c r="B167" i="2"/>
  <c r="E167" i="2" s="1"/>
  <c r="O166" i="2"/>
  <c r="I166" i="2"/>
  <c r="K166" i="2" s="1"/>
  <c r="F166" i="2"/>
  <c r="E166" i="2"/>
  <c r="B166" i="2"/>
  <c r="O165" i="2"/>
  <c r="I165" i="2"/>
  <c r="F165" i="2"/>
  <c r="K165" i="2" s="1"/>
  <c r="E165" i="2"/>
  <c r="B165" i="2"/>
  <c r="O164" i="2"/>
  <c r="K164" i="2"/>
  <c r="I164" i="2"/>
  <c r="F164" i="2"/>
  <c r="E164" i="2"/>
  <c r="B164" i="2"/>
  <c r="O163" i="2"/>
  <c r="K163" i="2"/>
  <c r="I163" i="2"/>
  <c r="F163" i="2"/>
  <c r="B163" i="2"/>
  <c r="E163" i="2" s="1"/>
  <c r="O162" i="2"/>
  <c r="I162" i="2"/>
  <c r="K162" i="2" s="1"/>
  <c r="F162" i="2"/>
  <c r="E162" i="2"/>
  <c r="B162" i="2"/>
  <c r="O161" i="2"/>
  <c r="I161" i="2"/>
  <c r="F161" i="2"/>
  <c r="K161" i="2" s="1"/>
  <c r="E161" i="2"/>
  <c r="B161" i="2"/>
  <c r="O160" i="2"/>
  <c r="K160" i="2"/>
  <c r="I160" i="2"/>
  <c r="F160" i="2"/>
  <c r="E160" i="2"/>
  <c r="B160" i="2"/>
  <c r="O159" i="2"/>
  <c r="K159" i="2"/>
  <c r="I159" i="2"/>
  <c r="F159" i="2"/>
  <c r="B159" i="2"/>
  <c r="E159" i="2" s="1"/>
  <c r="O158" i="2"/>
  <c r="I158" i="2"/>
  <c r="K158" i="2" s="1"/>
  <c r="F158" i="2"/>
  <c r="E158" i="2"/>
  <c r="B158" i="2"/>
  <c r="O157" i="2"/>
  <c r="I157" i="2"/>
  <c r="F157" i="2"/>
  <c r="K157" i="2" s="1"/>
  <c r="E157" i="2"/>
  <c r="B157" i="2"/>
  <c r="O156" i="2"/>
  <c r="K156" i="2"/>
  <c r="I156" i="2"/>
  <c r="F156" i="2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E154" i="2"/>
  <c r="B154" i="2"/>
  <c r="O153" i="2"/>
  <c r="I153" i="2"/>
  <c r="F153" i="2"/>
  <c r="K153" i="2" s="1"/>
  <c r="E153" i="2"/>
  <c r="B153" i="2"/>
  <c r="O152" i="2"/>
  <c r="K152" i="2"/>
  <c r="I152" i="2"/>
  <c r="F152" i="2"/>
  <c r="E152" i="2"/>
  <c r="B152" i="2"/>
  <c r="O151" i="2"/>
  <c r="K151" i="2"/>
  <c r="I151" i="2"/>
  <c r="F151" i="2"/>
  <c r="B151" i="2"/>
  <c r="E151" i="2" s="1"/>
  <c r="O150" i="2"/>
  <c r="I150" i="2"/>
  <c r="K150" i="2" s="1"/>
  <c r="F150" i="2"/>
  <c r="E150" i="2"/>
  <c r="B150" i="2"/>
  <c r="O149" i="2"/>
  <c r="I149" i="2"/>
  <c r="F149" i="2"/>
  <c r="K149" i="2" s="1"/>
  <c r="E149" i="2"/>
  <c r="B149" i="2"/>
  <c r="O148" i="2"/>
  <c r="K148" i="2"/>
  <c r="I148" i="2"/>
  <c r="F148" i="2"/>
  <c r="E148" i="2"/>
  <c r="B148" i="2"/>
  <c r="O147" i="2"/>
  <c r="K147" i="2"/>
  <c r="I147" i="2"/>
  <c r="F147" i="2"/>
  <c r="B147" i="2"/>
  <c r="E147" i="2" s="1"/>
  <c r="O146" i="2"/>
  <c r="I146" i="2"/>
  <c r="K146" i="2" s="1"/>
  <c r="F146" i="2"/>
  <c r="E146" i="2"/>
  <c r="B146" i="2"/>
  <c r="O145" i="2"/>
  <c r="I145" i="2"/>
  <c r="F145" i="2"/>
  <c r="K145" i="2" s="1"/>
  <c r="E145" i="2"/>
  <c r="B145" i="2"/>
  <c r="O144" i="2"/>
  <c r="K144" i="2"/>
  <c r="I144" i="2"/>
  <c r="F144" i="2"/>
  <c r="E144" i="2"/>
  <c r="B144" i="2"/>
  <c r="O143" i="2"/>
  <c r="K143" i="2"/>
  <c r="I143" i="2"/>
  <c r="F143" i="2"/>
  <c r="B143" i="2"/>
  <c r="E143" i="2" s="1"/>
  <c r="O142" i="2"/>
  <c r="I142" i="2"/>
  <c r="K142" i="2" s="1"/>
  <c r="F142" i="2"/>
  <c r="E142" i="2"/>
  <c r="B142" i="2"/>
  <c r="O141" i="2"/>
  <c r="I141" i="2"/>
  <c r="F141" i="2"/>
  <c r="K141" i="2" s="1"/>
  <c r="E141" i="2"/>
  <c r="B141" i="2"/>
  <c r="O140" i="2"/>
  <c r="K140" i="2"/>
  <c r="I140" i="2"/>
  <c r="F140" i="2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E138" i="2"/>
  <c r="B138" i="2"/>
  <c r="O137" i="2"/>
  <c r="I137" i="2"/>
  <c r="F137" i="2"/>
  <c r="K137" i="2" s="1"/>
  <c r="E137" i="2"/>
  <c r="B137" i="2"/>
  <c r="O136" i="2"/>
  <c r="K136" i="2"/>
  <c r="I136" i="2"/>
  <c r="F136" i="2"/>
  <c r="E136" i="2"/>
  <c r="B136" i="2"/>
  <c r="O135" i="2"/>
  <c r="K135" i="2"/>
  <c r="I135" i="2"/>
  <c r="F135" i="2"/>
  <c r="B135" i="2"/>
  <c r="E135" i="2" s="1"/>
  <c r="O134" i="2"/>
  <c r="I134" i="2"/>
  <c r="K134" i="2" s="1"/>
  <c r="F134" i="2"/>
  <c r="E134" i="2"/>
  <c r="B134" i="2"/>
  <c r="O133" i="2"/>
  <c r="I133" i="2"/>
  <c r="F133" i="2"/>
  <c r="K133" i="2" s="1"/>
  <c r="E133" i="2"/>
  <c r="B133" i="2"/>
  <c r="O132" i="2"/>
  <c r="K132" i="2"/>
  <c r="I132" i="2"/>
  <c r="F132" i="2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E130" i="2"/>
  <c r="B130" i="2"/>
  <c r="O129" i="2"/>
  <c r="I129" i="2"/>
  <c r="F129" i="2"/>
  <c r="K129" i="2" s="1"/>
  <c r="E129" i="2"/>
  <c r="B129" i="2"/>
  <c r="O128" i="2"/>
  <c r="K128" i="2"/>
  <c r="I128" i="2"/>
  <c r="F128" i="2"/>
  <c r="E128" i="2"/>
  <c r="B128" i="2"/>
  <c r="O127" i="2"/>
  <c r="K127" i="2"/>
  <c r="I127" i="2"/>
  <c r="F127" i="2"/>
  <c r="B127" i="2"/>
  <c r="E127" i="2" s="1"/>
  <c r="O126" i="2"/>
  <c r="I126" i="2"/>
  <c r="K126" i="2" s="1"/>
  <c r="F126" i="2"/>
  <c r="E126" i="2"/>
  <c r="B126" i="2"/>
  <c r="O125" i="2"/>
  <c r="I125" i="2"/>
  <c r="F125" i="2"/>
  <c r="K125" i="2" s="1"/>
  <c r="E125" i="2"/>
  <c r="B125" i="2"/>
  <c r="O124" i="2"/>
  <c r="K124" i="2"/>
  <c r="I124" i="2"/>
  <c r="F124" i="2"/>
  <c r="E124" i="2"/>
  <c r="B124" i="2"/>
  <c r="O123" i="2"/>
  <c r="K123" i="2"/>
  <c r="I123" i="2"/>
  <c r="F123" i="2"/>
  <c r="B123" i="2"/>
  <c r="E123" i="2" s="1"/>
  <c r="O122" i="2"/>
  <c r="I122" i="2"/>
  <c r="K122" i="2" s="1"/>
  <c r="F122" i="2"/>
  <c r="E122" i="2"/>
  <c r="B122" i="2"/>
  <c r="O121" i="2"/>
  <c r="I121" i="2"/>
  <c r="F121" i="2"/>
  <c r="K121" i="2" s="1"/>
  <c r="E121" i="2"/>
  <c r="B121" i="2"/>
  <c r="O120" i="2"/>
  <c r="K120" i="2"/>
  <c r="I120" i="2"/>
  <c r="F120" i="2"/>
  <c r="E120" i="2"/>
  <c r="B120" i="2"/>
  <c r="O119" i="2"/>
  <c r="K119" i="2"/>
  <c r="I119" i="2"/>
  <c r="F119" i="2"/>
  <c r="B119" i="2"/>
  <c r="E119" i="2" s="1"/>
  <c r="O118" i="2"/>
  <c r="I118" i="2"/>
  <c r="K118" i="2" s="1"/>
  <c r="F118" i="2"/>
  <c r="E118" i="2"/>
  <c r="B118" i="2"/>
  <c r="O117" i="2"/>
  <c r="I117" i="2"/>
  <c r="F117" i="2"/>
  <c r="K117" i="2" s="1"/>
  <c r="E117" i="2"/>
  <c r="B117" i="2"/>
  <c r="O116" i="2"/>
  <c r="K116" i="2"/>
  <c r="I116" i="2"/>
  <c r="F116" i="2"/>
  <c r="B116" i="2"/>
  <c r="E116" i="2" s="1"/>
  <c r="O115" i="2"/>
  <c r="K115" i="2"/>
  <c r="I115" i="2"/>
  <c r="F115" i="2"/>
  <c r="B115" i="2"/>
  <c r="E115" i="2" s="1"/>
  <c r="O114" i="2"/>
  <c r="I114" i="2"/>
  <c r="F114" i="2"/>
  <c r="E114" i="2"/>
  <c r="B114" i="2"/>
  <c r="O113" i="2"/>
  <c r="I113" i="2"/>
  <c r="F113" i="2"/>
  <c r="K113" i="2" s="1"/>
  <c r="E113" i="2"/>
  <c r="B113" i="2"/>
  <c r="O112" i="2"/>
  <c r="K112" i="2"/>
  <c r="I112" i="2"/>
  <c r="F112" i="2"/>
  <c r="E112" i="2"/>
  <c r="B112" i="2"/>
  <c r="O111" i="2"/>
  <c r="K111" i="2"/>
  <c r="I111" i="2"/>
  <c r="F111" i="2"/>
  <c r="B111" i="2"/>
  <c r="E111" i="2" s="1"/>
  <c r="O110" i="2"/>
  <c r="I110" i="2"/>
  <c r="F110" i="2"/>
  <c r="E110" i="2"/>
  <c r="B110" i="2"/>
  <c r="O109" i="2"/>
  <c r="K109" i="2"/>
  <c r="I109" i="2"/>
  <c r="F109" i="2"/>
  <c r="B109" i="2"/>
  <c r="E109" i="2" s="1"/>
  <c r="O108" i="2"/>
  <c r="K108" i="2"/>
  <c r="I108" i="2"/>
  <c r="F108" i="2"/>
  <c r="B108" i="2"/>
  <c r="E108" i="2" s="1"/>
  <c r="O107" i="2"/>
  <c r="I107" i="2"/>
  <c r="F107" i="2"/>
  <c r="K107" i="2" s="1"/>
  <c r="B107" i="2"/>
  <c r="E107" i="2" s="1"/>
  <c r="O106" i="2"/>
  <c r="I106" i="2"/>
  <c r="F106" i="2"/>
  <c r="E106" i="2"/>
  <c r="B106" i="2"/>
  <c r="O105" i="2"/>
  <c r="I105" i="2"/>
  <c r="F105" i="2"/>
  <c r="K105" i="2" s="1"/>
  <c r="E105" i="2"/>
  <c r="B105" i="2"/>
  <c r="O104" i="2"/>
  <c r="K104" i="2"/>
  <c r="I104" i="2"/>
  <c r="F104" i="2"/>
  <c r="E104" i="2"/>
  <c r="B104" i="2"/>
  <c r="O103" i="2"/>
  <c r="I103" i="2"/>
  <c r="F103" i="2"/>
  <c r="B103" i="2"/>
  <c r="E103" i="2" s="1"/>
  <c r="O102" i="2"/>
  <c r="K102" i="2"/>
  <c r="I102" i="2"/>
  <c r="F102" i="2"/>
  <c r="B102" i="2"/>
  <c r="E102" i="2" s="1"/>
  <c r="O101" i="2"/>
  <c r="I101" i="2"/>
  <c r="K101" i="2" s="1"/>
  <c r="F101" i="2"/>
  <c r="B101" i="2"/>
  <c r="E101" i="2" s="1"/>
  <c r="O100" i="2"/>
  <c r="I100" i="2"/>
  <c r="K100" i="2" s="1"/>
  <c r="F100" i="2"/>
  <c r="E100" i="2"/>
  <c r="B100" i="2"/>
  <c r="O99" i="2"/>
  <c r="I99" i="2"/>
  <c r="F99" i="2"/>
  <c r="K99" i="2" s="1"/>
  <c r="E99" i="2"/>
  <c r="B99" i="2"/>
  <c r="O98" i="2"/>
  <c r="K98" i="2"/>
  <c r="I98" i="2"/>
  <c r="F98" i="2"/>
  <c r="B98" i="2"/>
  <c r="E98" i="2" s="1"/>
  <c r="O97" i="2"/>
  <c r="I97" i="2"/>
  <c r="K97" i="2" s="1"/>
  <c r="F97" i="2"/>
  <c r="B97" i="2"/>
  <c r="E97" i="2" s="1"/>
  <c r="O96" i="2"/>
  <c r="I96" i="2"/>
  <c r="F96" i="2"/>
  <c r="E96" i="2"/>
  <c r="B96" i="2"/>
  <c r="O95" i="2"/>
  <c r="I95" i="2"/>
  <c r="F95" i="2"/>
  <c r="K95" i="2" s="1"/>
  <c r="E95" i="2"/>
  <c r="B95" i="2"/>
  <c r="O94" i="2"/>
  <c r="K94" i="2"/>
  <c r="I94" i="2"/>
  <c r="F94" i="2"/>
  <c r="B94" i="2"/>
  <c r="E94" i="2" s="1"/>
  <c r="O93" i="2"/>
  <c r="K93" i="2"/>
  <c r="I93" i="2"/>
  <c r="F93" i="2"/>
  <c r="B93" i="2"/>
  <c r="E93" i="2" s="1"/>
  <c r="O92" i="2"/>
  <c r="I92" i="2"/>
  <c r="F92" i="2"/>
  <c r="E92" i="2"/>
  <c r="B92" i="2"/>
  <c r="O91" i="2"/>
  <c r="I91" i="2"/>
  <c r="F91" i="2"/>
  <c r="K91" i="2" s="1"/>
  <c r="E91" i="2"/>
  <c r="B91" i="2"/>
  <c r="O90" i="2"/>
  <c r="K90" i="2"/>
  <c r="I90" i="2"/>
  <c r="F90" i="2"/>
  <c r="E90" i="2"/>
  <c r="B90" i="2"/>
  <c r="O89" i="2"/>
  <c r="K89" i="2"/>
  <c r="I89" i="2"/>
  <c r="F89" i="2"/>
  <c r="B89" i="2"/>
  <c r="E89" i="2" s="1"/>
  <c r="O88" i="2"/>
  <c r="I88" i="2"/>
  <c r="K88" i="2" s="1"/>
  <c r="F88" i="2"/>
  <c r="E88" i="2"/>
  <c r="B88" i="2"/>
  <c r="O87" i="2"/>
  <c r="I87" i="2"/>
  <c r="F87" i="2"/>
  <c r="K87" i="2" s="1"/>
  <c r="E87" i="2"/>
  <c r="B87" i="2"/>
  <c r="O86" i="2"/>
  <c r="K86" i="2"/>
  <c r="I86" i="2"/>
  <c r="F86" i="2"/>
  <c r="B86" i="2"/>
  <c r="E86" i="2" s="1"/>
  <c r="O85" i="2"/>
  <c r="I85" i="2"/>
  <c r="K85" i="2" s="1"/>
  <c r="F85" i="2"/>
  <c r="B85" i="2"/>
  <c r="E85" i="2" s="1"/>
  <c r="O84" i="2"/>
  <c r="I84" i="2"/>
  <c r="K84" i="2" s="1"/>
  <c r="F84" i="2"/>
  <c r="E84" i="2"/>
  <c r="B84" i="2"/>
  <c r="O83" i="2"/>
  <c r="I83" i="2"/>
  <c r="F83" i="2"/>
  <c r="K83" i="2" s="1"/>
  <c r="E83" i="2"/>
  <c r="B83" i="2"/>
  <c r="O82" i="2"/>
  <c r="K82" i="2"/>
  <c r="I82" i="2"/>
  <c r="F82" i="2"/>
  <c r="B82" i="2"/>
  <c r="E82" i="2" s="1"/>
  <c r="O81" i="2"/>
  <c r="I81" i="2"/>
  <c r="K81" i="2" s="1"/>
  <c r="F81" i="2"/>
  <c r="B81" i="2"/>
  <c r="E81" i="2" s="1"/>
  <c r="O80" i="2"/>
  <c r="I80" i="2"/>
  <c r="F80" i="2"/>
  <c r="E80" i="2"/>
  <c r="B80" i="2"/>
  <c r="O79" i="2"/>
  <c r="I79" i="2"/>
  <c r="F79" i="2"/>
  <c r="K79" i="2" s="1"/>
  <c r="E79" i="2"/>
  <c r="B79" i="2"/>
  <c r="O78" i="2"/>
  <c r="K78" i="2"/>
  <c r="I78" i="2"/>
  <c r="F78" i="2"/>
  <c r="B78" i="2"/>
  <c r="E78" i="2" s="1"/>
  <c r="O77" i="2"/>
  <c r="K77" i="2"/>
  <c r="I77" i="2"/>
  <c r="F77" i="2"/>
  <c r="B77" i="2"/>
  <c r="E77" i="2" s="1"/>
  <c r="O76" i="2"/>
  <c r="I76" i="2"/>
  <c r="F76" i="2"/>
  <c r="E76" i="2"/>
  <c r="B76" i="2"/>
  <c r="O75" i="2"/>
  <c r="I75" i="2"/>
  <c r="F75" i="2"/>
  <c r="K75" i="2" s="1"/>
  <c r="E75" i="2"/>
  <c r="B75" i="2"/>
  <c r="O74" i="2"/>
  <c r="K74" i="2"/>
  <c r="I74" i="2"/>
  <c r="F74" i="2"/>
  <c r="E74" i="2"/>
  <c r="B74" i="2"/>
  <c r="O73" i="2"/>
  <c r="K73" i="2"/>
  <c r="I73" i="2"/>
  <c r="F73" i="2"/>
  <c r="B73" i="2"/>
  <c r="E73" i="2" s="1"/>
  <c r="O72" i="2"/>
  <c r="I72" i="2"/>
  <c r="K72" i="2" s="1"/>
  <c r="F72" i="2"/>
  <c r="E72" i="2"/>
  <c r="B72" i="2"/>
  <c r="O71" i="2"/>
  <c r="I71" i="2"/>
  <c r="F71" i="2"/>
  <c r="K71" i="2" s="1"/>
  <c r="E71" i="2"/>
  <c r="B71" i="2"/>
  <c r="O70" i="2"/>
  <c r="K70" i="2"/>
  <c r="I70" i="2"/>
  <c r="F70" i="2"/>
  <c r="B70" i="2"/>
  <c r="E70" i="2" s="1"/>
  <c r="O69" i="2"/>
  <c r="I69" i="2"/>
  <c r="K69" i="2" s="1"/>
  <c r="F69" i="2"/>
  <c r="B69" i="2"/>
  <c r="E69" i="2" s="1"/>
  <c r="O68" i="2"/>
  <c r="I68" i="2"/>
  <c r="K68" i="2" s="1"/>
  <c r="F68" i="2"/>
  <c r="E68" i="2"/>
  <c r="B68" i="2"/>
  <c r="O67" i="2"/>
  <c r="I67" i="2"/>
  <c r="F67" i="2"/>
  <c r="K67" i="2" s="1"/>
  <c r="E67" i="2"/>
  <c r="B67" i="2"/>
  <c r="O66" i="2"/>
  <c r="K66" i="2"/>
  <c r="I66" i="2"/>
  <c r="F66" i="2"/>
  <c r="B66" i="2"/>
  <c r="E66" i="2" s="1"/>
  <c r="O65" i="2"/>
  <c r="I65" i="2"/>
  <c r="K65" i="2" s="1"/>
  <c r="F65" i="2"/>
  <c r="B65" i="2"/>
  <c r="E65" i="2" s="1"/>
  <c r="O64" i="2"/>
  <c r="I64" i="2"/>
  <c r="F64" i="2"/>
  <c r="E64" i="2"/>
  <c r="B64" i="2"/>
  <c r="O63" i="2"/>
  <c r="I63" i="2"/>
  <c r="F63" i="2"/>
  <c r="K63" i="2" s="1"/>
  <c r="E63" i="2"/>
  <c r="B63" i="2"/>
  <c r="O62" i="2"/>
  <c r="K62" i="2"/>
  <c r="I62" i="2"/>
  <c r="F62" i="2"/>
  <c r="B62" i="2"/>
  <c r="E62" i="2" s="1"/>
  <c r="O61" i="2"/>
  <c r="K61" i="2"/>
  <c r="I61" i="2"/>
  <c r="F61" i="2"/>
  <c r="B61" i="2"/>
  <c r="E61" i="2" s="1"/>
  <c r="O60" i="2"/>
  <c r="I60" i="2"/>
  <c r="F60" i="2"/>
  <c r="E60" i="2"/>
  <c r="B60" i="2"/>
  <c r="O59" i="2"/>
  <c r="I59" i="2"/>
  <c r="F59" i="2"/>
  <c r="K59" i="2" s="1"/>
  <c r="E59" i="2"/>
  <c r="B59" i="2"/>
  <c r="O58" i="2"/>
  <c r="K58" i="2"/>
  <c r="I58" i="2"/>
  <c r="F58" i="2"/>
  <c r="E58" i="2"/>
  <c r="B58" i="2"/>
  <c r="O57" i="2"/>
  <c r="K57" i="2"/>
  <c r="I57" i="2"/>
  <c r="F57" i="2"/>
  <c r="B57" i="2"/>
  <c r="E57" i="2" s="1"/>
  <c r="O56" i="2"/>
  <c r="I56" i="2"/>
  <c r="K56" i="2" s="1"/>
  <c r="F56" i="2"/>
  <c r="E56" i="2"/>
  <c r="B56" i="2"/>
  <c r="O55" i="2"/>
  <c r="I55" i="2"/>
  <c r="F55" i="2"/>
  <c r="K55" i="2" s="1"/>
  <c r="E55" i="2"/>
  <c r="B55" i="2"/>
  <c r="O54" i="2"/>
  <c r="K54" i="2"/>
  <c r="I54" i="2"/>
  <c r="F54" i="2"/>
  <c r="B54" i="2"/>
  <c r="E54" i="2" s="1"/>
  <c r="O53" i="2"/>
  <c r="I53" i="2"/>
  <c r="K53" i="2" s="1"/>
  <c r="F53" i="2"/>
  <c r="B53" i="2"/>
  <c r="E53" i="2" s="1"/>
  <c r="O52" i="2"/>
  <c r="I52" i="2"/>
  <c r="K52" i="2" s="1"/>
  <c r="F52" i="2"/>
  <c r="E52" i="2"/>
  <c r="B52" i="2"/>
  <c r="O51" i="2"/>
  <c r="I51" i="2"/>
  <c r="F51" i="2"/>
  <c r="K51" i="2" s="1"/>
  <c r="E51" i="2"/>
  <c r="B51" i="2"/>
  <c r="O50" i="2"/>
  <c r="K50" i="2"/>
  <c r="I50" i="2"/>
  <c r="F50" i="2"/>
  <c r="B50" i="2"/>
  <c r="E50" i="2" s="1"/>
  <c r="O49" i="2"/>
  <c r="I49" i="2"/>
  <c r="K49" i="2" s="1"/>
  <c r="F49" i="2"/>
  <c r="B49" i="2"/>
  <c r="E49" i="2" s="1"/>
  <c r="O48" i="2"/>
  <c r="I48" i="2"/>
  <c r="F48" i="2"/>
  <c r="E48" i="2"/>
  <c r="B48" i="2"/>
  <c r="O47" i="2"/>
  <c r="K47" i="2"/>
  <c r="I47" i="2"/>
  <c r="F47" i="2"/>
  <c r="B47" i="2"/>
  <c r="E47" i="2" s="1"/>
  <c r="O46" i="2"/>
  <c r="K46" i="2"/>
  <c r="I46" i="2"/>
  <c r="F46" i="2"/>
  <c r="B46" i="2"/>
  <c r="E46" i="2" s="1"/>
  <c r="O45" i="2"/>
  <c r="I45" i="2"/>
  <c r="F45" i="2"/>
  <c r="B45" i="2"/>
  <c r="E45" i="2" s="1"/>
  <c r="O44" i="2"/>
  <c r="I44" i="2"/>
  <c r="F44" i="2"/>
  <c r="E44" i="2"/>
  <c r="B44" i="2"/>
  <c r="O43" i="2"/>
  <c r="I43" i="2"/>
  <c r="F43" i="2"/>
  <c r="K43" i="2" s="1"/>
  <c r="E43" i="2"/>
  <c r="B43" i="2"/>
  <c r="O42" i="2"/>
  <c r="K42" i="2"/>
  <c r="I42" i="2"/>
  <c r="F42" i="2"/>
  <c r="E42" i="2"/>
  <c r="B42" i="2"/>
  <c r="O41" i="2"/>
  <c r="I41" i="2"/>
  <c r="K41" i="2" s="1"/>
  <c r="F41" i="2"/>
  <c r="B41" i="2"/>
  <c r="E41" i="2" s="1"/>
  <c r="O40" i="2"/>
  <c r="I40" i="2"/>
  <c r="K40" i="2" s="1"/>
  <c r="F40" i="2"/>
  <c r="E40" i="2"/>
  <c r="B40" i="2"/>
  <c r="O39" i="2"/>
  <c r="I39" i="2"/>
  <c r="F39" i="2"/>
  <c r="K39" i="2" s="1"/>
  <c r="B39" i="2"/>
  <c r="E39" i="2" s="1"/>
  <c r="O38" i="2"/>
  <c r="I38" i="2"/>
  <c r="K38" i="2" s="1"/>
  <c r="F38" i="2"/>
  <c r="E38" i="2"/>
  <c r="B38" i="2"/>
  <c r="O37" i="2"/>
  <c r="K37" i="2"/>
  <c r="I37" i="2"/>
  <c r="F37" i="2"/>
  <c r="B37" i="2"/>
  <c r="E37" i="2" s="1"/>
  <c r="O36" i="2"/>
  <c r="I36" i="2"/>
  <c r="F36" i="2"/>
  <c r="E36" i="2"/>
  <c r="B36" i="2"/>
  <c r="O35" i="2"/>
  <c r="K35" i="2"/>
  <c r="I35" i="2"/>
  <c r="F35" i="2"/>
  <c r="B35" i="2"/>
  <c r="E35" i="2" s="1"/>
  <c r="O34" i="2"/>
  <c r="I34" i="2"/>
  <c r="K34" i="2" s="1"/>
  <c r="F34" i="2"/>
  <c r="B34" i="2"/>
  <c r="E34" i="2" s="1"/>
  <c r="O33" i="2"/>
  <c r="K33" i="2"/>
  <c r="I33" i="2"/>
  <c r="F33" i="2"/>
  <c r="B33" i="2"/>
  <c r="E33" i="2" s="1"/>
  <c r="O32" i="2"/>
  <c r="I32" i="2"/>
  <c r="F32" i="2"/>
  <c r="E32" i="2"/>
  <c r="B32" i="2"/>
  <c r="O31" i="2"/>
  <c r="K31" i="2"/>
  <c r="I31" i="2"/>
  <c r="F31" i="2"/>
  <c r="B31" i="2"/>
  <c r="E31" i="2" s="1"/>
  <c r="O30" i="2"/>
  <c r="K30" i="2"/>
  <c r="I30" i="2"/>
  <c r="F30" i="2"/>
  <c r="B30" i="2"/>
  <c r="E30" i="2" s="1"/>
  <c r="O29" i="2"/>
  <c r="I29" i="2"/>
  <c r="F29" i="2"/>
  <c r="B29" i="2"/>
  <c r="E29" i="2" s="1"/>
  <c r="O28" i="2"/>
  <c r="I28" i="2"/>
  <c r="F28" i="2"/>
  <c r="E28" i="2"/>
  <c r="B28" i="2"/>
  <c r="O27" i="2"/>
  <c r="I27" i="2"/>
  <c r="F27" i="2"/>
  <c r="K27" i="2" s="1"/>
  <c r="E27" i="2"/>
  <c r="B27" i="2"/>
  <c r="O26" i="2"/>
  <c r="K26" i="2"/>
  <c r="I26" i="2"/>
  <c r="F26" i="2"/>
  <c r="E26" i="2"/>
  <c r="B26" i="2"/>
  <c r="O25" i="2"/>
  <c r="I25" i="2"/>
  <c r="K25" i="2" s="1"/>
  <c r="F25" i="2"/>
  <c r="B25" i="2"/>
  <c r="E25" i="2" s="1"/>
  <c r="O24" i="2"/>
  <c r="I24" i="2"/>
  <c r="K24" i="2" s="1"/>
  <c r="F24" i="2"/>
  <c r="E24" i="2"/>
  <c r="B24" i="2"/>
  <c r="O23" i="2"/>
  <c r="I23" i="2"/>
  <c r="F23" i="2"/>
  <c r="K23" i="2" s="1"/>
  <c r="B23" i="2"/>
  <c r="E23" i="2" s="1"/>
  <c r="O22" i="2"/>
  <c r="I22" i="2"/>
  <c r="K22" i="2" s="1"/>
  <c r="F22" i="2"/>
  <c r="E22" i="2"/>
  <c r="B22" i="2"/>
  <c r="O21" i="2"/>
  <c r="K21" i="2"/>
  <c r="I21" i="2"/>
  <c r="F21" i="2"/>
  <c r="B21" i="2"/>
  <c r="E21" i="2" s="1"/>
  <c r="O20" i="2"/>
  <c r="I20" i="2"/>
  <c r="F20" i="2"/>
  <c r="E20" i="2"/>
  <c r="B20" i="2"/>
  <c r="O19" i="2"/>
  <c r="K19" i="2"/>
  <c r="I19" i="2"/>
  <c r="F19" i="2"/>
  <c r="B19" i="2"/>
  <c r="E19" i="2" s="1"/>
  <c r="O18" i="2"/>
  <c r="I18" i="2"/>
  <c r="K18" i="2" s="1"/>
  <c r="F18" i="2"/>
  <c r="B18" i="2"/>
  <c r="E18" i="2" s="1"/>
  <c r="O17" i="2"/>
  <c r="K17" i="2"/>
  <c r="I17" i="2"/>
  <c r="F17" i="2"/>
  <c r="B17" i="2"/>
  <c r="E17" i="2" s="1"/>
  <c r="O16" i="2"/>
  <c r="I16" i="2"/>
  <c r="K16" i="2" s="1"/>
  <c r="F16" i="2"/>
  <c r="B16" i="2"/>
  <c r="E16" i="2" s="1"/>
  <c r="O15" i="2"/>
  <c r="I15" i="2"/>
  <c r="F15" i="2"/>
  <c r="E15" i="2"/>
  <c r="B15" i="2"/>
  <c r="O14" i="2"/>
  <c r="K14" i="2"/>
  <c r="I14" i="2"/>
  <c r="F14" i="2"/>
  <c r="B14" i="2"/>
  <c r="E14" i="2" s="1"/>
  <c r="O13" i="2"/>
  <c r="I13" i="2"/>
  <c r="K13" i="2" s="1"/>
  <c r="F13" i="2"/>
  <c r="B13" i="2"/>
  <c r="E13" i="2" s="1"/>
  <c r="O12" i="2"/>
  <c r="I12" i="2"/>
  <c r="K12" i="2" s="1"/>
  <c r="F12" i="2"/>
  <c r="B12" i="2"/>
  <c r="E12" i="2" s="1"/>
  <c r="O11" i="2"/>
  <c r="I11" i="2"/>
  <c r="K11" i="2" s="1"/>
  <c r="F11" i="2"/>
  <c r="E11" i="2"/>
  <c r="B11" i="2"/>
  <c r="O10" i="2"/>
  <c r="K10" i="2"/>
  <c r="I10" i="2"/>
  <c r="F10" i="2"/>
  <c r="E10" i="2"/>
  <c r="B10" i="2"/>
  <c r="O9" i="2"/>
  <c r="K9" i="2"/>
  <c r="I9" i="2"/>
  <c r="F9" i="2"/>
  <c r="B9" i="2"/>
  <c r="E9" i="2" s="1"/>
  <c r="O8" i="2"/>
  <c r="I8" i="2"/>
  <c r="K8" i="2" s="1"/>
  <c r="F8" i="2"/>
  <c r="B8" i="2"/>
  <c r="E8" i="2" s="1"/>
  <c r="O7" i="2"/>
  <c r="I7" i="2"/>
  <c r="F7" i="2"/>
  <c r="E7" i="2"/>
  <c r="B7" i="2"/>
  <c r="O6" i="2"/>
  <c r="K6" i="2"/>
  <c r="I6" i="2"/>
  <c r="F6" i="2"/>
  <c r="B6" i="2"/>
  <c r="E6" i="2" s="1"/>
  <c r="O5" i="2"/>
  <c r="I5" i="2"/>
  <c r="K5" i="2" s="1"/>
  <c r="F5" i="2"/>
  <c r="B5" i="2"/>
  <c r="E5" i="2" s="1"/>
  <c r="O4" i="2"/>
  <c r="I4" i="2"/>
  <c r="F4" i="2"/>
  <c r="B4" i="2"/>
  <c r="E4" i="2" s="1"/>
  <c r="O3" i="2"/>
  <c r="I3" i="2"/>
  <c r="K3" i="2" s="1"/>
  <c r="F3" i="2"/>
  <c r="E3" i="2"/>
  <c r="B3" i="2"/>
  <c r="O2" i="2"/>
  <c r="I2" i="2"/>
  <c r="F2" i="2"/>
  <c r="K2" i="2" s="1"/>
  <c r="E2" i="2"/>
  <c r="B2" i="2"/>
  <c r="O303" i="1"/>
  <c r="N303" i="1"/>
  <c r="J303" i="1"/>
  <c r="M303" i="1" s="1"/>
  <c r="H303" i="1"/>
  <c r="G303" i="1"/>
  <c r="F303" i="1"/>
  <c r="C303" i="1"/>
  <c r="O302" i="1"/>
  <c r="N302" i="1"/>
  <c r="H302" i="1"/>
  <c r="G302" i="1"/>
  <c r="F302" i="1"/>
  <c r="J302" i="1" s="1"/>
  <c r="M302" i="1" s="1"/>
  <c r="C302" i="1"/>
  <c r="O301" i="1"/>
  <c r="N301" i="1"/>
  <c r="G301" i="1"/>
  <c r="F301" i="1"/>
  <c r="J301" i="1" s="1"/>
  <c r="M301" i="1" s="1"/>
  <c r="C301" i="1"/>
  <c r="H301" i="1" s="1"/>
  <c r="O300" i="1"/>
  <c r="N300" i="1"/>
  <c r="H300" i="1"/>
  <c r="G300" i="1"/>
  <c r="F300" i="1"/>
  <c r="J300" i="1" s="1"/>
  <c r="M300" i="1" s="1"/>
  <c r="C300" i="1"/>
  <c r="O299" i="1"/>
  <c r="N299" i="1"/>
  <c r="J299" i="1"/>
  <c r="M299" i="1" s="1"/>
  <c r="G299" i="1"/>
  <c r="F299" i="1"/>
  <c r="C299" i="1"/>
  <c r="H299" i="1" s="1"/>
  <c r="O298" i="1"/>
  <c r="N298" i="1"/>
  <c r="M298" i="1"/>
  <c r="H298" i="1"/>
  <c r="G298" i="1"/>
  <c r="F298" i="1"/>
  <c r="J298" i="1" s="1"/>
  <c r="C298" i="1"/>
  <c r="O297" i="1"/>
  <c r="N297" i="1"/>
  <c r="G297" i="1"/>
  <c r="F297" i="1"/>
  <c r="J297" i="1" s="1"/>
  <c r="M297" i="1" s="1"/>
  <c r="C297" i="1"/>
  <c r="H297" i="1" s="1"/>
  <c r="O296" i="1"/>
  <c r="N296" i="1"/>
  <c r="H296" i="1"/>
  <c r="G296" i="1"/>
  <c r="F296" i="1"/>
  <c r="J296" i="1" s="1"/>
  <c r="M296" i="1" s="1"/>
  <c r="C296" i="1"/>
  <c r="O295" i="1"/>
  <c r="N295" i="1"/>
  <c r="J295" i="1"/>
  <c r="M295" i="1" s="1"/>
  <c r="G295" i="1"/>
  <c r="F295" i="1"/>
  <c r="C295" i="1"/>
  <c r="H295" i="1" s="1"/>
  <c r="O294" i="1"/>
  <c r="N294" i="1"/>
  <c r="H294" i="1"/>
  <c r="G294" i="1"/>
  <c r="F294" i="1"/>
  <c r="J294" i="1" s="1"/>
  <c r="M294" i="1" s="1"/>
  <c r="C294" i="1"/>
  <c r="O293" i="1"/>
  <c r="N293" i="1"/>
  <c r="G293" i="1"/>
  <c r="F293" i="1"/>
  <c r="J293" i="1" s="1"/>
  <c r="M293" i="1" s="1"/>
  <c r="C293" i="1"/>
  <c r="H293" i="1" s="1"/>
  <c r="O292" i="1"/>
  <c r="N292" i="1"/>
  <c r="H292" i="1"/>
  <c r="G292" i="1"/>
  <c r="K292" i="1" s="1"/>
  <c r="P292" i="1" s="1"/>
  <c r="F292" i="1"/>
  <c r="J292" i="1" s="1"/>
  <c r="M292" i="1" s="1"/>
  <c r="C292" i="1"/>
  <c r="O291" i="1"/>
  <c r="N291" i="1"/>
  <c r="J291" i="1"/>
  <c r="M291" i="1" s="1"/>
  <c r="H291" i="1"/>
  <c r="G291" i="1"/>
  <c r="F291" i="1"/>
  <c r="C291" i="1"/>
  <c r="O290" i="1"/>
  <c r="N290" i="1"/>
  <c r="H290" i="1"/>
  <c r="G290" i="1"/>
  <c r="F290" i="1"/>
  <c r="J290" i="1" s="1"/>
  <c r="M290" i="1" s="1"/>
  <c r="C290" i="1"/>
  <c r="O289" i="1"/>
  <c r="N289" i="1"/>
  <c r="G289" i="1"/>
  <c r="F289" i="1"/>
  <c r="J289" i="1" s="1"/>
  <c r="M289" i="1" s="1"/>
  <c r="C289" i="1"/>
  <c r="H289" i="1" s="1"/>
  <c r="O288" i="1"/>
  <c r="N288" i="1"/>
  <c r="H288" i="1"/>
  <c r="G288" i="1"/>
  <c r="F288" i="1"/>
  <c r="J288" i="1" s="1"/>
  <c r="M288" i="1" s="1"/>
  <c r="C288" i="1"/>
  <c r="O287" i="1"/>
  <c r="N287" i="1"/>
  <c r="J287" i="1"/>
  <c r="M287" i="1" s="1"/>
  <c r="H287" i="1"/>
  <c r="G287" i="1"/>
  <c r="F287" i="1"/>
  <c r="C287" i="1"/>
  <c r="O286" i="1"/>
  <c r="N286" i="1"/>
  <c r="H286" i="1"/>
  <c r="G286" i="1"/>
  <c r="F286" i="1"/>
  <c r="J286" i="1" s="1"/>
  <c r="M286" i="1" s="1"/>
  <c r="C286" i="1"/>
  <c r="O285" i="1"/>
  <c r="N285" i="1"/>
  <c r="G285" i="1"/>
  <c r="F285" i="1"/>
  <c r="J285" i="1" s="1"/>
  <c r="M285" i="1" s="1"/>
  <c r="C285" i="1"/>
  <c r="H285" i="1" s="1"/>
  <c r="O284" i="1"/>
  <c r="N284" i="1"/>
  <c r="G284" i="1"/>
  <c r="F284" i="1"/>
  <c r="J284" i="1" s="1"/>
  <c r="M284" i="1" s="1"/>
  <c r="C284" i="1"/>
  <c r="H284" i="1" s="1"/>
  <c r="O283" i="1"/>
  <c r="N283" i="1"/>
  <c r="G283" i="1"/>
  <c r="F283" i="1"/>
  <c r="J283" i="1" s="1"/>
  <c r="M283" i="1" s="1"/>
  <c r="C283" i="1"/>
  <c r="H283" i="1" s="1"/>
  <c r="O282" i="1"/>
  <c r="N282" i="1"/>
  <c r="H282" i="1"/>
  <c r="G282" i="1"/>
  <c r="F282" i="1"/>
  <c r="J282" i="1" s="1"/>
  <c r="M282" i="1" s="1"/>
  <c r="C282" i="1"/>
  <c r="O281" i="1"/>
  <c r="N281" i="1"/>
  <c r="G281" i="1"/>
  <c r="F281" i="1"/>
  <c r="J281" i="1" s="1"/>
  <c r="M281" i="1" s="1"/>
  <c r="C281" i="1"/>
  <c r="H281" i="1" s="1"/>
  <c r="O280" i="1"/>
  <c r="N280" i="1"/>
  <c r="H280" i="1"/>
  <c r="G280" i="1"/>
  <c r="F280" i="1"/>
  <c r="J280" i="1" s="1"/>
  <c r="M280" i="1" s="1"/>
  <c r="C280" i="1"/>
  <c r="O279" i="1"/>
  <c r="N279" i="1"/>
  <c r="G279" i="1"/>
  <c r="F279" i="1"/>
  <c r="J279" i="1" s="1"/>
  <c r="M279" i="1" s="1"/>
  <c r="C279" i="1"/>
  <c r="H279" i="1" s="1"/>
  <c r="O278" i="1"/>
  <c r="N278" i="1"/>
  <c r="G278" i="1"/>
  <c r="F278" i="1"/>
  <c r="J278" i="1" s="1"/>
  <c r="M278" i="1" s="1"/>
  <c r="C278" i="1"/>
  <c r="H278" i="1" s="1"/>
  <c r="O277" i="1"/>
  <c r="N277" i="1"/>
  <c r="H277" i="1"/>
  <c r="G277" i="1"/>
  <c r="F277" i="1"/>
  <c r="J277" i="1" s="1"/>
  <c r="M277" i="1" s="1"/>
  <c r="C277" i="1"/>
  <c r="O276" i="1"/>
  <c r="N276" i="1"/>
  <c r="G276" i="1"/>
  <c r="K276" i="1" s="1"/>
  <c r="F276" i="1"/>
  <c r="J276" i="1" s="1"/>
  <c r="M276" i="1" s="1"/>
  <c r="C276" i="1"/>
  <c r="H276" i="1" s="1"/>
  <c r="O275" i="1"/>
  <c r="N275" i="1"/>
  <c r="M275" i="1"/>
  <c r="G275" i="1"/>
  <c r="F275" i="1"/>
  <c r="J275" i="1" s="1"/>
  <c r="C275" i="1"/>
  <c r="H275" i="1" s="1"/>
  <c r="O274" i="1"/>
  <c r="N274" i="1"/>
  <c r="G274" i="1"/>
  <c r="F274" i="1"/>
  <c r="J274" i="1" s="1"/>
  <c r="M274" i="1" s="1"/>
  <c r="C274" i="1"/>
  <c r="H274" i="1" s="1"/>
  <c r="O273" i="1"/>
  <c r="N273" i="1"/>
  <c r="G273" i="1"/>
  <c r="F273" i="1"/>
  <c r="J273" i="1" s="1"/>
  <c r="M273" i="1" s="1"/>
  <c r="C273" i="1"/>
  <c r="H273" i="1" s="1"/>
  <c r="O272" i="1"/>
  <c r="N272" i="1"/>
  <c r="J272" i="1"/>
  <c r="M272" i="1" s="1"/>
  <c r="G272" i="1"/>
  <c r="F272" i="1"/>
  <c r="C272" i="1"/>
  <c r="H272" i="1" s="1"/>
  <c r="O271" i="1"/>
  <c r="N271" i="1"/>
  <c r="G271" i="1"/>
  <c r="F271" i="1"/>
  <c r="J271" i="1" s="1"/>
  <c r="M271" i="1" s="1"/>
  <c r="C271" i="1"/>
  <c r="H271" i="1" s="1"/>
  <c r="O270" i="1"/>
  <c r="N270" i="1"/>
  <c r="G270" i="1"/>
  <c r="F270" i="1"/>
  <c r="J270" i="1" s="1"/>
  <c r="M270" i="1" s="1"/>
  <c r="C270" i="1"/>
  <c r="H270" i="1" s="1"/>
  <c r="O269" i="1"/>
  <c r="N269" i="1"/>
  <c r="H269" i="1"/>
  <c r="G269" i="1"/>
  <c r="F269" i="1"/>
  <c r="J269" i="1" s="1"/>
  <c r="M269" i="1" s="1"/>
  <c r="C269" i="1"/>
  <c r="O268" i="1"/>
  <c r="N268" i="1"/>
  <c r="G268" i="1"/>
  <c r="K268" i="1" s="1"/>
  <c r="F268" i="1"/>
  <c r="J268" i="1" s="1"/>
  <c r="M268" i="1" s="1"/>
  <c r="C268" i="1"/>
  <c r="H268" i="1" s="1"/>
  <c r="O267" i="1"/>
  <c r="N267" i="1"/>
  <c r="M267" i="1"/>
  <c r="G267" i="1"/>
  <c r="F267" i="1"/>
  <c r="J267" i="1" s="1"/>
  <c r="C267" i="1"/>
  <c r="H267" i="1" s="1"/>
  <c r="O266" i="1"/>
  <c r="N266" i="1"/>
  <c r="J266" i="1"/>
  <c r="M266" i="1" s="1"/>
  <c r="G266" i="1"/>
  <c r="F266" i="1"/>
  <c r="C266" i="1"/>
  <c r="H266" i="1" s="1"/>
  <c r="O265" i="1"/>
  <c r="N265" i="1"/>
  <c r="G265" i="1"/>
  <c r="F265" i="1"/>
  <c r="J265" i="1" s="1"/>
  <c r="M265" i="1" s="1"/>
  <c r="C265" i="1"/>
  <c r="H265" i="1" s="1"/>
  <c r="O264" i="1"/>
  <c r="N264" i="1"/>
  <c r="J264" i="1"/>
  <c r="M264" i="1" s="1"/>
  <c r="G264" i="1"/>
  <c r="F264" i="1"/>
  <c r="C264" i="1"/>
  <c r="H264" i="1" s="1"/>
  <c r="O263" i="1"/>
  <c r="N263" i="1"/>
  <c r="G263" i="1"/>
  <c r="F263" i="1"/>
  <c r="J263" i="1" s="1"/>
  <c r="M263" i="1" s="1"/>
  <c r="C263" i="1"/>
  <c r="H263" i="1" s="1"/>
  <c r="O262" i="1"/>
  <c r="N262" i="1"/>
  <c r="G262" i="1"/>
  <c r="F262" i="1"/>
  <c r="J262" i="1" s="1"/>
  <c r="M262" i="1" s="1"/>
  <c r="C262" i="1"/>
  <c r="H262" i="1" s="1"/>
  <c r="O261" i="1"/>
  <c r="N261" i="1"/>
  <c r="H261" i="1"/>
  <c r="G261" i="1"/>
  <c r="F261" i="1"/>
  <c r="J261" i="1" s="1"/>
  <c r="M261" i="1" s="1"/>
  <c r="C261" i="1"/>
  <c r="O260" i="1"/>
  <c r="N260" i="1"/>
  <c r="G260" i="1"/>
  <c r="K260" i="1" s="1"/>
  <c r="F260" i="1"/>
  <c r="J260" i="1" s="1"/>
  <c r="M260" i="1" s="1"/>
  <c r="C260" i="1"/>
  <c r="H260" i="1" s="1"/>
  <c r="O259" i="1"/>
  <c r="N259" i="1"/>
  <c r="M259" i="1"/>
  <c r="G259" i="1"/>
  <c r="F259" i="1"/>
  <c r="J259" i="1" s="1"/>
  <c r="C259" i="1"/>
  <c r="H259" i="1" s="1"/>
  <c r="O258" i="1"/>
  <c r="N258" i="1"/>
  <c r="J258" i="1"/>
  <c r="M258" i="1" s="1"/>
  <c r="G258" i="1"/>
  <c r="F258" i="1"/>
  <c r="C258" i="1"/>
  <c r="H258" i="1" s="1"/>
  <c r="O257" i="1"/>
  <c r="N257" i="1"/>
  <c r="G257" i="1"/>
  <c r="F257" i="1"/>
  <c r="J257" i="1" s="1"/>
  <c r="M257" i="1" s="1"/>
  <c r="C257" i="1"/>
  <c r="H257" i="1" s="1"/>
  <c r="O256" i="1"/>
  <c r="N256" i="1"/>
  <c r="J256" i="1"/>
  <c r="M256" i="1" s="1"/>
  <c r="G256" i="1"/>
  <c r="F256" i="1"/>
  <c r="C256" i="1"/>
  <c r="H256" i="1" s="1"/>
  <c r="O255" i="1"/>
  <c r="N255" i="1"/>
  <c r="G255" i="1"/>
  <c r="F255" i="1"/>
  <c r="J255" i="1" s="1"/>
  <c r="M255" i="1" s="1"/>
  <c r="C255" i="1"/>
  <c r="H255" i="1" s="1"/>
  <c r="O254" i="1"/>
  <c r="N254" i="1"/>
  <c r="G254" i="1"/>
  <c r="F254" i="1"/>
  <c r="J254" i="1" s="1"/>
  <c r="M254" i="1" s="1"/>
  <c r="C254" i="1"/>
  <c r="H254" i="1" s="1"/>
  <c r="O253" i="1"/>
  <c r="N253" i="1"/>
  <c r="H253" i="1"/>
  <c r="G253" i="1"/>
  <c r="F253" i="1"/>
  <c r="J253" i="1" s="1"/>
  <c r="M253" i="1" s="1"/>
  <c r="C253" i="1"/>
  <c r="O252" i="1"/>
  <c r="N252" i="1"/>
  <c r="G252" i="1"/>
  <c r="K252" i="1" s="1"/>
  <c r="F252" i="1"/>
  <c r="J252" i="1" s="1"/>
  <c r="M252" i="1" s="1"/>
  <c r="C252" i="1"/>
  <c r="H252" i="1" s="1"/>
  <c r="O251" i="1"/>
  <c r="N251" i="1"/>
  <c r="M251" i="1"/>
  <c r="G251" i="1"/>
  <c r="F251" i="1"/>
  <c r="J251" i="1" s="1"/>
  <c r="C251" i="1"/>
  <c r="H251" i="1" s="1"/>
  <c r="O250" i="1"/>
  <c r="N250" i="1"/>
  <c r="J250" i="1"/>
  <c r="M250" i="1" s="1"/>
  <c r="G250" i="1"/>
  <c r="F250" i="1"/>
  <c r="C250" i="1"/>
  <c r="H250" i="1" s="1"/>
  <c r="O249" i="1"/>
  <c r="N249" i="1"/>
  <c r="G249" i="1"/>
  <c r="F249" i="1"/>
  <c r="J249" i="1" s="1"/>
  <c r="M249" i="1" s="1"/>
  <c r="C249" i="1"/>
  <c r="H249" i="1" s="1"/>
  <c r="O248" i="1"/>
  <c r="N248" i="1"/>
  <c r="J248" i="1"/>
  <c r="M248" i="1" s="1"/>
  <c r="G248" i="1"/>
  <c r="F248" i="1"/>
  <c r="C248" i="1"/>
  <c r="H248" i="1" s="1"/>
  <c r="O247" i="1"/>
  <c r="N247" i="1"/>
  <c r="G247" i="1"/>
  <c r="F247" i="1"/>
  <c r="J247" i="1" s="1"/>
  <c r="M247" i="1" s="1"/>
  <c r="C247" i="1"/>
  <c r="H247" i="1" s="1"/>
  <c r="O246" i="1"/>
  <c r="N246" i="1"/>
  <c r="G246" i="1"/>
  <c r="F246" i="1"/>
  <c r="J246" i="1" s="1"/>
  <c r="M246" i="1" s="1"/>
  <c r="C246" i="1"/>
  <c r="H246" i="1" s="1"/>
  <c r="O245" i="1"/>
  <c r="N245" i="1"/>
  <c r="G245" i="1"/>
  <c r="F245" i="1"/>
  <c r="J245" i="1" s="1"/>
  <c r="M245" i="1" s="1"/>
  <c r="C245" i="1"/>
  <c r="H245" i="1" s="1"/>
  <c r="O244" i="1"/>
  <c r="N244" i="1"/>
  <c r="G244" i="1"/>
  <c r="K244" i="1" s="1"/>
  <c r="F244" i="1"/>
  <c r="J244" i="1" s="1"/>
  <c r="M244" i="1" s="1"/>
  <c r="C244" i="1"/>
  <c r="H244" i="1" s="1"/>
  <c r="O243" i="1"/>
  <c r="N243" i="1"/>
  <c r="G243" i="1"/>
  <c r="F243" i="1"/>
  <c r="J243" i="1" s="1"/>
  <c r="M243" i="1" s="1"/>
  <c r="C243" i="1"/>
  <c r="H243" i="1" s="1"/>
  <c r="O242" i="1"/>
  <c r="N242" i="1"/>
  <c r="G242" i="1"/>
  <c r="F242" i="1"/>
  <c r="J242" i="1" s="1"/>
  <c r="M242" i="1" s="1"/>
  <c r="C242" i="1"/>
  <c r="H242" i="1" s="1"/>
  <c r="O241" i="1"/>
  <c r="N241" i="1"/>
  <c r="G241" i="1"/>
  <c r="F241" i="1"/>
  <c r="J241" i="1" s="1"/>
  <c r="M241" i="1" s="1"/>
  <c r="C241" i="1"/>
  <c r="H241" i="1" s="1"/>
  <c r="O240" i="1"/>
  <c r="N240" i="1"/>
  <c r="G240" i="1"/>
  <c r="F240" i="1"/>
  <c r="J240" i="1" s="1"/>
  <c r="M240" i="1" s="1"/>
  <c r="C240" i="1"/>
  <c r="H240" i="1" s="1"/>
  <c r="O239" i="1"/>
  <c r="N239" i="1"/>
  <c r="G239" i="1"/>
  <c r="F239" i="1"/>
  <c r="J239" i="1" s="1"/>
  <c r="M239" i="1" s="1"/>
  <c r="C239" i="1"/>
  <c r="H239" i="1" s="1"/>
  <c r="O238" i="1"/>
  <c r="N238" i="1"/>
  <c r="G238" i="1"/>
  <c r="F238" i="1"/>
  <c r="J238" i="1" s="1"/>
  <c r="M238" i="1" s="1"/>
  <c r="C238" i="1"/>
  <c r="H238" i="1" s="1"/>
  <c r="O237" i="1"/>
  <c r="N237" i="1"/>
  <c r="H237" i="1"/>
  <c r="G237" i="1"/>
  <c r="F237" i="1"/>
  <c r="J237" i="1" s="1"/>
  <c r="M237" i="1" s="1"/>
  <c r="C237" i="1"/>
  <c r="O236" i="1"/>
  <c r="N236" i="1"/>
  <c r="G236" i="1"/>
  <c r="K236" i="1" s="1"/>
  <c r="F236" i="1"/>
  <c r="J236" i="1" s="1"/>
  <c r="M236" i="1" s="1"/>
  <c r="C236" i="1"/>
  <c r="H236" i="1" s="1"/>
  <c r="O235" i="1"/>
  <c r="N235" i="1"/>
  <c r="M235" i="1"/>
  <c r="G235" i="1"/>
  <c r="F235" i="1"/>
  <c r="J235" i="1" s="1"/>
  <c r="C235" i="1"/>
  <c r="H235" i="1" s="1"/>
  <c r="O234" i="1"/>
  <c r="N234" i="1"/>
  <c r="G234" i="1"/>
  <c r="F234" i="1"/>
  <c r="J234" i="1" s="1"/>
  <c r="M234" i="1" s="1"/>
  <c r="C234" i="1"/>
  <c r="H234" i="1" s="1"/>
  <c r="O233" i="1"/>
  <c r="N233" i="1"/>
  <c r="G233" i="1"/>
  <c r="F233" i="1"/>
  <c r="J233" i="1" s="1"/>
  <c r="M233" i="1" s="1"/>
  <c r="C233" i="1"/>
  <c r="H233" i="1" s="1"/>
  <c r="O232" i="1"/>
  <c r="N232" i="1"/>
  <c r="J232" i="1"/>
  <c r="M232" i="1" s="1"/>
  <c r="G232" i="1"/>
  <c r="F232" i="1"/>
  <c r="C232" i="1"/>
  <c r="H232" i="1" s="1"/>
  <c r="O231" i="1"/>
  <c r="N231" i="1"/>
  <c r="G231" i="1"/>
  <c r="F231" i="1"/>
  <c r="J231" i="1" s="1"/>
  <c r="M231" i="1" s="1"/>
  <c r="C231" i="1"/>
  <c r="H231" i="1" s="1"/>
  <c r="O230" i="1"/>
  <c r="N230" i="1"/>
  <c r="G230" i="1"/>
  <c r="F230" i="1"/>
  <c r="J230" i="1" s="1"/>
  <c r="M230" i="1" s="1"/>
  <c r="C230" i="1"/>
  <c r="H230" i="1" s="1"/>
  <c r="O229" i="1"/>
  <c r="N229" i="1"/>
  <c r="G229" i="1"/>
  <c r="F229" i="1"/>
  <c r="J229" i="1" s="1"/>
  <c r="M229" i="1" s="1"/>
  <c r="C229" i="1"/>
  <c r="H229" i="1" s="1"/>
  <c r="O228" i="1"/>
  <c r="N228" i="1"/>
  <c r="G228" i="1"/>
  <c r="K228" i="1" s="1"/>
  <c r="F228" i="1"/>
  <c r="J228" i="1" s="1"/>
  <c r="M228" i="1" s="1"/>
  <c r="C228" i="1"/>
  <c r="H228" i="1" s="1"/>
  <c r="O227" i="1"/>
  <c r="N227" i="1"/>
  <c r="M227" i="1"/>
  <c r="G227" i="1"/>
  <c r="F227" i="1"/>
  <c r="J227" i="1" s="1"/>
  <c r="C227" i="1"/>
  <c r="H227" i="1" s="1"/>
  <c r="O226" i="1"/>
  <c r="N226" i="1"/>
  <c r="G226" i="1"/>
  <c r="F226" i="1"/>
  <c r="J226" i="1" s="1"/>
  <c r="M226" i="1" s="1"/>
  <c r="C226" i="1"/>
  <c r="H226" i="1" s="1"/>
  <c r="O225" i="1"/>
  <c r="N225" i="1"/>
  <c r="G225" i="1"/>
  <c r="F225" i="1"/>
  <c r="J225" i="1" s="1"/>
  <c r="M225" i="1" s="1"/>
  <c r="C225" i="1"/>
  <c r="H225" i="1" s="1"/>
  <c r="O224" i="1"/>
  <c r="N224" i="1"/>
  <c r="G224" i="1"/>
  <c r="K224" i="1" s="1"/>
  <c r="F224" i="1"/>
  <c r="J224" i="1" s="1"/>
  <c r="M224" i="1" s="1"/>
  <c r="C224" i="1"/>
  <c r="H224" i="1" s="1"/>
  <c r="O223" i="1"/>
  <c r="N223" i="1"/>
  <c r="G223" i="1"/>
  <c r="K223" i="1" s="1"/>
  <c r="F223" i="1"/>
  <c r="J223" i="1" s="1"/>
  <c r="M223" i="1" s="1"/>
  <c r="C223" i="1"/>
  <c r="H223" i="1" s="1"/>
  <c r="O222" i="1"/>
  <c r="N222" i="1"/>
  <c r="G222" i="1"/>
  <c r="F222" i="1"/>
  <c r="J222" i="1" s="1"/>
  <c r="M222" i="1" s="1"/>
  <c r="C222" i="1"/>
  <c r="H222" i="1" s="1"/>
  <c r="O221" i="1"/>
  <c r="N221" i="1"/>
  <c r="J221" i="1"/>
  <c r="M221" i="1" s="1"/>
  <c r="G221" i="1"/>
  <c r="F221" i="1"/>
  <c r="C221" i="1"/>
  <c r="H221" i="1" s="1"/>
  <c r="O220" i="1"/>
  <c r="N220" i="1"/>
  <c r="G220" i="1"/>
  <c r="F220" i="1"/>
  <c r="J220" i="1" s="1"/>
  <c r="M220" i="1" s="1"/>
  <c r="C220" i="1"/>
  <c r="H220" i="1" s="1"/>
  <c r="O219" i="1"/>
  <c r="N219" i="1"/>
  <c r="G219" i="1"/>
  <c r="F219" i="1"/>
  <c r="J219" i="1" s="1"/>
  <c r="M219" i="1" s="1"/>
  <c r="C219" i="1"/>
  <c r="H219" i="1" s="1"/>
  <c r="O218" i="1"/>
  <c r="N218" i="1"/>
  <c r="G218" i="1"/>
  <c r="F218" i="1"/>
  <c r="J218" i="1" s="1"/>
  <c r="M218" i="1" s="1"/>
  <c r="C218" i="1"/>
  <c r="H218" i="1" s="1"/>
  <c r="O217" i="1"/>
  <c r="N217" i="1"/>
  <c r="G217" i="1"/>
  <c r="F217" i="1"/>
  <c r="J217" i="1" s="1"/>
  <c r="M217" i="1" s="1"/>
  <c r="C217" i="1"/>
  <c r="H217" i="1" s="1"/>
  <c r="O216" i="1"/>
  <c r="N216" i="1"/>
  <c r="G216" i="1"/>
  <c r="K216" i="1" s="1"/>
  <c r="F216" i="1"/>
  <c r="J216" i="1" s="1"/>
  <c r="M216" i="1" s="1"/>
  <c r="C216" i="1"/>
  <c r="H216" i="1" s="1"/>
  <c r="O215" i="1"/>
  <c r="N215" i="1"/>
  <c r="G215" i="1"/>
  <c r="K215" i="1" s="1"/>
  <c r="F215" i="1"/>
  <c r="J215" i="1" s="1"/>
  <c r="M215" i="1" s="1"/>
  <c r="C215" i="1"/>
  <c r="H215" i="1" s="1"/>
  <c r="O214" i="1"/>
  <c r="N214" i="1"/>
  <c r="G214" i="1"/>
  <c r="F214" i="1"/>
  <c r="J214" i="1" s="1"/>
  <c r="M214" i="1" s="1"/>
  <c r="C214" i="1"/>
  <c r="H214" i="1" s="1"/>
  <c r="O213" i="1"/>
  <c r="N213" i="1"/>
  <c r="G213" i="1"/>
  <c r="F213" i="1"/>
  <c r="J213" i="1" s="1"/>
  <c r="M213" i="1" s="1"/>
  <c r="C213" i="1"/>
  <c r="H213" i="1" s="1"/>
  <c r="O212" i="1"/>
  <c r="N212" i="1"/>
  <c r="G212" i="1"/>
  <c r="F212" i="1"/>
  <c r="J212" i="1" s="1"/>
  <c r="M212" i="1" s="1"/>
  <c r="C212" i="1"/>
  <c r="H212" i="1" s="1"/>
  <c r="O211" i="1"/>
  <c r="N211" i="1"/>
  <c r="G211" i="1"/>
  <c r="F211" i="1"/>
  <c r="J211" i="1" s="1"/>
  <c r="M211" i="1" s="1"/>
  <c r="C211" i="1"/>
  <c r="H211" i="1" s="1"/>
  <c r="O210" i="1"/>
  <c r="N210" i="1"/>
  <c r="G210" i="1"/>
  <c r="F210" i="1"/>
  <c r="J210" i="1" s="1"/>
  <c r="M210" i="1" s="1"/>
  <c r="C210" i="1"/>
  <c r="H210" i="1" s="1"/>
  <c r="O209" i="1"/>
  <c r="N209" i="1"/>
  <c r="G209" i="1"/>
  <c r="F209" i="1"/>
  <c r="J209" i="1" s="1"/>
  <c r="M209" i="1" s="1"/>
  <c r="C209" i="1"/>
  <c r="H209" i="1" s="1"/>
  <c r="O208" i="1"/>
  <c r="N208" i="1"/>
  <c r="G208" i="1"/>
  <c r="K208" i="1" s="1"/>
  <c r="F208" i="1"/>
  <c r="J208" i="1" s="1"/>
  <c r="M208" i="1" s="1"/>
  <c r="C208" i="1"/>
  <c r="H208" i="1" s="1"/>
  <c r="O207" i="1"/>
  <c r="N207" i="1"/>
  <c r="G207" i="1"/>
  <c r="K207" i="1" s="1"/>
  <c r="F207" i="1"/>
  <c r="J207" i="1" s="1"/>
  <c r="M207" i="1" s="1"/>
  <c r="C207" i="1"/>
  <c r="H207" i="1" s="1"/>
  <c r="O206" i="1"/>
  <c r="N206" i="1"/>
  <c r="G206" i="1"/>
  <c r="F206" i="1"/>
  <c r="J206" i="1" s="1"/>
  <c r="M206" i="1" s="1"/>
  <c r="C206" i="1"/>
  <c r="H206" i="1" s="1"/>
  <c r="O205" i="1"/>
  <c r="N205" i="1"/>
  <c r="G205" i="1"/>
  <c r="F205" i="1"/>
  <c r="J205" i="1" s="1"/>
  <c r="M205" i="1" s="1"/>
  <c r="C205" i="1"/>
  <c r="H205" i="1" s="1"/>
  <c r="O204" i="1"/>
  <c r="N204" i="1"/>
  <c r="G204" i="1"/>
  <c r="F204" i="1"/>
  <c r="J204" i="1" s="1"/>
  <c r="M204" i="1" s="1"/>
  <c r="C204" i="1"/>
  <c r="H204" i="1" s="1"/>
  <c r="O203" i="1"/>
  <c r="N203" i="1"/>
  <c r="J203" i="1"/>
  <c r="M203" i="1" s="1"/>
  <c r="G203" i="1"/>
  <c r="F203" i="1"/>
  <c r="C203" i="1"/>
  <c r="H203" i="1" s="1"/>
  <c r="O202" i="1"/>
  <c r="N202" i="1"/>
  <c r="G202" i="1"/>
  <c r="F202" i="1"/>
  <c r="J202" i="1" s="1"/>
  <c r="M202" i="1" s="1"/>
  <c r="C202" i="1"/>
  <c r="H202" i="1" s="1"/>
  <c r="O201" i="1"/>
  <c r="N201" i="1"/>
  <c r="G201" i="1"/>
  <c r="F201" i="1"/>
  <c r="J201" i="1" s="1"/>
  <c r="M201" i="1" s="1"/>
  <c r="C201" i="1"/>
  <c r="H201" i="1" s="1"/>
  <c r="O200" i="1"/>
  <c r="N200" i="1"/>
  <c r="G200" i="1"/>
  <c r="F200" i="1"/>
  <c r="J200" i="1" s="1"/>
  <c r="M200" i="1" s="1"/>
  <c r="C200" i="1"/>
  <c r="H200" i="1" s="1"/>
  <c r="O199" i="1"/>
  <c r="N199" i="1"/>
  <c r="G199" i="1"/>
  <c r="F199" i="1"/>
  <c r="J199" i="1" s="1"/>
  <c r="M199" i="1" s="1"/>
  <c r="C199" i="1"/>
  <c r="H199" i="1" s="1"/>
  <c r="O198" i="1"/>
  <c r="N198" i="1"/>
  <c r="J198" i="1"/>
  <c r="M198" i="1" s="1"/>
  <c r="G198" i="1"/>
  <c r="F198" i="1"/>
  <c r="C198" i="1"/>
  <c r="H198" i="1" s="1"/>
  <c r="O197" i="1"/>
  <c r="N197" i="1"/>
  <c r="G197" i="1"/>
  <c r="F197" i="1"/>
  <c r="J197" i="1" s="1"/>
  <c r="M197" i="1" s="1"/>
  <c r="C197" i="1"/>
  <c r="H197" i="1" s="1"/>
  <c r="O196" i="1"/>
  <c r="N196" i="1"/>
  <c r="G196" i="1"/>
  <c r="F196" i="1"/>
  <c r="J196" i="1" s="1"/>
  <c r="M196" i="1" s="1"/>
  <c r="C196" i="1"/>
  <c r="H196" i="1" s="1"/>
  <c r="O195" i="1"/>
  <c r="N195" i="1"/>
  <c r="G195" i="1"/>
  <c r="F195" i="1"/>
  <c r="J195" i="1" s="1"/>
  <c r="M195" i="1" s="1"/>
  <c r="C195" i="1"/>
  <c r="H195" i="1" s="1"/>
  <c r="O194" i="1"/>
  <c r="N194" i="1"/>
  <c r="G194" i="1"/>
  <c r="F194" i="1"/>
  <c r="J194" i="1" s="1"/>
  <c r="M194" i="1" s="1"/>
  <c r="C194" i="1"/>
  <c r="H194" i="1" s="1"/>
  <c r="O193" i="1"/>
  <c r="N193" i="1"/>
  <c r="G193" i="1"/>
  <c r="F193" i="1"/>
  <c r="J193" i="1" s="1"/>
  <c r="M193" i="1" s="1"/>
  <c r="C193" i="1"/>
  <c r="H193" i="1" s="1"/>
  <c r="O192" i="1"/>
  <c r="N192" i="1"/>
  <c r="J192" i="1"/>
  <c r="M192" i="1" s="1"/>
  <c r="G192" i="1"/>
  <c r="K192" i="1" s="1"/>
  <c r="F192" i="1"/>
  <c r="C192" i="1"/>
  <c r="H192" i="1" s="1"/>
  <c r="O191" i="1"/>
  <c r="N191" i="1"/>
  <c r="G191" i="1"/>
  <c r="K191" i="1" s="1"/>
  <c r="F191" i="1"/>
  <c r="J191" i="1" s="1"/>
  <c r="M191" i="1" s="1"/>
  <c r="C191" i="1"/>
  <c r="H191" i="1" s="1"/>
  <c r="O190" i="1"/>
  <c r="N190" i="1"/>
  <c r="G190" i="1"/>
  <c r="F190" i="1"/>
  <c r="J190" i="1" s="1"/>
  <c r="M190" i="1" s="1"/>
  <c r="C190" i="1"/>
  <c r="H190" i="1" s="1"/>
  <c r="O189" i="1"/>
  <c r="N189" i="1"/>
  <c r="G189" i="1"/>
  <c r="K189" i="1" s="1"/>
  <c r="F189" i="1"/>
  <c r="J189" i="1" s="1"/>
  <c r="M189" i="1" s="1"/>
  <c r="C189" i="1"/>
  <c r="H189" i="1" s="1"/>
  <c r="O188" i="1"/>
  <c r="N188" i="1"/>
  <c r="G188" i="1"/>
  <c r="F188" i="1"/>
  <c r="J188" i="1" s="1"/>
  <c r="M188" i="1" s="1"/>
  <c r="C188" i="1"/>
  <c r="H188" i="1" s="1"/>
  <c r="O187" i="1"/>
  <c r="N187" i="1"/>
  <c r="G187" i="1"/>
  <c r="K187" i="1" s="1"/>
  <c r="F187" i="1"/>
  <c r="J187" i="1" s="1"/>
  <c r="M187" i="1" s="1"/>
  <c r="C187" i="1"/>
  <c r="H187" i="1" s="1"/>
  <c r="O186" i="1"/>
  <c r="N186" i="1"/>
  <c r="G186" i="1"/>
  <c r="F186" i="1"/>
  <c r="J186" i="1" s="1"/>
  <c r="M186" i="1" s="1"/>
  <c r="C186" i="1"/>
  <c r="H186" i="1" s="1"/>
  <c r="O185" i="1"/>
  <c r="N185" i="1"/>
  <c r="G185" i="1"/>
  <c r="K185" i="1" s="1"/>
  <c r="F185" i="1"/>
  <c r="J185" i="1" s="1"/>
  <c r="M185" i="1" s="1"/>
  <c r="C185" i="1"/>
  <c r="H185" i="1" s="1"/>
  <c r="O184" i="1"/>
  <c r="N184" i="1"/>
  <c r="G184" i="1"/>
  <c r="F184" i="1"/>
  <c r="J184" i="1" s="1"/>
  <c r="M184" i="1" s="1"/>
  <c r="C184" i="1"/>
  <c r="H184" i="1" s="1"/>
  <c r="O183" i="1"/>
  <c r="N183" i="1"/>
  <c r="G183" i="1"/>
  <c r="K183" i="1" s="1"/>
  <c r="F183" i="1"/>
  <c r="J183" i="1" s="1"/>
  <c r="M183" i="1" s="1"/>
  <c r="C183" i="1"/>
  <c r="H183" i="1" s="1"/>
  <c r="O182" i="1"/>
  <c r="N182" i="1"/>
  <c r="G182" i="1"/>
  <c r="K182" i="1" s="1"/>
  <c r="F182" i="1"/>
  <c r="J182" i="1" s="1"/>
  <c r="M182" i="1" s="1"/>
  <c r="C182" i="1"/>
  <c r="H182" i="1" s="1"/>
  <c r="O181" i="1"/>
  <c r="N181" i="1"/>
  <c r="G181" i="1"/>
  <c r="K181" i="1" s="1"/>
  <c r="F181" i="1"/>
  <c r="J181" i="1" s="1"/>
  <c r="M181" i="1" s="1"/>
  <c r="C181" i="1"/>
  <c r="H181" i="1" s="1"/>
  <c r="O180" i="1"/>
  <c r="N180" i="1"/>
  <c r="G180" i="1"/>
  <c r="F180" i="1"/>
  <c r="J180" i="1" s="1"/>
  <c r="M180" i="1" s="1"/>
  <c r="C180" i="1"/>
  <c r="H180" i="1" s="1"/>
  <c r="O179" i="1"/>
  <c r="N179" i="1"/>
  <c r="G179" i="1"/>
  <c r="K179" i="1" s="1"/>
  <c r="F179" i="1"/>
  <c r="J179" i="1" s="1"/>
  <c r="M179" i="1" s="1"/>
  <c r="C179" i="1"/>
  <c r="H179" i="1" s="1"/>
  <c r="O178" i="1"/>
  <c r="N178" i="1"/>
  <c r="G178" i="1"/>
  <c r="F178" i="1"/>
  <c r="J178" i="1" s="1"/>
  <c r="M178" i="1" s="1"/>
  <c r="C178" i="1"/>
  <c r="H178" i="1" s="1"/>
  <c r="O177" i="1"/>
  <c r="N177" i="1"/>
  <c r="M177" i="1"/>
  <c r="G177" i="1"/>
  <c r="K177" i="1" s="1"/>
  <c r="F177" i="1"/>
  <c r="J177" i="1" s="1"/>
  <c r="C177" i="1"/>
  <c r="H177" i="1" s="1"/>
  <c r="O176" i="1"/>
  <c r="N176" i="1"/>
  <c r="G176" i="1"/>
  <c r="F176" i="1"/>
  <c r="J176" i="1" s="1"/>
  <c r="M176" i="1" s="1"/>
  <c r="C176" i="1"/>
  <c r="H176" i="1" s="1"/>
  <c r="O175" i="1"/>
  <c r="N175" i="1"/>
  <c r="M175" i="1"/>
  <c r="G175" i="1"/>
  <c r="K175" i="1" s="1"/>
  <c r="F175" i="1"/>
  <c r="J175" i="1" s="1"/>
  <c r="C175" i="1"/>
  <c r="H175" i="1" s="1"/>
  <c r="O174" i="1"/>
  <c r="N174" i="1"/>
  <c r="G174" i="1"/>
  <c r="K174" i="1" s="1"/>
  <c r="F174" i="1"/>
  <c r="J174" i="1" s="1"/>
  <c r="M174" i="1" s="1"/>
  <c r="C174" i="1"/>
  <c r="H174" i="1" s="1"/>
  <c r="O173" i="1"/>
  <c r="N173" i="1"/>
  <c r="G173" i="1"/>
  <c r="K173" i="1" s="1"/>
  <c r="F173" i="1"/>
  <c r="J173" i="1" s="1"/>
  <c r="M173" i="1" s="1"/>
  <c r="C173" i="1"/>
  <c r="H173" i="1" s="1"/>
  <c r="O172" i="1"/>
  <c r="N172" i="1"/>
  <c r="G172" i="1"/>
  <c r="F172" i="1"/>
  <c r="J172" i="1" s="1"/>
  <c r="M172" i="1" s="1"/>
  <c r="C172" i="1"/>
  <c r="H172" i="1" s="1"/>
  <c r="O171" i="1"/>
  <c r="N171" i="1"/>
  <c r="G171" i="1"/>
  <c r="K171" i="1" s="1"/>
  <c r="F171" i="1"/>
  <c r="J171" i="1" s="1"/>
  <c r="M171" i="1" s="1"/>
  <c r="C171" i="1"/>
  <c r="H171" i="1" s="1"/>
  <c r="O170" i="1"/>
  <c r="N170" i="1"/>
  <c r="G170" i="1"/>
  <c r="F170" i="1"/>
  <c r="J170" i="1" s="1"/>
  <c r="M170" i="1" s="1"/>
  <c r="C170" i="1"/>
  <c r="H170" i="1" s="1"/>
  <c r="O169" i="1"/>
  <c r="N169" i="1"/>
  <c r="G169" i="1"/>
  <c r="K169" i="1" s="1"/>
  <c r="F169" i="1"/>
  <c r="J169" i="1" s="1"/>
  <c r="M169" i="1" s="1"/>
  <c r="C169" i="1"/>
  <c r="H169" i="1" s="1"/>
  <c r="O168" i="1"/>
  <c r="N168" i="1"/>
  <c r="G168" i="1"/>
  <c r="F168" i="1"/>
  <c r="J168" i="1" s="1"/>
  <c r="M168" i="1" s="1"/>
  <c r="C168" i="1"/>
  <c r="H168" i="1" s="1"/>
  <c r="O167" i="1"/>
  <c r="N167" i="1"/>
  <c r="G167" i="1"/>
  <c r="K167" i="1" s="1"/>
  <c r="F167" i="1"/>
  <c r="J167" i="1" s="1"/>
  <c r="M167" i="1" s="1"/>
  <c r="C167" i="1"/>
  <c r="H167" i="1" s="1"/>
  <c r="O166" i="1"/>
  <c r="N166" i="1"/>
  <c r="G166" i="1"/>
  <c r="K166" i="1" s="1"/>
  <c r="F166" i="1"/>
  <c r="J166" i="1" s="1"/>
  <c r="M166" i="1" s="1"/>
  <c r="C166" i="1"/>
  <c r="H166" i="1" s="1"/>
  <c r="O165" i="1"/>
  <c r="N165" i="1"/>
  <c r="G165" i="1"/>
  <c r="K165" i="1" s="1"/>
  <c r="F165" i="1"/>
  <c r="J165" i="1" s="1"/>
  <c r="M165" i="1" s="1"/>
  <c r="C165" i="1"/>
  <c r="H165" i="1" s="1"/>
  <c r="O164" i="1"/>
  <c r="N164" i="1"/>
  <c r="G164" i="1"/>
  <c r="F164" i="1"/>
  <c r="J164" i="1" s="1"/>
  <c r="M164" i="1" s="1"/>
  <c r="C164" i="1"/>
  <c r="H164" i="1" s="1"/>
  <c r="O163" i="1"/>
  <c r="N163" i="1"/>
  <c r="G163" i="1"/>
  <c r="K163" i="1" s="1"/>
  <c r="F163" i="1"/>
  <c r="J163" i="1" s="1"/>
  <c r="M163" i="1" s="1"/>
  <c r="C163" i="1"/>
  <c r="H163" i="1" s="1"/>
  <c r="O162" i="1"/>
  <c r="N162" i="1"/>
  <c r="J162" i="1"/>
  <c r="M162" i="1" s="1"/>
  <c r="G162" i="1"/>
  <c r="F162" i="1"/>
  <c r="C162" i="1"/>
  <c r="H162" i="1" s="1"/>
  <c r="O161" i="1"/>
  <c r="N161" i="1"/>
  <c r="G161" i="1"/>
  <c r="K161" i="1" s="1"/>
  <c r="F161" i="1"/>
  <c r="J161" i="1" s="1"/>
  <c r="M161" i="1" s="1"/>
  <c r="C161" i="1"/>
  <c r="H161" i="1" s="1"/>
  <c r="O160" i="1"/>
  <c r="N160" i="1"/>
  <c r="J160" i="1"/>
  <c r="M160" i="1" s="1"/>
  <c r="G160" i="1"/>
  <c r="F160" i="1"/>
  <c r="C160" i="1"/>
  <c r="H160" i="1" s="1"/>
  <c r="O159" i="1"/>
  <c r="N159" i="1"/>
  <c r="G159" i="1"/>
  <c r="K159" i="1" s="1"/>
  <c r="F159" i="1"/>
  <c r="J159" i="1" s="1"/>
  <c r="M159" i="1" s="1"/>
  <c r="C159" i="1"/>
  <c r="H159" i="1" s="1"/>
  <c r="O158" i="1"/>
  <c r="N158" i="1"/>
  <c r="G158" i="1"/>
  <c r="K158" i="1" s="1"/>
  <c r="F158" i="1"/>
  <c r="J158" i="1" s="1"/>
  <c r="M158" i="1" s="1"/>
  <c r="C158" i="1"/>
  <c r="H158" i="1" s="1"/>
  <c r="O157" i="1"/>
  <c r="N157" i="1"/>
  <c r="G157" i="1"/>
  <c r="K157" i="1" s="1"/>
  <c r="F157" i="1"/>
  <c r="J157" i="1" s="1"/>
  <c r="M157" i="1" s="1"/>
  <c r="C157" i="1"/>
  <c r="H157" i="1" s="1"/>
  <c r="O156" i="1"/>
  <c r="N156" i="1"/>
  <c r="G156" i="1"/>
  <c r="F156" i="1"/>
  <c r="J156" i="1" s="1"/>
  <c r="M156" i="1" s="1"/>
  <c r="C156" i="1"/>
  <c r="H156" i="1" s="1"/>
  <c r="O155" i="1"/>
  <c r="N155" i="1"/>
  <c r="G155" i="1"/>
  <c r="K155" i="1" s="1"/>
  <c r="F155" i="1"/>
  <c r="J155" i="1" s="1"/>
  <c r="M155" i="1" s="1"/>
  <c r="C155" i="1"/>
  <c r="H155" i="1" s="1"/>
  <c r="O154" i="1"/>
  <c r="N154" i="1"/>
  <c r="G154" i="1"/>
  <c r="F154" i="1"/>
  <c r="J154" i="1" s="1"/>
  <c r="M154" i="1" s="1"/>
  <c r="C154" i="1"/>
  <c r="H154" i="1" s="1"/>
  <c r="O153" i="1"/>
  <c r="N153" i="1"/>
  <c r="G153" i="1"/>
  <c r="K153" i="1" s="1"/>
  <c r="F153" i="1"/>
  <c r="J153" i="1" s="1"/>
  <c r="M153" i="1" s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G151" i="1"/>
  <c r="K151" i="1" s="1"/>
  <c r="F151" i="1"/>
  <c r="J151" i="1" s="1"/>
  <c r="M151" i="1" s="1"/>
  <c r="C151" i="1"/>
  <c r="H151" i="1" s="1"/>
  <c r="O150" i="1"/>
  <c r="N150" i="1"/>
  <c r="J150" i="1"/>
  <c r="M150" i="1" s="1"/>
  <c r="G150" i="1"/>
  <c r="K150" i="1" s="1"/>
  <c r="F150" i="1"/>
  <c r="C150" i="1"/>
  <c r="H150" i="1" s="1"/>
  <c r="O149" i="1"/>
  <c r="N149" i="1"/>
  <c r="G149" i="1"/>
  <c r="K149" i="1" s="1"/>
  <c r="F149" i="1"/>
  <c r="J149" i="1" s="1"/>
  <c r="M149" i="1" s="1"/>
  <c r="C149" i="1"/>
  <c r="H149" i="1" s="1"/>
  <c r="O148" i="1"/>
  <c r="N148" i="1"/>
  <c r="G148" i="1"/>
  <c r="F148" i="1"/>
  <c r="J148" i="1" s="1"/>
  <c r="M148" i="1" s="1"/>
  <c r="C148" i="1"/>
  <c r="H148" i="1" s="1"/>
  <c r="O147" i="1"/>
  <c r="N147" i="1"/>
  <c r="G147" i="1"/>
  <c r="K147" i="1" s="1"/>
  <c r="F147" i="1"/>
  <c r="J147" i="1" s="1"/>
  <c r="M147" i="1" s="1"/>
  <c r="C147" i="1"/>
  <c r="H147" i="1" s="1"/>
  <c r="O146" i="1"/>
  <c r="N146" i="1"/>
  <c r="G146" i="1"/>
  <c r="F146" i="1"/>
  <c r="J146" i="1" s="1"/>
  <c r="M146" i="1" s="1"/>
  <c r="C146" i="1"/>
  <c r="H146" i="1" s="1"/>
  <c r="O145" i="1"/>
  <c r="N145" i="1"/>
  <c r="G145" i="1"/>
  <c r="K145" i="1" s="1"/>
  <c r="F145" i="1"/>
  <c r="J145" i="1" s="1"/>
  <c r="M145" i="1" s="1"/>
  <c r="C145" i="1"/>
  <c r="H145" i="1" s="1"/>
  <c r="O144" i="1"/>
  <c r="N144" i="1"/>
  <c r="G144" i="1"/>
  <c r="F144" i="1"/>
  <c r="J144" i="1" s="1"/>
  <c r="M144" i="1" s="1"/>
  <c r="C144" i="1"/>
  <c r="H144" i="1" s="1"/>
  <c r="O143" i="1"/>
  <c r="N143" i="1"/>
  <c r="G143" i="1"/>
  <c r="K143" i="1" s="1"/>
  <c r="F143" i="1"/>
  <c r="J143" i="1" s="1"/>
  <c r="M143" i="1" s="1"/>
  <c r="C143" i="1"/>
  <c r="H143" i="1" s="1"/>
  <c r="O142" i="1"/>
  <c r="N142" i="1"/>
  <c r="H142" i="1"/>
  <c r="G142" i="1"/>
  <c r="K142" i="1" s="1"/>
  <c r="F142" i="1"/>
  <c r="J142" i="1" s="1"/>
  <c r="M142" i="1" s="1"/>
  <c r="C142" i="1"/>
  <c r="O141" i="1"/>
  <c r="N141" i="1"/>
  <c r="G141" i="1"/>
  <c r="K141" i="1" s="1"/>
  <c r="F141" i="1"/>
  <c r="J141" i="1" s="1"/>
  <c r="M141" i="1" s="1"/>
  <c r="C141" i="1"/>
  <c r="H141" i="1" s="1"/>
  <c r="O140" i="1"/>
  <c r="N140" i="1"/>
  <c r="G140" i="1"/>
  <c r="F140" i="1"/>
  <c r="J140" i="1" s="1"/>
  <c r="M140" i="1" s="1"/>
  <c r="C140" i="1"/>
  <c r="H140" i="1" s="1"/>
  <c r="W139" i="1"/>
  <c r="O139" i="1"/>
  <c r="N139" i="1"/>
  <c r="G139" i="1"/>
  <c r="F139" i="1"/>
  <c r="J139" i="1" s="1"/>
  <c r="M139" i="1" s="1"/>
  <c r="C139" i="1"/>
  <c r="H139" i="1" s="1"/>
  <c r="W138" i="1"/>
  <c r="O138" i="1"/>
  <c r="N138" i="1"/>
  <c r="G138" i="1"/>
  <c r="K138" i="1" s="1"/>
  <c r="F138" i="1"/>
  <c r="J138" i="1" s="1"/>
  <c r="M138" i="1" s="1"/>
  <c r="C138" i="1"/>
  <c r="H138" i="1" s="1"/>
  <c r="W137" i="1"/>
  <c r="O137" i="1"/>
  <c r="N137" i="1"/>
  <c r="G137" i="1"/>
  <c r="F137" i="1"/>
  <c r="J137" i="1" s="1"/>
  <c r="M137" i="1" s="1"/>
  <c r="C137" i="1"/>
  <c r="H137" i="1" s="1"/>
  <c r="W136" i="1"/>
  <c r="O136" i="1"/>
  <c r="N136" i="1"/>
  <c r="G136" i="1"/>
  <c r="F136" i="1"/>
  <c r="J136" i="1" s="1"/>
  <c r="M136" i="1" s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K134" i="1" s="1"/>
  <c r="F134" i="1"/>
  <c r="J134" i="1" s="1"/>
  <c r="M134" i="1" s="1"/>
  <c r="C134" i="1"/>
  <c r="H134" i="1" s="1"/>
  <c r="W133" i="1"/>
  <c r="O133" i="1"/>
  <c r="N133" i="1"/>
  <c r="G133" i="1"/>
  <c r="F133" i="1"/>
  <c r="J133" i="1" s="1"/>
  <c r="M133" i="1" s="1"/>
  <c r="C133" i="1"/>
  <c r="H133" i="1" s="1"/>
  <c r="W132" i="1"/>
  <c r="O132" i="1"/>
  <c r="N132" i="1"/>
  <c r="G132" i="1"/>
  <c r="F132" i="1"/>
  <c r="J132" i="1" s="1"/>
  <c r="M132" i="1" s="1"/>
  <c r="C132" i="1"/>
  <c r="H132" i="1" s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G130" i="1"/>
  <c r="K130" i="1" s="1"/>
  <c r="F130" i="1"/>
  <c r="J130" i="1" s="1"/>
  <c r="M130" i="1" s="1"/>
  <c r="C130" i="1"/>
  <c r="H130" i="1" s="1"/>
  <c r="W129" i="1"/>
  <c r="O129" i="1"/>
  <c r="N129" i="1"/>
  <c r="G129" i="1"/>
  <c r="F129" i="1"/>
  <c r="J129" i="1" s="1"/>
  <c r="M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G126" i="1"/>
  <c r="K126" i="1" s="1"/>
  <c r="F126" i="1"/>
  <c r="J126" i="1" s="1"/>
  <c r="M126" i="1" s="1"/>
  <c r="C126" i="1"/>
  <c r="H126" i="1" s="1"/>
  <c r="W125" i="1"/>
  <c r="O125" i="1"/>
  <c r="N125" i="1"/>
  <c r="G125" i="1"/>
  <c r="F125" i="1"/>
  <c r="J125" i="1" s="1"/>
  <c r="M125" i="1" s="1"/>
  <c r="C125" i="1"/>
  <c r="H125" i="1" s="1"/>
  <c r="W124" i="1"/>
  <c r="O124" i="1"/>
  <c r="N124" i="1"/>
  <c r="J124" i="1"/>
  <c r="M124" i="1" s="1"/>
  <c r="G124" i="1"/>
  <c r="F124" i="1"/>
  <c r="C124" i="1"/>
  <c r="H124" i="1" s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G122" i="1"/>
  <c r="K122" i="1" s="1"/>
  <c r="F122" i="1"/>
  <c r="J122" i="1" s="1"/>
  <c r="M122" i="1" s="1"/>
  <c r="C122" i="1"/>
  <c r="H122" i="1" s="1"/>
  <c r="W121" i="1"/>
  <c r="O121" i="1"/>
  <c r="N121" i="1"/>
  <c r="G121" i="1"/>
  <c r="F121" i="1"/>
  <c r="J121" i="1" s="1"/>
  <c r="M121" i="1" s="1"/>
  <c r="C121" i="1"/>
  <c r="H121" i="1" s="1"/>
  <c r="W120" i="1"/>
  <c r="O120" i="1"/>
  <c r="N120" i="1"/>
  <c r="G120" i="1"/>
  <c r="F120" i="1"/>
  <c r="J120" i="1" s="1"/>
  <c r="M120" i="1" s="1"/>
  <c r="C120" i="1"/>
  <c r="H120" i="1" s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G118" i="1"/>
  <c r="K118" i="1" s="1"/>
  <c r="F118" i="1"/>
  <c r="J118" i="1" s="1"/>
  <c r="M118" i="1" s="1"/>
  <c r="C118" i="1"/>
  <c r="H118" i="1" s="1"/>
  <c r="W117" i="1"/>
  <c r="O117" i="1"/>
  <c r="N117" i="1"/>
  <c r="G117" i="1"/>
  <c r="F117" i="1"/>
  <c r="J117" i="1" s="1"/>
  <c r="M117" i="1" s="1"/>
  <c r="C117" i="1"/>
  <c r="H117" i="1" s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G115" i="1"/>
  <c r="K115" i="1" s="1"/>
  <c r="F115" i="1"/>
  <c r="J115" i="1" s="1"/>
  <c r="M115" i="1" s="1"/>
  <c r="C115" i="1"/>
  <c r="H115" i="1" s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K113" i="1"/>
  <c r="G113" i="1"/>
  <c r="F113" i="1"/>
  <c r="J113" i="1" s="1"/>
  <c r="M113" i="1" s="1"/>
  <c r="C113" i="1"/>
  <c r="H113" i="1" s="1"/>
  <c r="W112" i="1"/>
  <c r="O112" i="1"/>
  <c r="N112" i="1"/>
  <c r="G112" i="1"/>
  <c r="K112" i="1" s="1"/>
  <c r="F112" i="1"/>
  <c r="J112" i="1" s="1"/>
  <c r="M112" i="1" s="1"/>
  <c r="C112" i="1"/>
  <c r="H112" i="1" s="1"/>
  <c r="W111" i="1"/>
  <c r="O111" i="1"/>
  <c r="N111" i="1"/>
  <c r="G111" i="1"/>
  <c r="K111" i="1" s="1"/>
  <c r="F111" i="1"/>
  <c r="J111" i="1" s="1"/>
  <c r="M111" i="1" s="1"/>
  <c r="C111" i="1"/>
  <c r="H111" i="1" s="1"/>
  <c r="W110" i="1"/>
  <c r="O110" i="1"/>
  <c r="N110" i="1"/>
  <c r="G110" i="1"/>
  <c r="K110" i="1" s="1"/>
  <c r="F110" i="1"/>
  <c r="J110" i="1" s="1"/>
  <c r="M110" i="1" s="1"/>
  <c r="C110" i="1"/>
  <c r="H110" i="1" s="1"/>
  <c r="W109" i="1"/>
  <c r="O109" i="1"/>
  <c r="N109" i="1"/>
  <c r="G109" i="1"/>
  <c r="F109" i="1"/>
  <c r="J109" i="1" s="1"/>
  <c r="M109" i="1" s="1"/>
  <c r="C109" i="1"/>
  <c r="H109" i="1" s="1"/>
  <c r="W108" i="1"/>
  <c r="O108" i="1"/>
  <c r="N108" i="1"/>
  <c r="G108" i="1"/>
  <c r="F108" i="1"/>
  <c r="J108" i="1" s="1"/>
  <c r="M108" i="1" s="1"/>
  <c r="C108" i="1"/>
  <c r="H108" i="1" s="1"/>
  <c r="W107" i="1"/>
  <c r="O107" i="1"/>
  <c r="N107" i="1"/>
  <c r="G107" i="1"/>
  <c r="F107" i="1"/>
  <c r="J107" i="1" s="1"/>
  <c r="M107" i="1" s="1"/>
  <c r="C107" i="1"/>
  <c r="H107" i="1" s="1"/>
  <c r="W106" i="1"/>
  <c r="O106" i="1"/>
  <c r="N106" i="1"/>
  <c r="G106" i="1"/>
  <c r="K106" i="1" s="1"/>
  <c r="F106" i="1"/>
  <c r="J106" i="1" s="1"/>
  <c r="M106" i="1" s="1"/>
  <c r="C106" i="1"/>
  <c r="H106" i="1" s="1"/>
  <c r="W105" i="1"/>
  <c r="O105" i="1"/>
  <c r="N105" i="1"/>
  <c r="G105" i="1"/>
  <c r="F105" i="1"/>
  <c r="J105" i="1" s="1"/>
  <c r="M105" i="1" s="1"/>
  <c r="C105" i="1"/>
  <c r="H105" i="1" s="1"/>
  <c r="W104" i="1"/>
  <c r="O104" i="1"/>
  <c r="N104" i="1"/>
  <c r="H104" i="1"/>
  <c r="G104" i="1"/>
  <c r="K104" i="1" s="1"/>
  <c r="F104" i="1"/>
  <c r="J104" i="1" s="1"/>
  <c r="M104" i="1" s="1"/>
  <c r="C104" i="1"/>
  <c r="W103" i="1"/>
  <c r="O103" i="1"/>
  <c r="N103" i="1"/>
  <c r="G103" i="1"/>
  <c r="K103" i="1" s="1"/>
  <c r="F103" i="1"/>
  <c r="J103" i="1" s="1"/>
  <c r="M103" i="1" s="1"/>
  <c r="C103" i="1"/>
  <c r="H103" i="1" s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G100" i="1"/>
  <c r="K100" i="1" s="1"/>
  <c r="F100" i="1"/>
  <c r="J100" i="1" s="1"/>
  <c r="M100" i="1" s="1"/>
  <c r="C100" i="1"/>
  <c r="H100" i="1" s="1"/>
  <c r="W99" i="1"/>
  <c r="O99" i="1"/>
  <c r="N99" i="1"/>
  <c r="G99" i="1"/>
  <c r="K99" i="1" s="1"/>
  <c r="F99" i="1"/>
  <c r="J99" i="1" s="1"/>
  <c r="M99" i="1" s="1"/>
  <c r="C99" i="1"/>
  <c r="H99" i="1" s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G97" i="1"/>
  <c r="F97" i="1"/>
  <c r="J97" i="1" s="1"/>
  <c r="M97" i="1" s="1"/>
  <c r="C97" i="1"/>
  <c r="H97" i="1" s="1"/>
  <c r="W96" i="1"/>
  <c r="O96" i="1"/>
  <c r="N96" i="1"/>
  <c r="H96" i="1"/>
  <c r="G96" i="1"/>
  <c r="K96" i="1" s="1"/>
  <c r="F96" i="1"/>
  <c r="J96" i="1" s="1"/>
  <c r="M96" i="1" s="1"/>
  <c r="C96" i="1"/>
  <c r="W95" i="1"/>
  <c r="O95" i="1"/>
  <c r="N95" i="1"/>
  <c r="G95" i="1"/>
  <c r="K95" i="1" s="1"/>
  <c r="F95" i="1"/>
  <c r="J95" i="1" s="1"/>
  <c r="M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G93" i="1"/>
  <c r="F93" i="1"/>
  <c r="J93" i="1" s="1"/>
  <c r="M93" i="1" s="1"/>
  <c r="C93" i="1"/>
  <c r="H93" i="1" s="1"/>
  <c r="W92" i="1"/>
  <c r="O92" i="1"/>
  <c r="N92" i="1"/>
  <c r="G92" i="1"/>
  <c r="K92" i="1" s="1"/>
  <c r="F92" i="1"/>
  <c r="J92" i="1" s="1"/>
  <c r="M92" i="1" s="1"/>
  <c r="C92" i="1"/>
  <c r="H92" i="1" s="1"/>
  <c r="W91" i="1"/>
  <c r="O91" i="1"/>
  <c r="N91" i="1"/>
  <c r="K91" i="1"/>
  <c r="G91" i="1"/>
  <c r="F91" i="1"/>
  <c r="J91" i="1" s="1"/>
  <c r="M91" i="1" s="1"/>
  <c r="C91" i="1"/>
  <c r="H91" i="1" s="1"/>
  <c r="W90" i="1"/>
  <c r="O90" i="1"/>
  <c r="N90" i="1"/>
  <c r="J90" i="1"/>
  <c r="M90" i="1" s="1"/>
  <c r="G90" i="1"/>
  <c r="F90" i="1"/>
  <c r="C90" i="1"/>
  <c r="H90" i="1" s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G88" i="1"/>
  <c r="K88" i="1" s="1"/>
  <c r="F88" i="1"/>
  <c r="J88" i="1" s="1"/>
  <c r="M88" i="1" s="1"/>
  <c r="C88" i="1"/>
  <c r="H88" i="1" s="1"/>
  <c r="W87" i="1"/>
  <c r="O87" i="1"/>
  <c r="N87" i="1"/>
  <c r="G87" i="1"/>
  <c r="K87" i="1" s="1"/>
  <c r="F87" i="1"/>
  <c r="J87" i="1" s="1"/>
  <c r="M87" i="1" s="1"/>
  <c r="C87" i="1"/>
  <c r="H87" i="1" s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J85" i="1"/>
  <c r="M85" i="1" s="1"/>
  <c r="G85" i="1"/>
  <c r="F85" i="1"/>
  <c r="C85" i="1"/>
  <c r="H85" i="1" s="1"/>
  <c r="W84" i="1"/>
  <c r="O84" i="1"/>
  <c r="N84" i="1"/>
  <c r="G84" i="1"/>
  <c r="K84" i="1" s="1"/>
  <c r="F84" i="1"/>
  <c r="J84" i="1" s="1"/>
  <c r="M84" i="1" s="1"/>
  <c r="C84" i="1"/>
  <c r="H84" i="1" s="1"/>
  <c r="W83" i="1"/>
  <c r="O83" i="1"/>
  <c r="N83" i="1"/>
  <c r="K83" i="1"/>
  <c r="G83" i="1"/>
  <c r="F83" i="1"/>
  <c r="J83" i="1" s="1"/>
  <c r="M83" i="1" s="1"/>
  <c r="C83" i="1"/>
  <c r="H83" i="1" s="1"/>
  <c r="W82" i="1"/>
  <c r="O82" i="1"/>
  <c r="N82" i="1"/>
  <c r="J82" i="1"/>
  <c r="M82" i="1" s="1"/>
  <c r="G82" i="1"/>
  <c r="F82" i="1"/>
  <c r="C82" i="1"/>
  <c r="H82" i="1" s="1"/>
  <c r="W81" i="1"/>
  <c r="O81" i="1"/>
  <c r="N81" i="1"/>
  <c r="J81" i="1"/>
  <c r="M81" i="1" s="1"/>
  <c r="G81" i="1"/>
  <c r="F81" i="1"/>
  <c r="C81" i="1"/>
  <c r="H81" i="1" s="1"/>
  <c r="W80" i="1"/>
  <c r="O80" i="1"/>
  <c r="N80" i="1"/>
  <c r="J80" i="1"/>
  <c r="M80" i="1" s="1"/>
  <c r="G80" i="1"/>
  <c r="K80" i="1" s="1"/>
  <c r="F80" i="1"/>
  <c r="C80" i="1"/>
  <c r="H80" i="1" s="1"/>
  <c r="W79" i="1"/>
  <c r="O79" i="1"/>
  <c r="N79" i="1"/>
  <c r="H79" i="1"/>
  <c r="G79" i="1"/>
  <c r="K79" i="1" s="1"/>
  <c r="F79" i="1"/>
  <c r="J79" i="1" s="1"/>
  <c r="M79" i="1" s="1"/>
  <c r="C79" i="1"/>
  <c r="W78" i="1"/>
  <c r="O78" i="1"/>
  <c r="N78" i="1"/>
  <c r="G78" i="1"/>
  <c r="F78" i="1"/>
  <c r="J78" i="1" s="1"/>
  <c r="M78" i="1" s="1"/>
  <c r="C78" i="1"/>
  <c r="H78" i="1" s="1"/>
  <c r="W77" i="1"/>
  <c r="O77" i="1"/>
  <c r="N77" i="1"/>
  <c r="G77" i="1"/>
  <c r="F77" i="1"/>
  <c r="J77" i="1" s="1"/>
  <c r="M77" i="1" s="1"/>
  <c r="C77" i="1"/>
  <c r="H77" i="1" s="1"/>
  <c r="W76" i="1"/>
  <c r="O76" i="1"/>
  <c r="N76" i="1"/>
  <c r="H76" i="1"/>
  <c r="G76" i="1"/>
  <c r="K76" i="1" s="1"/>
  <c r="F76" i="1"/>
  <c r="J76" i="1" s="1"/>
  <c r="M76" i="1" s="1"/>
  <c r="C76" i="1"/>
  <c r="W75" i="1"/>
  <c r="O75" i="1"/>
  <c r="N75" i="1"/>
  <c r="G75" i="1"/>
  <c r="K75" i="1" s="1"/>
  <c r="F75" i="1"/>
  <c r="J75" i="1" s="1"/>
  <c r="M75" i="1" s="1"/>
  <c r="C75" i="1"/>
  <c r="H75" i="1" s="1"/>
  <c r="W74" i="1"/>
  <c r="O74" i="1"/>
  <c r="N74" i="1"/>
  <c r="J74" i="1"/>
  <c r="M74" i="1" s="1"/>
  <c r="G74" i="1"/>
  <c r="F74" i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G72" i="1"/>
  <c r="K72" i="1" s="1"/>
  <c r="F72" i="1"/>
  <c r="J72" i="1" s="1"/>
  <c r="M72" i="1" s="1"/>
  <c r="C72" i="1"/>
  <c r="H72" i="1" s="1"/>
  <c r="W71" i="1"/>
  <c r="O71" i="1"/>
  <c r="N71" i="1"/>
  <c r="G71" i="1"/>
  <c r="K71" i="1" s="1"/>
  <c r="F71" i="1"/>
  <c r="J71" i="1" s="1"/>
  <c r="M71" i="1" s="1"/>
  <c r="C71" i="1"/>
  <c r="H71" i="1" s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G69" i="1"/>
  <c r="F69" i="1"/>
  <c r="J69" i="1" s="1"/>
  <c r="M69" i="1" s="1"/>
  <c r="C69" i="1"/>
  <c r="H69" i="1" s="1"/>
  <c r="W68" i="1"/>
  <c r="O68" i="1"/>
  <c r="N68" i="1"/>
  <c r="G68" i="1"/>
  <c r="K68" i="1" s="1"/>
  <c r="F68" i="1"/>
  <c r="J68" i="1" s="1"/>
  <c r="M68" i="1" s="1"/>
  <c r="C68" i="1"/>
  <c r="H68" i="1" s="1"/>
  <c r="W67" i="1"/>
  <c r="O67" i="1"/>
  <c r="N67" i="1"/>
  <c r="G67" i="1"/>
  <c r="K67" i="1" s="1"/>
  <c r="F67" i="1"/>
  <c r="J67" i="1" s="1"/>
  <c r="M67" i="1" s="1"/>
  <c r="C67" i="1"/>
  <c r="H67" i="1" s="1"/>
  <c r="W66" i="1"/>
  <c r="O66" i="1"/>
  <c r="N66" i="1"/>
  <c r="G66" i="1"/>
  <c r="F66" i="1"/>
  <c r="J66" i="1" s="1"/>
  <c r="M66" i="1" s="1"/>
  <c r="C66" i="1"/>
  <c r="H66" i="1" s="1"/>
  <c r="W65" i="1"/>
  <c r="O65" i="1"/>
  <c r="N65" i="1"/>
  <c r="G65" i="1"/>
  <c r="F65" i="1"/>
  <c r="J65" i="1" s="1"/>
  <c r="M65" i="1" s="1"/>
  <c r="C65" i="1"/>
  <c r="H65" i="1" s="1"/>
  <c r="W64" i="1"/>
  <c r="O64" i="1"/>
  <c r="N64" i="1"/>
  <c r="G64" i="1"/>
  <c r="K64" i="1" s="1"/>
  <c r="F64" i="1"/>
  <c r="J64" i="1" s="1"/>
  <c r="M64" i="1" s="1"/>
  <c r="C64" i="1"/>
  <c r="H64" i="1" s="1"/>
  <c r="W63" i="1"/>
  <c r="O63" i="1"/>
  <c r="N63" i="1"/>
  <c r="G63" i="1"/>
  <c r="K63" i="1" s="1"/>
  <c r="F63" i="1"/>
  <c r="J63" i="1" s="1"/>
  <c r="M63" i="1" s="1"/>
  <c r="C63" i="1"/>
  <c r="H63" i="1" s="1"/>
  <c r="W62" i="1"/>
  <c r="O62" i="1"/>
  <c r="N62" i="1"/>
  <c r="G62" i="1"/>
  <c r="F62" i="1"/>
  <c r="J62" i="1" s="1"/>
  <c r="M62" i="1" s="1"/>
  <c r="C62" i="1"/>
  <c r="H62" i="1" s="1"/>
  <c r="W61" i="1"/>
  <c r="O61" i="1"/>
  <c r="N61" i="1"/>
  <c r="G61" i="1"/>
  <c r="F61" i="1"/>
  <c r="J61" i="1" s="1"/>
  <c r="M61" i="1" s="1"/>
  <c r="C61" i="1"/>
  <c r="H61" i="1" s="1"/>
  <c r="W60" i="1"/>
  <c r="O60" i="1"/>
  <c r="N60" i="1"/>
  <c r="G60" i="1"/>
  <c r="K60" i="1" s="1"/>
  <c r="F60" i="1"/>
  <c r="J60" i="1" s="1"/>
  <c r="M60" i="1" s="1"/>
  <c r="C60" i="1"/>
  <c r="H60" i="1" s="1"/>
  <c r="W59" i="1"/>
  <c r="O59" i="1"/>
  <c r="N59" i="1"/>
  <c r="G59" i="1"/>
  <c r="K59" i="1" s="1"/>
  <c r="F59" i="1"/>
  <c r="J59" i="1" s="1"/>
  <c r="M59" i="1" s="1"/>
  <c r="C59" i="1"/>
  <c r="H59" i="1" s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J56" i="1"/>
  <c r="M56" i="1" s="1"/>
  <c r="G56" i="1"/>
  <c r="K56" i="1" s="1"/>
  <c r="F56" i="1"/>
  <c r="C56" i="1"/>
  <c r="H56" i="1" s="1"/>
  <c r="W55" i="1"/>
  <c r="O55" i="1"/>
  <c r="N55" i="1"/>
  <c r="G55" i="1"/>
  <c r="K55" i="1" s="1"/>
  <c r="P55" i="1" s="1"/>
  <c r="F55" i="1"/>
  <c r="J55" i="1" s="1"/>
  <c r="M55" i="1" s="1"/>
  <c r="C55" i="1"/>
  <c r="H55" i="1" s="1"/>
  <c r="W54" i="1"/>
  <c r="O54" i="1"/>
  <c r="N54" i="1"/>
  <c r="G54" i="1"/>
  <c r="F54" i="1"/>
  <c r="J54" i="1" s="1"/>
  <c r="M54" i="1" s="1"/>
  <c r="C54" i="1"/>
  <c r="H54" i="1" s="1"/>
  <c r="W53" i="1"/>
  <c r="O53" i="1"/>
  <c r="N53" i="1"/>
  <c r="J53" i="1"/>
  <c r="M53" i="1" s="1"/>
  <c r="G53" i="1"/>
  <c r="F53" i="1"/>
  <c r="C53" i="1"/>
  <c r="H53" i="1" s="1"/>
  <c r="W52" i="1"/>
  <c r="O52" i="1"/>
  <c r="N52" i="1"/>
  <c r="J52" i="1"/>
  <c r="M52" i="1" s="1"/>
  <c r="G52" i="1"/>
  <c r="K52" i="1" s="1"/>
  <c r="F52" i="1"/>
  <c r="C52" i="1"/>
  <c r="H52" i="1" s="1"/>
  <c r="W51" i="1"/>
  <c r="O51" i="1"/>
  <c r="N51" i="1"/>
  <c r="G51" i="1"/>
  <c r="K51" i="1" s="1"/>
  <c r="P51" i="1" s="1"/>
  <c r="F51" i="1"/>
  <c r="J51" i="1" s="1"/>
  <c r="M51" i="1" s="1"/>
  <c r="C51" i="1"/>
  <c r="H51" i="1" s="1"/>
  <c r="W50" i="1"/>
  <c r="O50" i="1"/>
  <c r="N50" i="1"/>
  <c r="G50" i="1"/>
  <c r="F50" i="1"/>
  <c r="J50" i="1" s="1"/>
  <c r="M50" i="1" s="1"/>
  <c r="C50" i="1"/>
  <c r="H50" i="1" s="1"/>
  <c r="W49" i="1"/>
  <c r="O49" i="1"/>
  <c r="N49" i="1"/>
  <c r="G49" i="1"/>
  <c r="F49" i="1"/>
  <c r="J49" i="1" s="1"/>
  <c r="M49" i="1" s="1"/>
  <c r="C49" i="1"/>
  <c r="H49" i="1" s="1"/>
  <c r="W48" i="1"/>
  <c r="O48" i="1"/>
  <c r="N48" i="1"/>
  <c r="G48" i="1"/>
  <c r="K48" i="1" s="1"/>
  <c r="F48" i="1"/>
  <c r="J48" i="1" s="1"/>
  <c r="M48" i="1" s="1"/>
  <c r="C48" i="1"/>
  <c r="H48" i="1" s="1"/>
  <c r="W47" i="1"/>
  <c r="O47" i="1"/>
  <c r="N47" i="1"/>
  <c r="G47" i="1"/>
  <c r="K47" i="1" s="1"/>
  <c r="F47" i="1"/>
  <c r="J47" i="1" s="1"/>
  <c r="M47" i="1" s="1"/>
  <c r="C47" i="1"/>
  <c r="H47" i="1" s="1"/>
  <c r="W46" i="1"/>
  <c r="O46" i="1"/>
  <c r="N46" i="1"/>
  <c r="G46" i="1"/>
  <c r="F46" i="1"/>
  <c r="J46" i="1" s="1"/>
  <c r="M46" i="1" s="1"/>
  <c r="C46" i="1"/>
  <c r="H46" i="1" s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G44" i="1"/>
  <c r="K44" i="1" s="1"/>
  <c r="F44" i="1"/>
  <c r="J44" i="1" s="1"/>
  <c r="M44" i="1" s="1"/>
  <c r="C44" i="1"/>
  <c r="H44" i="1" s="1"/>
  <c r="W43" i="1"/>
  <c r="O43" i="1"/>
  <c r="N43" i="1"/>
  <c r="G43" i="1"/>
  <c r="K43" i="1" s="1"/>
  <c r="P43" i="1" s="1"/>
  <c r="F43" i="1"/>
  <c r="J43" i="1" s="1"/>
  <c r="M43" i="1" s="1"/>
  <c r="C43" i="1"/>
  <c r="H43" i="1" s="1"/>
  <c r="W42" i="1"/>
  <c r="O42" i="1"/>
  <c r="N42" i="1"/>
  <c r="G42" i="1"/>
  <c r="F42" i="1"/>
  <c r="J42" i="1" s="1"/>
  <c r="M42" i="1" s="1"/>
  <c r="C42" i="1"/>
  <c r="H42" i="1" s="1"/>
  <c r="W41" i="1"/>
  <c r="O41" i="1"/>
  <c r="N41" i="1"/>
  <c r="J41" i="1"/>
  <c r="M41" i="1" s="1"/>
  <c r="G41" i="1"/>
  <c r="F41" i="1"/>
  <c r="C41" i="1"/>
  <c r="H41" i="1" s="1"/>
  <c r="W40" i="1"/>
  <c r="O40" i="1"/>
  <c r="N40" i="1"/>
  <c r="J40" i="1"/>
  <c r="M40" i="1" s="1"/>
  <c r="G40" i="1"/>
  <c r="K40" i="1" s="1"/>
  <c r="F40" i="1"/>
  <c r="C40" i="1"/>
  <c r="H40" i="1" s="1"/>
  <c r="W39" i="1"/>
  <c r="O39" i="1"/>
  <c r="N39" i="1"/>
  <c r="G39" i="1"/>
  <c r="K39" i="1" s="1"/>
  <c r="P39" i="1" s="1"/>
  <c r="F39" i="1"/>
  <c r="J39" i="1" s="1"/>
  <c r="M39" i="1" s="1"/>
  <c r="C39" i="1"/>
  <c r="H39" i="1" s="1"/>
  <c r="W38" i="1"/>
  <c r="O38" i="1"/>
  <c r="N38" i="1"/>
  <c r="G38" i="1"/>
  <c r="F38" i="1"/>
  <c r="J38" i="1" s="1"/>
  <c r="M38" i="1" s="1"/>
  <c r="C38" i="1"/>
  <c r="H38" i="1" s="1"/>
  <c r="W37" i="1"/>
  <c r="O37" i="1"/>
  <c r="N37" i="1"/>
  <c r="J37" i="1"/>
  <c r="M37" i="1" s="1"/>
  <c r="G37" i="1"/>
  <c r="F37" i="1"/>
  <c r="C37" i="1"/>
  <c r="H37" i="1" s="1"/>
  <c r="W36" i="1"/>
  <c r="O36" i="1"/>
  <c r="N36" i="1"/>
  <c r="G36" i="1"/>
  <c r="K36" i="1" s="1"/>
  <c r="F36" i="1"/>
  <c r="J36" i="1" s="1"/>
  <c r="M36" i="1" s="1"/>
  <c r="C36" i="1"/>
  <c r="H36" i="1" s="1"/>
  <c r="W35" i="1"/>
  <c r="O35" i="1"/>
  <c r="N35" i="1"/>
  <c r="G35" i="1"/>
  <c r="K35" i="1" s="1"/>
  <c r="F35" i="1"/>
  <c r="J35" i="1" s="1"/>
  <c r="M35" i="1" s="1"/>
  <c r="C35" i="1"/>
  <c r="H35" i="1" s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G32" i="1"/>
  <c r="K32" i="1" s="1"/>
  <c r="F32" i="1"/>
  <c r="J32" i="1" s="1"/>
  <c r="M32" i="1" s="1"/>
  <c r="C32" i="1"/>
  <c r="H32" i="1" s="1"/>
  <c r="Z31" i="1"/>
  <c r="W31" i="1"/>
  <c r="O31" i="1"/>
  <c r="N31" i="1"/>
  <c r="G31" i="1"/>
  <c r="K31" i="1" s="1"/>
  <c r="F31" i="1"/>
  <c r="J31" i="1" s="1"/>
  <c r="M31" i="1" s="1"/>
  <c r="C31" i="1"/>
  <c r="H31" i="1" s="1"/>
  <c r="Z30" i="1"/>
  <c r="W30" i="1"/>
  <c r="O30" i="1"/>
  <c r="N30" i="1"/>
  <c r="G30" i="1"/>
  <c r="K30" i="1" s="1"/>
  <c r="F30" i="1"/>
  <c r="J30" i="1" s="1"/>
  <c r="M30" i="1" s="1"/>
  <c r="C30" i="1"/>
  <c r="H30" i="1" s="1"/>
  <c r="Z29" i="1"/>
  <c r="W29" i="1"/>
  <c r="O29" i="1"/>
  <c r="N29" i="1"/>
  <c r="H29" i="1"/>
  <c r="G29" i="1"/>
  <c r="K29" i="1" s="1"/>
  <c r="F29" i="1"/>
  <c r="J29" i="1" s="1"/>
  <c r="M29" i="1" s="1"/>
  <c r="C29" i="1"/>
  <c r="Z28" i="1"/>
  <c r="W28" i="1"/>
  <c r="O28" i="1"/>
  <c r="N28" i="1"/>
  <c r="H28" i="1"/>
  <c r="G28" i="1"/>
  <c r="K28" i="1" s="1"/>
  <c r="F28" i="1"/>
  <c r="J28" i="1" s="1"/>
  <c r="M28" i="1" s="1"/>
  <c r="C28" i="1"/>
  <c r="Z27" i="1"/>
  <c r="W27" i="1"/>
  <c r="O27" i="1"/>
  <c r="N27" i="1"/>
  <c r="J27" i="1"/>
  <c r="M27" i="1" s="1"/>
  <c r="G27" i="1"/>
  <c r="K27" i="1" s="1"/>
  <c r="F27" i="1"/>
  <c r="C27" i="1"/>
  <c r="H27" i="1" s="1"/>
  <c r="Z26" i="1"/>
  <c r="W26" i="1"/>
  <c r="O26" i="1"/>
  <c r="N26" i="1"/>
  <c r="G26" i="1"/>
  <c r="K26" i="1" s="1"/>
  <c r="F26" i="1"/>
  <c r="J26" i="1" s="1"/>
  <c r="M26" i="1" s="1"/>
  <c r="C26" i="1"/>
  <c r="H26" i="1" s="1"/>
  <c r="Z25" i="1"/>
  <c r="W25" i="1"/>
  <c r="O25" i="1"/>
  <c r="N25" i="1"/>
  <c r="G25" i="1"/>
  <c r="K25" i="1" s="1"/>
  <c r="F25" i="1"/>
  <c r="J25" i="1" s="1"/>
  <c r="M25" i="1" s="1"/>
  <c r="C25" i="1"/>
  <c r="H25" i="1" s="1"/>
  <c r="Z24" i="1"/>
  <c r="W24" i="1"/>
  <c r="O24" i="1"/>
  <c r="N24" i="1"/>
  <c r="G24" i="1"/>
  <c r="K24" i="1" s="1"/>
  <c r="F24" i="1"/>
  <c r="J24" i="1" s="1"/>
  <c r="M24" i="1" s="1"/>
  <c r="C24" i="1"/>
  <c r="H24" i="1" s="1"/>
  <c r="Z23" i="1"/>
  <c r="W23" i="1"/>
  <c r="O23" i="1"/>
  <c r="N23" i="1"/>
  <c r="G23" i="1"/>
  <c r="K23" i="1" s="1"/>
  <c r="F23" i="1"/>
  <c r="J23" i="1" s="1"/>
  <c r="M23" i="1" s="1"/>
  <c r="C23" i="1"/>
  <c r="H23" i="1" s="1"/>
  <c r="Z22" i="1"/>
  <c r="W22" i="1"/>
  <c r="O22" i="1"/>
  <c r="N22" i="1"/>
  <c r="G22" i="1"/>
  <c r="K22" i="1" s="1"/>
  <c r="F22" i="1"/>
  <c r="J22" i="1" s="1"/>
  <c r="M22" i="1" s="1"/>
  <c r="C22" i="1"/>
  <c r="H22" i="1" s="1"/>
  <c r="Z21" i="1"/>
  <c r="W21" i="1"/>
  <c r="O21" i="1"/>
  <c r="N21" i="1"/>
  <c r="G21" i="1"/>
  <c r="K21" i="1" s="1"/>
  <c r="F21" i="1"/>
  <c r="J21" i="1" s="1"/>
  <c r="M21" i="1" s="1"/>
  <c r="C21" i="1"/>
  <c r="H21" i="1" s="1"/>
  <c r="Z20" i="1"/>
  <c r="W20" i="1"/>
  <c r="O20" i="1"/>
  <c r="N20" i="1"/>
  <c r="G20" i="1"/>
  <c r="K20" i="1" s="1"/>
  <c r="F20" i="1"/>
  <c r="J20" i="1" s="1"/>
  <c r="M20" i="1" s="1"/>
  <c r="C20" i="1"/>
  <c r="H20" i="1" s="1"/>
  <c r="Z19" i="1"/>
  <c r="W19" i="1"/>
  <c r="O19" i="1"/>
  <c r="N19" i="1"/>
  <c r="G19" i="1"/>
  <c r="K19" i="1" s="1"/>
  <c r="F19" i="1"/>
  <c r="J19" i="1" s="1"/>
  <c r="M19" i="1" s="1"/>
  <c r="C19" i="1"/>
  <c r="H19" i="1" s="1"/>
  <c r="Z18" i="1"/>
  <c r="W18" i="1"/>
  <c r="O18" i="1"/>
  <c r="N18" i="1"/>
  <c r="G18" i="1"/>
  <c r="K18" i="1" s="1"/>
  <c r="F18" i="1"/>
  <c r="J18" i="1" s="1"/>
  <c r="M18" i="1" s="1"/>
  <c r="C18" i="1"/>
  <c r="H18" i="1" s="1"/>
  <c r="Z17" i="1"/>
  <c r="W17" i="1"/>
  <c r="O17" i="1"/>
  <c r="N17" i="1"/>
  <c r="G17" i="1"/>
  <c r="K17" i="1" s="1"/>
  <c r="F17" i="1"/>
  <c r="J17" i="1" s="1"/>
  <c r="M17" i="1" s="1"/>
  <c r="C17" i="1"/>
  <c r="H17" i="1" s="1"/>
  <c r="Z16" i="1"/>
  <c r="W16" i="1"/>
  <c r="O16" i="1"/>
  <c r="N16" i="1"/>
  <c r="G16" i="1"/>
  <c r="K16" i="1" s="1"/>
  <c r="F16" i="1"/>
  <c r="J16" i="1" s="1"/>
  <c r="M16" i="1" s="1"/>
  <c r="C16" i="1"/>
  <c r="H16" i="1" s="1"/>
  <c r="Z15" i="1"/>
  <c r="W15" i="1"/>
  <c r="O15" i="1"/>
  <c r="N15" i="1"/>
  <c r="G15" i="1"/>
  <c r="K15" i="1" s="1"/>
  <c r="F15" i="1"/>
  <c r="J15" i="1" s="1"/>
  <c r="M15" i="1" s="1"/>
  <c r="C15" i="1"/>
  <c r="H15" i="1" s="1"/>
  <c r="Z14" i="1"/>
  <c r="W14" i="1"/>
  <c r="O14" i="1"/>
  <c r="N14" i="1"/>
  <c r="G14" i="1"/>
  <c r="K14" i="1" s="1"/>
  <c r="F14" i="1"/>
  <c r="J14" i="1" s="1"/>
  <c r="M14" i="1" s="1"/>
  <c r="C14" i="1"/>
  <c r="H14" i="1" s="1"/>
  <c r="Z13" i="1"/>
  <c r="W13" i="1"/>
  <c r="O13" i="1"/>
  <c r="N13" i="1"/>
  <c r="H13" i="1"/>
  <c r="G13" i="1"/>
  <c r="K13" i="1" s="1"/>
  <c r="F13" i="1"/>
  <c r="J13" i="1" s="1"/>
  <c r="M13" i="1" s="1"/>
  <c r="C13" i="1"/>
  <c r="Z12" i="1"/>
  <c r="W12" i="1"/>
  <c r="O12" i="1"/>
  <c r="N12" i="1"/>
  <c r="J12" i="1"/>
  <c r="M12" i="1" s="1"/>
  <c r="G12" i="1"/>
  <c r="F12" i="1"/>
  <c r="C12" i="1"/>
  <c r="H12" i="1" s="1"/>
  <c r="AC11" i="1"/>
  <c r="AC12" i="1" s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G9" i="1"/>
  <c r="F9" i="1"/>
  <c r="J9" i="1" s="1"/>
  <c r="M9" i="1" s="1"/>
  <c r="C9" i="1"/>
  <c r="H9" i="1" s="1"/>
  <c r="Z8" i="1"/>
  <c r="W8" i="1"/>
  <c r="O8" i="1"/>
  <c r="N8" i="1"/>
  <c r="G8" i="1"/>
  <c r="F8" i="1"/>
  <c r="J8" i="1" s="1"/>
  <c r="M8" i="1" s="1"/>
  <c r="C8" i="1"/>
  <c r="H8" i="1" s="1"/>
  <c r="AC7" i="1"/>
  <c r="Z7" i="1"/>
  <c r="W7" i="1"/>
  <c r="O7" i="1"/>
  <c r="N7" i="1"/>
  <c r="G7" i="1"/>
  <c r="K7" i="1" s="1"/>
  <c r="F7" i="1"/>
  <c r="J7" i="1" s="1"/>
  <c r="M7" i="1" s="1"/>
  <c r="C7" i="1"/>
  <c r="H7" i="1" s="1"/>
  <c r="Z6" i="1"/>
  <c r="W6" i="1"/>
  <c r="O6" i="1"/>
  <c r="N6" i="1"/>
  <c r="G6" i="1"/>
  <c r="K6" i="1" s="1"/>
  <c r="F6" i="1"/>
  <c r="J6" i="1" s="1"/>
  <c r="M6" i="1" s="1"/>
  <c r="C6" i="1"/>
  <c r="H6" i="1" s="1"/>
  <c r="Z5" i="1"/>
  <c r="W5" i="1"/>
  <c r="O5" i="1"/>
  <c r="N5" i="1"/>
  <c r="H5" i="1"/>
  <c r="G5" i="1"/>
  <c r="K5" i="1" s="1"/>
  <c r="F5" i="1"/>
  <c r="J5" i="1" s="1"/>
  <c r="M5" i="1" s="1"/>
  <c r="C5" i="1"/>
  <c r="Z4" i="1"/>
  <c r="W4" i="1"/>
  <c r="O4" i="1"/>
  <c r="N4" i="1"/>
  <c r="K4" i="1"/>
  <c r="G4" i="1"/>
  <c r="F4" i="1"/>
  <c r="J4" i="1" s="1"/>
  <c r="M4" i="1" s="1"/>
  <c r="C4" i="1"/>
  <c r="H4" i="1" s="1"/>
  <c r="S2" i="1"/>
  <c r="N2" i="1"/>
  <c r="P5" i="1" l="1"/>
  <c r="P79" i="1"/>
  <c r="P95" i="1"/>
  <c r="P4" i="1"/>
  <c r="P71" i="1"/>
  <c r="P75" i="1"/>
  <c r="P7" i="1"/>
  <c r="P47" i="1"/>
  <c r="P59" i="1"/>
  <c r="P87" i="1"/>
  <c r="P91" i="1"/>
  <c r="P167" i="1"/>
  <c r="P63" i="1"/>
  <c r="P179" i="1"/>
  <c r="P208" i="1"/>
  <c r="P216" i="1"/>
  <c r="P224" i="1"/>
  <c r="P83" i="1"/>
  <c r="P138" i="1"/>
  <c r="P143" i="1"/>
  <c r="P145" i="1"/>
  <c r="P175" i="1"/>
  <c r="P177" i="1"/>
  <c r="P104" i="1"/>
  <c r="P6" i="1"/>
  <c r="P35" i="1"/>
  <c r="P67" i="1"/>
  <c r="P99" i="1"/>
  <c r="P103" i="1"/>
  <c r="P149" i="1"/>
  <c r="P166" i="1"/>
  <c r="P181" i="1"/>
  <c r="P36" i="1"/>
  <c r="P68" i="1"/>
  <c r="P56" i="1"/>
  <c r="P40" i="1"/>
  <c r="P72" i="1"/>
  <c r="P84" i="1"/>
  <c r="P159" i="1"/>
  <c r="P276" i="1"/>
  <c r="P13" i="1"/>
  <c r="P15" i="1"/>
  <c r="P17" i="1"/>
  <c r="P19" i="1"/>
  <c r="P21" i="1"/>
  <c r="P23" i="1"/>
  <c r="P25" i="1"/>
  <c r="P27" i="1"/>
  <c r="P29" i="1"/>
  <c r="P31" i="1"/>
  <c r="P52" i="1"/>
  <c r="P100" i="1"/>
  <c r="P111" i="1"/>
  <c r="P122" i="1"/>
  <c r="P151" i="1"/>
  <c r="P183" i="1"/>
  <c r="P228" i="1"/>
  <c r="P236" i="1"/>
  <c r="P244" i="1"/>
  <c r="P252" i="1"/>
  <c r="P260" i="1"/>
  <c r="P268" i="1"/>
  <c r="P141" i="1"/>
  <c r="P158" i="1"/>
  <c r="P169" i="1"/>
  <c r="P173" i="1"/>
  <c r="R225" i="1"/>
  <c r="P130" i="1"/>
  <c r="P134" i="1"/>
  <c r="P150" i="1"/>
  <c r="P161" i="1"/>
  <c r="P165" i="1"/>
  <c r="P182" i="1"/>
  <c r="P207" i="1"/>
  <c r="P215" i="1"/>
  <c r="P223" i="1"/>
  <c r="P88" i="1"/>
  <c r="P110" i="1"/>
  <c r="P112" i="1"/>
  <c r="P142" i="1"/>
  <c r="P153" i="1"/>
  <c r="P157" i="1"/>
  <c r="P174" i="1"/>
  <c r="P185" i="1"/>
  <c r="P189" i="1"/>
  <c r="P191" i="1"/>
  <c r="P192" i="1"/>
  <c r="P60" i="1"/>
  <c r="P76" i="1"/>
  <c r="P106" i="1"/>
  <c r="P14" i="1"/>
  <c r="P16" i="1"/>
  <c r="P18" i="1"/>
  <c r="P20" i="1"/>
  <c r="P22" i="1"/>
  <c r="P24" i="1"/>
  <c r="P26" i="1"/>
  <c r="P28" i="1"/>
  <c r="P30" i="1"/>
  <c r="P32" i="1"/>
  <c r="P48" i="1"/>
  <c r="P64" i="1"/>
  <c r="P80" i="1"/>
  <c r="P96" i="1"/>
  <c r="P113" i="1"/>
  <c r="P126" i="1"/>
  <c r="L6" i="2"/>
  <c r="P44" i="1"/>
  <c r="P92" i="1"/>
  <c r="P147" i="1"/>
  <c r="P155" i="1"/>
  <c r="P163" i="1"/>
  <c r="P171" i="1"/>
  <c r="P115" i="1"/>
  <c r="P118" i="1"/>
  <c r="P187" i="1"/>
  <c r="I1" i="2"/>
  <c r="K303" i="1"/>
  <c r="P303" i="1" s="1"/>
  <c r="K299" i="1"/>
  <c r="P299" i="1" s="1"/>
  <c r="K295" i="1"/>
  <c r="P295" i="1" s="1"/>
  <c r="K291" i="1"/>
  <c r="P291" i="1" s="1"/>
  <c r="K287" i="1"/>
  <c r="P287" i="1" s="1"/>
  <c r="K283" i="1"/>
  <c r="P283" i="1" s="1"/>
  <c r="K279" i="1"/>
  <c r="P279" i="1" s="1"/>
  <c r="K298" i="1"/>
  <c r="P298" i="1" s="1"/>
  <c r="K293" i="1"/>
  <c r="P293" i="1" s="1"/>
  <c r="K282" i="1"/>
  <c r="P282" i="1" s="1"/>
  <c r="K270" i="1"/>
  <c r="P270" i="1" s="1"/>
  <c r="K262" i="1"/>
  <c r="P262" i="1" s="1"/>
  <c r="K254" i="1"/>
  <c r="P254" i="1" s="1"/>
  <c r="K246" i="1"/>
  <c r="P246" i="1" s="1"/>
  <c r="K238" i="1"/>
  <c r="P238" i="1" s="1"/>
  <c r="K230" i="1"/>
  <c r="P230" i="1" s="1"/>
  <c r="K220" i="1"/>
  <c r="P220" i="1" s="1"/>
  <c r="K212" i="1"/>
  <c r="P212" i="1" s="1"/>
  <c r="K204" i="1"/>
  <c r="P204" i="1" s="1"/>
  <c r="K294" i="1"/>
  <c r="P294" i="1" s="1"/>
  <c r="K289" i="1"/>
  <c r="P289" i="1" s="1"/>
  <c r="K278" i="1"/>
  <c r="P278" i="1" s="1"/>
  <c r="K272" i="1"/>
  <c r="P272" i="1" s="1"/>
  <c r="K264" i="1"/>
  <c r="P264" i="1" s="1"/>
  <c r="K256" i="1"/>
  <c r="P256" i="1" s="1"/>
  <c r="K248" i="1"/>
  <c r="P248" i="1" s="1"/>
  <c r="K240" i="1"/>
  <c r="P240" i="1" s="1"/>
  <c r="K232" i="1"/>
  <c r="P232" i="1" s="1"/>
  <c r="K66" i="1"/>
  <c r="P66" i="1" s="1"/>
  <c r="K70" i="1"/>
  <c r="P70" i="1" s="1"/>
  <c r="K86" i="1"/>
  <c r="P86" i="1" s="1"/>
  <c r="K94" i="1"/>
  <c r="P94" i="1" s="1"/>
  <c r="K98" i="1"/>
  <c r="P98" i="1" s="1"/>
  <c r="K108" i="1"/>
  <c r="P108" i="1" s="1"/>
  <c r="K109" i="1"/>
  <c r="P109" i="1" s="1"/>
  <c r="K114" i="1"/>
  <c r="P114" i="1" s="1"/>
  <c r="K121" i="1"/>
  <c r="P121" i="1" s="1"/>
  <c r="K129" i="1"/>
  <c r="P129" i="1" s="1"/>
  <c r="K132" i="1"/>
  <c r="P132" i="1" s="1"/>
  <c r="K137" i="1"/>
  <c r="P137" i="1" s="1"/>
  <c r="K140" i="1"/>
  <c r="P140" i="1" s="1"/>
  <c r="K164" i="1"/>
  <c r="P164" i="1" s="1"/>
  <c r="K172" i="1"/>
  <c r="P172" i="1" s="1"/>
  <c r="K180" i="1"/>
  <c r="P180" i="1" s="1"/>
  <c r="K194" i="1"/>
  <c r="P194" i="1" s="1"/>
  <c r="K200" i="1"/>
  <c r="P200" i="1" s="1"/>
  <c r="K209" i="1"/>
  <c r="P209" i="1" s="1"/>
  <c r="K210" i="1"/>
  <c r="P210" i="1" s="1"/>
  <c r="K231" i="1"/>
  <c r="P231" i="1" s="1"/>
  <c r="K239" i="1"/>
  <c r="P239" i="1" s="1"/>
  <c r="K247" i="1"/>
  <c r="P247" i="1" s="1"/>
  <c r="K255" i="1"/>
  <c r="P255" i="1" s="1"/>
  <c r="K263" i="1"/>
  <c r="P263" i="1" s="1"/>
  <c r="K271" i="1"/>
  <c r="P271" i="1" s="1"/>
  <c r="L31" i="2"/>
  <c r="L54" i="2"/>
  <c r="L109" i="2"/>
  <c r="L171" i="2"/>
  <c r="L177" i="2"/>
  <c r="L191" i="2"/>
  <c r="L195" i="2"/>
  <c r="L197" i="2"/>
  <c r="L199" i="2"/>
  <c r="L201" i="2"/>
  <c r="L203" i="2"/>
  <c r="L205" i="2"/>
  <c r="L207" i="2"/>
  <c r="L209" i="2"/>
  <c r="L211" i="2"/>
  <c r="L213" i="2"/>
  <c r="L215" i="2"/>
  <c r="L217" i="2"/>
  <c r="L219" i="2"/>
  <c r="L222" i="2"/>
  <c r="K33" i="1"/>
  <c r="P33" i="1" s="1"/>
  <c r="K37" i="1"/>
  <c r="P37" i="1" s="1"/>
  <c r="K41" i="1"/>
  <c r="P41" i="1" s="1"/>
  <c r="K45" i="1"/>
  <c r="P45" i="1" s="1"/>
  <c r="K49" i="1"/>
  <c r="P49" i="1" s="1"/>
  <c r="K53" i="1"/>
  <c r="P53" i="1" s="1"/>
  <c r="K57" i="1"/>
  <c r="P57" i="1" s="1"/>
  <c r="K61" i="1"/>
  <c r="P61" i="1" s="1"/>
  <c r="K65" i="1"/>
  <c r="P65" i="1" s="1"/>
  <c r="K69" i="1"/>
  <c r="P69" i="1" s="1"/>
  <c r="K73" i="1"/>
  <c r="P73" i="1" s="1"/>
  <c r="K77" i="1"/>
  <c r="P77" i="1" s="1"/>
  <c r="K81" i="1"/>
  <c r="P81" i="1" s="1"/>
  <c r="K85" i="1"/>
  <c r="P85" i="1" s="1"/>
  <c r="K89" i="1"/>
  <c r="P89" i="1" s="1"/>
  <c r="K93" i="1"/>
  <c r="P93" i="1" s="1"/>
  <c r="K97" i="1"/>
  <c r="P97" i="1" s="1"/>
  <c r="K101" i="1"/>
  <c r="P101" i="1" s="1"/>
  <c r="K105" i="1"/>
  <c r="P105" i="1" s="1"/>
  <c r="K146" i="1"/>
  <c r="P146" i="1" s="1"/>
  <c r="K154" i="1"/>
  <c r="P154" i="1" s="1"/>
  <c r="K162" i="1"/>
  <c r="P162" i="1" s="1"/>
  <c r="K170" i="1"/>
  <c r="P170" i="1" s="1"/>
  <c r="K178" i="1"/>
  <c r="P178" i="1" s="1"/>
  <c r="K186" i="1"/>
  <c r="P186" i="1" s="1"/>
  <c r="K190" i="1"/>
  <c r="P190" i="1" s="1"/>
  <c r="K193" i="1"/>
  <c r="P193" i="1" s="1"/>
  <c r="K202" i="1"/>
  <c r="P202" i="1" s="1"/>
  <c r="K226" i="1"/>
  <c r="P226" i="1" s="1"/>
  <c r="K233" i="1"/>
  <c r="P233" i="1" s="1"/>
  <c r="K234" i="1"/>
  <c r="P234" i="1" s="1"/>
  <c r="K241" i="1"/>
  <c r="P241" i="1" s="1"/>
  <c r="K242" i="1"/>
  <c r="P242" i="1" s="1"/>
  <c r="K249" i="1"/>
  <c r="P249" i="1" s="1"/>
  <c r="K250" i="1"/>
  <c r="P250" i="1" s="1"/>
  <c r="K257" i="1"/>
  <c r="P257" i="1" s="1"/>
  <c r="K258" i="1"/>
  <c r="P258" i="1" s="1"/>
  <c r="K265" i="1"/>
  <c r="P265" i="1" s="1"/>
  <c r="K266" i="1"/>
  <c r="P266" i="1" s="1"/>
  <c r="K273" i="1"/>
  <c r="P273" i="1" s="1"/>
  <c r="K274" i="1"/>
  <c r="P274" i="1" s="1"/>
  <c r="K281" i="1"/>
  <c r="P281" i="1" s="1"/>
  <c r="K286" i="1"/>
  <c r="P286" i="1" s="1"/>
  <c r="K290" i="1"/>
  <c r="P290" i="1" s="1"/>
  <c r="K297" i="1"/>
  <c r="P297" i="1" s="1"/>
  <c r="K302" i="1"/>
  <c r="P302" i="1" s="1"/>
  <c r="L17" i="2"/>
  <c r="L18" i="2"/>
  <c r="L22" i="2"/>
  <c r="L89" i="2"/>
  <c r="L102" i="2"/>
  <c r="L14" i="2"/>
  <c r="L35" i="2"/>
  <c r="L47" i="2"/>
  <c r="L57" i="2"/>
  <c r="L70" i="2"/>
  <c r="L193" i="2"/>
  <c r="L194" i="2"/>
  <c r="K8" i="1"/>
  <c r="P8" i="1" s="1"/>
  <c r="K9" i="1"/>
  <c r="P9" i="1" s="1"/>
  <c r="K10" i="1"/>
  <c r="P10" i="1" s="1"/>
  <c r="K11" i="1"/>
  <c r="P11" i="1" s="1"/>
  <c r="K34" i="1"/>
  <c r="P34" i="1" s="1"/>
  <c r="K38" i="1"/>
  <c r="P38" i="1" s="1"/>
  <c r="K42" i="1"/>
  <c r="P42" i="1" s="1"/>
  <c r="K46" i="1"/>
  <c r="P46" i="1" s="1"/>
  <c r="K50" i="1"/>
  <c r="P50" i="1" s="1"/>
  <c r="K54" i="1"/>
  <c r="P54" i="1" s="1"/>
  <c r="K58" i="1"/>
  <c r="P58" i="1" s="1"/>
  <c r="K62" i="1"/>
  <c r="P62" i="1" s="1"/>
  <c r="K74" i="1"/>
  <c r="P74" i="1" s="1"/>
  <c r="K78" i="1"/>
  <c r="P78" i="1" s="1"/>
  <c r="K82" i="1"/>
  <c r="P82" i="1" s="1"/>
  <c r="K90" i="1"/>
  <c r="P90" i="1" s="1"/>
  <c r="K102" i="1"/>
  <c r="P102" i="1" s="1"/>
  <c r="K107" i="1"/>
  <c r="P107" i="1" s="1"/>
  <c r="K123" i="1"/>
  <c r="P123" i="1" s="1"/>
  <c r="K124" i="1"/>
  <c r="P124" i="1" s="1"/>
  <c r="K131" i="1"/>
  <c r="P131" i="1" s="1"/>
  <c r="K139" i="1"/>
  <c r="P139" i="1" s="1"/>
  <c r="K148" i="1"/>
  <c r="P148" i="1" s="1"/>
  <c r="K156" i="1"/>
  <c r="P156" i="1" s="1"/>
  <c r="K188" i="1"/>
  <c r="P188" i="1" s="1"/>
  <c r="K199" i="1"/>
  <c r="P199" i="1" s="1"/>
  <c r="K217" i="1"/>
  <c r="P217" i="1" s="1"/>
  <c r="K218" i="1"/>
  <c r="P218" i="1" s="1"/>
  <c r="K225" i="1"/>
  <c r="P225" i="1" s="1"/>
  <c r="L41" i="2"/>
  <c r="L105" i="2"/>
  <c r="L174" i="2"/>
  <c r="L196" i="2"/>
  <c r="L198" i="2"/>
  <c r="L200" i="2"/>
  <c r="L202" i="2"/>
  <c r="L204" i="2"/>
  <c r="L206" i="2"/>
  <c r="L208" i="2"/>
  <c r="L210" i="2"/>
  <c r="L212" i="2"/>
  <c r="L214" i="2"/>
  <c r="L216" i="2"/>
  <c r="L218" i="2"/>
  <c r="L220" i="2"/>
  <c r="L221" i="2"/>
  <c r="L223" i="2"/>
  <c r="K12" i="1"/>
  <c r="P12" i="1" s="1"/>
  <c r="K116" i="1"/>
  <c r="P116" i="1" s="1"/>
  <c r="K117" i="1"/>
  <c r="P117" i="1" s="1"/>
  <c r="K119" i="1"/>
  <c r="P119" i="1" s="1"/>
  <c r="K120" i="1"/>
  <c r="P120" i="1" s="1"/>
  <c r="K125" i="1"/>
  <c r="P125" i="1" s="1"/>
  <c r="K127" i="1"/>
  <c r="P127" i="1" s="1"/>
  <c r="K128" i="1"/>
  <c r="P128" i="1" s="1"/>
  <c r="K133" i="1"/>
  <c r="P133" i="1" s="1"/>
  <c r="K135" i="1"/>
  <c r="P135" i="1" s="1"/>
  <c r="K136" i="1"/>
  <c r="P136" i="1" s="1"/>
  <c r="K144" i="1"/>
  <c r="P144" i="1" s="1"/>
  <c r="K152" i="1"/>
  <c r="P152" i="1" s="1"/>
  <c r="K160" i="1"/>
  <c r="P160" i="1" s="1"/>
  <c r="K168" i="1"/>
  <c r="P168" i="1" s="1"/>
  <c r="K176" i="1"/>
  <c r="P176" i="1" s="1"/>
  <c r="K184" i="1"/>
  <c r="P184" i="1" s="1"/>
  <c r="K196" i="1"/>
  <c r="P196" i="1" s="1"/>
  <c r="K198" i="1"/>
  <c r="P198" i="1" s="1"/>
  <c r="K201" i="1"/>
  <c r="P201" i="1" s="1"/>
  <c r="K206" i="1"/>
  <c r="P206" i="1" s="1"/>
  <c r="K214" i="1"/>
  <c r="P214" i="1" s="1"/>
  <c r="K222" i="1"/>
  <c r="P222" i="1" s="1"/>
  <c r="K280" i="1"/>
  <c r="P280" i="1" s="1"/>
  <c r="K285" i="1"/>
  <c r="P285" i="1" s="1"/>
  <c r="K296" i="1"/>
  <c r="P296" i="1" s="1"/>
  <c r="K301" i="1"/>
  <c r="P301" i="1" s="1"/>
  <c r="L3" i="2"/>
  <c r="L19" i="2"/>
  <c r="L73" i="2"/>
  <c r="L86" i="2"/>
  <c r="K195" i="1"/>
  <c r="P195" i="1" s="1"/>
  <c r="K203" i="1"/>
  <c r="P203" i="1" s="1"/>
  <c r="K205" i="1"/>
  <c r="P205" i="1" s="1"/>
  <c r="K213" i="1"/>
  <c r="P213" i="1" s="1"/>
  <c r="K221" i="1"/>
  <c r="P221" i="1" s="1"/>
  <c r="K229" i="1"/>
  <c r="P229" i="1" s="1"/>
  <c r="K237" i="1"/>
  <c r="P237" i="1" s="1"/>
  <c r="K245" i="1"/>
  <c r="P245" i="1" s="1"/>
  <c r="K253" i="1"/>
  <c r="P253" i="1" s="1"/>
  <c r="K261" i="1"/>
  <c r="P261" i="1" s="1"/>
  <c r="K269" i="1"/>
  <c r="P269" i="1" s="1"/>
  <c r="K277" i="1"/>
  <c r="P277" i="1" s="1"/>
  <c r="K284" i="1"/>
  <c r="P284" i="1" s="1"/>
  <c r="K300" i="1"/>
  <c r="P300" i="1" s="1"/>
  <c r="K4" i="2"/>
  <c r="L4" i="2" s="1"/>
  <c r="L5" i="2"/>
  <c r="L25" i="2"/>
  <c r="L37" i="2"/>
  <c r="L39" i="2"/>
  <c r="L50" i="2"/>
  <c r="L66" i="2"/>
  <c r="L82" i="2"/>
  <c r="L98" i="2"/>
  <c r="L131" i="2"/>
  <c r="L134" i="2"/>
  <c r="L137" i="2"/>
  <c r="K197" i="1"/>
  <c r="P197" i="1" s="1"/>
  <c r="K211" i="1"/>
  <c r="P211" i="1" s="1"/>
  <c r="K219" i="1"/>
  <c r="P219" i="1" s="1"/>
  <c r="K227" i="1"/>
  <c r="P227" i="1" s="1"/>
  <c r="K235" i="1"/>
  <c r="P235" i="1" s="1"/>
  <c r="K243" i="1"/>
  <c r="P243" i="1" s="1"/>
  <c r="K251" i="1"/>
  <c r="P251" i="1" s="1"/>
  <c r="K259" i="1"/>
  <c r="P259" i="1" s="1"/>
  <c r="K267" i="1"/>
  <c r="P267" i="1" s="1"/>
  <c r="K275" i="1"/>
  <c r="P275" i="1" s="1"/>
  <c r="K288" i="1"/>
  <c r="P288" i="1" s="1"/>
  <c r="L2" i="2"/>
  <c r="L9" i="2"/>
  <c r="L12" i="2"/>
  <c r="L13" i="2"/>
  <c r="L21" i="2"/>
  <c r="L23" i="2"/>
  <c r="L33" i="2"/>
  <c r="L34" i="2"/>
  <c r="L38" i="2"/>
  <c r="L56" i="2"/>
  <c r="L59" i="2"/>
  <c r="L62" i="2"/>
  <c r="L72" i="2"/>
  <c r="L75" i="2"/>
  <c r="L78" i="2"/>
  <c r="L88" i="2"/>
  <c r="L91" i="2"/>
  <c r="L94" i="2"/>
  <c r="L108" i="2"/>
  <c r="K7" i="2"/>
  <c r="L7" i="2" s="1"/>
  <c r="K15" i="2"/>
  <c r="L15" i="2" s="1"/>
  <c r="K28" i="2"/>
  <c r="L28" i="2" s="1"/>
  <c r="K29" i="2"/>
  <c r="L29" i="2" s="1"/>
  <c r="K44" i="2"/>
  <c r="L44" i="2" s="1"/>
  <c r="K45" i="2"/>
  <c r="L45" i="2" s="1"/>
  <c r="L55" i="2"/>
  <c r="L71" i="2"/>
  <c r="L87" i="2"/>
  <c r="K103" i="2"/>
  <c r="L103" i="2" s="1"/>
  <c r="L116" i="2"/>
  <c r="L163" i="2"/>
  <c r="L166" i="2"/>
  <c r="L169" i="2"/>
  <c r="L8" i="2"/>
  <c r="L16" i="2"/>
  <c r="L30" i="2"/>
  <c r="L46" i="2"/>
  <c r="L49" i="2"/>
  <c r="L52" i="2"/>
  <c r="L53" i="2"/>
  <c r="L61" i="2"/>
  <c r="L65" i="2"/>
  <c r="L68" i="2"/>
  <c r="L69" i="2"/>
  <c r="L77" i="2"/>
  <c r="L81" i="2"/>
  <c r="L84" i="2"/>
  <c r="L85" i="2"/>
  <c r="L93" i="2"/>
  <c r="L97" i="2"/>
  <c r="L100" i="2"/>
  <c r="L101" i="2"/>
  <c r="L111" i="2"/>
  <c r="L139" i="2"/>
  <c r="L142" i="2"/>
  <c r="L145" i="2"/>
  <c r="K32" i="2"/>
  <c r="L32" i="2" s="1"/>
  <c r="K48" i="2"/>
  <c r="L48" i="2" s="1"/>
  <c r="K64" i="2"/>
  <c r="L64" i="2" s="1"/>
  <c r="K80" i="2"/>
  <c r="L80" i="2" s="1"/>
  <c r="K96" i="2"/>
  <c r="L96" i="2" s="1"/>
  <c r="L107" i="2"/>
  <c r="L123" i="2"/>
  <c r="L126" i="2"/>
  <c r="L129" i="2"/>
  <c r="L155" i="2"/>
  <c r="L158" i="2"/>
  <c r="L161" i="2"/>
  <c r="K20" i="2"/>
  <c r="L20" i="2" s="1"/>
  <c r="K36" i="2"/>
  <c r="L36" i="2" s="1"/>
  <c r="K60" i="2"/>
  <c r="L60" i="2" s="1"/>
  <c r="K76" i="2"/>
  <c r="L76" i="2" s="1"/>
  <c r="K92" i="2"/>
  <c r="L92" i="2" s="1"/>
  <c r="K106" i="2"/>
  <c r="L106" i="2" s="1"/>
  <c r="L118" i="2"/>
  <c r="L121" i="2"/>
  <c r="L147" i="2"/>
  <c r="L150" i="2"/>
  <c r="L153" i="2"/>
  <c r="L179" i="2"/>
  <c r="L182" i="2"/>
  <c r="K110" i="2"/>
  <c r="L110" i="2" s="1"/>
  <c r="K114" i="2"/>
  <c r="L114" i="2" s="1"/>
  <c r="L119" i="2"/>
  <c r="L127" i="2"/>
  <c r="L135" i="2"/>
  <c r="L143" i="2"/>
  <c r="L151" i="2"/>
  <c r="L159" i="2"/>
  <c r="L167" i="2"/>
  <c r="L175" i="2"/>
  <c r="L183" i="2"/>
  <c r="K185" i="2"/>
  <c r="L185" i="2" s="1"/>
  <c r="L186" i="2"/>
  <c r="L115" i="2"/>
  <c r="L122" i="2"/>
  <c r="L125" i="2"/>
  <c r="L130" i="2"/>
  <c r="L133" i="2"/>
  <c r="L138" i="2"/>
  <c r="L141" i="2"/>
  <c r="L146" i="2"/>
  <c r="L149" i="2"/>
  <c r="L154" i="2"/>
  <c r="L157" i="2"/>
  <c r="L162" i="2"/>
  <c r="L165" i="2"/>
  <c r="L170" i="2"/>
  <c r="L173" i="2"/>
  <c r="L178" i="2"/>
  <c r="L181" i="2"/>
  <c r="L187" i="2"/>
  <c r="K189" i="2"/>
  <c r="L189" i="2" s="1"/>
  <c r="L190" i="2"/>
  <c r="L192" i="2" l="1"/>
  <c r="L180" i="2"/>
  <c r="L172" i="2"/>
  <c r="L164" i="2"/>
  <c r="L156" i="2"/>
  <c r="L148" i="2"/>
  <c r="L140" i="2"/>
  <c r="L132" i="2"/>
  <c r="L124" i="2"/>
  <c r="L112" i="2"/>
  <c r="L188" i="2"/>
  <c r="L184" i="2"/>
  <c r="L152" i="2"/>
  <c r="L120" i="2"/>
  <c r="L160" i="2"/>
  <c r="L128" i="2"/>
  <c r="L117" i="2"/>
  <c r="L144" i="2"/>
  <c r="L113" i="2"/>
  <c r="L42" i="2"/>
  <c r="L26" i="2"/>
  <c r="L10" i="2"/>
  <c r="L168" i="2"/>
  <c r="L99" i="2"/>
  <c r="L95" i="2"/>
  <c r="L83" i="2"/>
  <c r="L79" i="2"/>
  <c r="L67" i="2"/>
  <c r="L63" i="2"/>
  <c r="L51" i="2"/>
  <c r="L90" i="2"/>
  <c r="L74" i="2"/>
  <c r="L58" i="2"/>
  <c r="L11" i="2"/>
  <c r="L136" i="2"/>
  <c r="L27" i="2"/>
  <c r="L24" i="2"/>
  <c r="L176" i="2"/>
  <c r="L104" i="2"/>
  <c r="L43" i="2"/>
  <c r="L40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<sst xmlns="http://schemas.openxmlformats.org/spreadsheetml/2006/main" count="40" uniqueCount="33">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</sst>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D1" zoomScale="85" zoomScaleNormal="85" workbookViewId="0">
      <selection activeCell="P6" sqref="P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 s="5">
        <v>3.7109855999999997E-2</v>
      </c>
      <c r="B4" s="5">
        <v>0.96478993000000002</v>
      </c>
      <c r="C4">
        <f t="shared" ref="C4:C67" si="0">A4*B4</f>
        <v>3.580321537255008E-2</v>
      </c>
      <c r="D4">
        <v>1.6199999999999999E-2</v>
      </c>
      <c r="E4">
        <v>3.81E-3</v>
      </c>
      <c r="F4">
        <f t="shared" ref="F4:F67" si="1">A4*200</f>
        <v>7.4219711999999998</v>
      </c>
      <c r="G4">
        <f t="shared" ref="G4:G67" si="2">-B4</f>
        <v>-0.96478993000000002</v>
      </c>
      <c r="H4">
        <f t="shared" ref="H4:H67" si="3">-C4*200</f>
        <v>-7.1606430745100162</v>
      </c>
      <c r="I4">
        <v>1</v>
      </c>
      <c r="J4">
        <f t="shared" ref="J4:J67" si="4">LN(F4/1000)</f>
        <v>-4.9033105967069588</v>
      </c>
      <c r="K4">
        <f t="shared" ref="K4:K67" si="5">((-G4)-$N$2)</f>
        <v>-0.25693522177521744</v>
      </c>
      <c r="L4">
        <v>1</v>
      </c>
      <c r="M4">
        <f t="shared" ref="M4:M67" si="6">-1*($S$4+($S$5*J4))</f>
        <v>0.29660241559674877</v>
      </c>
      <c r="N4">
        <f t="shared" ref="N4:N67" si="7">D4*A4</f>
        <v>6.0117966719999986E-4</v>
      </c>
      <c r="O4">
        <f t="shared" ref="O4:O67" si="8">E4*A4</f>
        <v>1.4138855136E-4</v>
      </c>
      <c r="P4">
        <f t="shared" ref="P4:P67" si="9">-K4-M4-N4-O4</f>
        <v>-4.0409762040091328E-2</v>
      </c>
      <c r="R4" s="2" t="s">
        <v>25</v>
      </c>
      <c r="S4">
        <v>-0.53</v>
      </c>
      <c r="V4">
        <v>-6</v>
      </c>
      <c r="W4">
        <f t="shared" ref="W4:W35" si="10">V4*$S$5+$S$4</f>
        <v>-0.24440000000000001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 s="5">
        <v>8.9555732999999998E-2</v>
      </c>
      <c r="B5" s="5">
        <v>0.92490494000000001</v>
      </c>
      <c r="C5">
        <f t="shared" si="0"/>
        <v>8.2830539857021018E-2</v>
      </c>
      <c r="D5">
        <v>1.6199999999999999E-2</v>
      </c>
      <c r="E5">
        <v>3.81E-3</v>
      </c>
      <c r="F5">
        <f t="shared" si="1"/>
        <v>17.911146599999999</v>
      </c>
      <c r="G5">
        <f t="shared" si="2"/>
        <v>-0.92490494000000001</v>
      </c>
      <c r="H5">
        <f t="shared" si="3"/>
        <v>-16.566107971404204</v>
      </c>
      <c r="I5">
        <v>1</v>
      </c>
      <c r="J5">
        <f t="shared" si="4"/>
        <v>-4.0223320448582136</v>
      </c>
      <c r="K5">
        <f t="shared" si="5"/>
        <v>-0.29682021177521745</v>
      </c>
      <c r="L5">
        <v>1</v>
      </c>
      <c r="M5">
        <f t="shared" si="6"/>
        <v>0.33853699466474907</v>
      </c>
      <c r="N5">
        <f t="shared" si="7"/>
        <v>1.4508028745999998E-3</v>
      </c>
      <c r="O5">
        <f t="shared" si="8"/>
        <v>3.4120734272999998E-4</v>
      </c>
      <c r="P5">
        <f t="shared" si="9"/>
        <v>-4.3508793106861621E-2</v>
      </c>
      <c r="R5" s="2" t="s">
        <v>27</v>
      </c>
      <c r="S5">
        <v>-4.7600000000000003E-2</v>
      </c>
      <c r="V5">
        <v>-5.9</v>
      </c>
      <c r="W5">
        <f t="shared" si="10"/>
        <v>-0.24915999999999999</v>
      </c>
      <c r="Y5">
        <v>0.01</v>
      </c>
      <c r="Z5">
        <f t="shared" si="11"/>
        <v>-0.25431960000000003</v>
      </c>
    </row>
    <row r="6" spans="1:29" x14ac:dyDescent="0.3">
      <c r="A6" s="5">
        <v>0.14047406000000001</v>
      </c>
      <c r="B6" s="5">
        <v>0.86751175000000003</v>
      </c>
      <c r="C6">
        <f t="shared" si="0"/>
        <v>0.12186289762020501</v>
      </c>
      <c r="D6">
        <v>1.6199999999999999E-2</v>
      </c>
      <c r="E6">
        <v>3.81E-3</v>
      </c>
      <c r="F6">
        <f t="shared" si="1"/>
        <v>28.094812000000001</v>
      </c>
      <c r="G6">
        <f t="shared" si="2"/>
        <v>-0.86751175000000003</v>
      </c>
      <c r="H6">
        <f t="shared" si="3"/>
        <v>-24.372579524041001</v>
      </c>
      <c r="I6">
        <v>1</v>
      </c>
      <c r="J6">
        <f t="shared" si="4"/>
        <v>-3.5721703460224963</v>
      </c>
      <c r="K6">
        <f t="shared" si="5"/>
        <v>-0.35421340177521743</v>
      </c>
      <c r="L6">
        <v>1</v>
      </c>
      <c r="M6">
        <f t="shared" si="6"/>
        <v>0.35996469152932919</v>
      </c>
      <c r="N6">
        <f t="shared" si="7"/>
        <v>2.275679772E-3</v>
      </c>
      <c r="O6">
        <f t="shared" si="8"/>
        <v>5.3520616860000005E-4</v>
      </c>
      <c r="P6">
        <f t="shared" si="9"/>
        <v>-8.5621756947117655E-3</v>
      </c>
      <c r="V6">
        <v>-5.8</v>
      </c>
      <c r="W6">
        <f t="shared" si="10"/>
        <v>-0.25392000000000003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 s="5">
        <v>0.19190158000000002</v>
      </c>
      <c r="B7" s="5">
        <v>0.85044277000000001</v>
      </c>
      <c r="C7">
        <f t="shared" si="0"/>
        <v>0.16320131126257661</v>
      </c>
      <c r="D7">
        <v>1.6199999999999999E-2</v>
      </c>
      <c r="E7">
        <v>3.81E-3</v>
      </c>
      <c r="F7">
        <f t="shared" si="1"/>
        <v>38.380316000000001</v>
      </c>
      <c r="G7">
        <f t="shared" si="2"/>
        <v>-0.85044277000000001</v>
      </c>
      <c r="H7">
        <f t="shared" si="3"/>
        <v>-32.640262252515321</v>
      </c>
      <c r="I7">
        <v>1</v>
      </c>
      <c r="J7">
        <f t="shared" si="4"/>
        <v>-3.2602105549815534</v>
      </c>
      <c r="K7">
        <f t="shared" si="5"/>
        <v>-0.37128238177521744</v>
      </c>
      <c r="L7">
        <v>1</v>
      </c>
      <c r="M7">
        <f t="shared" si="6"/>
        <v>0.37481397758287804</v>
      </c>
      <c r="N7">
        <f t="shared" si="7"/>
        <v>3.1088055960000003E-3</v>
      </c>
      <c r="O7">
        <f t="shared" si="8"/>
        <v>7.3114501980000007E-4</v>
      </c>
      <c r="P7">
        <f t="shared" si="9"/>
        <v>-7.3715464234606039E-3</v>
      </c>
      <c r="V7">
        <v>-5.7</v>
      </c>
      <c r="W7">
        <f t="shared" si="10"/>
        <v>-0.25868000000000002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 s="5">
        <v>0.24536583000000001</v>
      </c>
      <c r="B8" s="5">
        <v>0.83847152999999996</v>
      </c>
      <c r="C8">
        <f t="shared" si="0"/>
        <v>0.20573226288981988</v>
      </c>
      <c r="D8">
        <v>1.6199999999999999E-2</v>
      </c>
      <c r="E8">
        <v>3.81E-3</v>
      </c>
      <c r="F8">
        <f t="shared" si="1"/>
        <v>49.073166000000001</v>
      </c>
      <c r="G8">
        <f t="shared" si="2"/>
        <v>-0.83847152999999996</v>
      </c>
      <c r="H8">
        <f t="shared" si="3"/>
        <v>-41.146452577963977</v>
      </c>
      <c r="I8">
        <v>1</v>
      </c>
      <c r="J8">
        <f t="shared" si="4"/>
        <v>-3.0144429108882909</v>
      </c>
      <c r="K8">
        <f t="shared" si="5"/>
        <v>-0.38325362177521749</v>
      </c>
      <c r="L8">
        <v>1</v>
      </c>
      <c r="M8">
        <f t="shared" si="6"/>
        <v>0.38651251744171738</v>
      </c>
      <c r="N8">
        <f t="shared" si="7"/>
        <v>3.9749264460000001E-3</v>
      </c>
      <c r="O8">
        <f t="shared" si="8"/>
        <v>9.3484381230000003E-4</v>
      </c>
      <c r="P8">
        <f t="shared" si="9"/>
        <v>-8.168665924799895E-3</v>
      </c>
      <c r="V8">
        <v>-5.6</v>
      </c>
      <c r="W8">
        <f t="shared" si="10"/>
        <v>-0.26344000000000001</v>
      </c>
      <c r="Y8">
        <v>0.04</v>
      </c>
      <c r="Z8">
        <f t="shared" si="11"/>
        <v>-6.0840000000006444E-4</v>
      </c>
    </row>
    <row r="9" spans="1:29" x14ac:dyDescent="0.3">
      <c r="A9" s="5">
        <v>0.29628415000000002</v>
      </c>
      <c r="B9" s="5">
        <v>0.82909690999999996</v>
      </c>
      <c r="C9">
        <f t="shared" si="0"/>
        <v>0.24564827324697652</v>
      </c>
      <c r="D9">
        <v>1.6199999999999999E-2</v>
      </c>
      <c r="E9">
        <v>3.81E-3</v>
      </c>
      <c r="F9">
        <f t="shared" si="1"/>
        <v>59.256830000000008</v>
      </c>
      <c r="G9">
        <f t="shared" si="2"/>
        <v>-0.82909690999999996</v>
      </c>
      <c r="H9">
        <f t="shared" si="3"/>
        <v>-49.129654649395306</v>
      </c>
      <c r="I9">
        <v>1</v>
      </c>
      <c r="J9">
        <f t="shared" si="4"/>
        <v>-2.8258742313488603</v>
      </c>
      <c r="K9">
        <f t="shared" si="5"/>
        <v>-0.39262824177521749</v>
      </c>
      <c r="L9">
        <v>1</v>
      </c>
      <c r="M9">
        <f t="shared" si="6"/>
        <v>0.39548838658779428</v>
      </c>
      <c r="N9">
        <f t="shared" si="7"/>
        <v>4.79980323E-3</v>
      </c>
      <c r="O9">
        <f t="shared" si="8"/>
        <v>1.1288426115000001E-3</v>
      </c>
      <c r="P9">
        <f t="shared" si="9"/>
        <v>-8.7887906540767922E-3</v>
      </c>
      <c r="V9">
        <v>-5.5</v>
      </c>
      <c r="W9">
        <f t="shared" si="10"/>
        <v>-0.26819999999999999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 s="5">
        <v>0.34669330000000004</v>
      </c>
      <c r="B10" s="5">
        <v>0.82193707999999999</v>
      </c>
      <c r="C10">
        <f t="shared" si="0"/>
        <v>0.28496007865756401</v>
      </c>
      <c r="D10">
        <v>1.6199999999999999E-2</v>
      </c>
      <c r="E10">
        <v>3.81E-3</v>
      </c>
      <c r="F10">
        <f t="shared" si="1"/>
        <v>69.338660000000004</v>
      </c>
      <c r="G10">
        <f t="shared" si="2"/>
        <v>-0.82193707999999999</v>
      </c>
      <c r="H10">
        <f t="shared" si="3"/>
        <v>-56.992015731512801</v>
      </c>
      <c r="I10">
        <v>1</v>
      </c>
      <c r="J10">
        <f t="shared" si="4"/>
        <v>-2.6687526639768886</v>
      </c>
      <c r="K10">
        <f t="shared" si="5"/>
        <v>-0.39978807177521747</v>
      </c>
      <c r="L10">
        <v>1</v>
      </c>
      <c r="M10">
        <f t="shared" si="6"/>
        <v>0.40296737319470011</v>
      </c>
      <c r="N10">
        <f t="shared" si="7"/>
        <v>5.6164314600000006E-3</v>
      </c>
      <c r="O10">
        <f t="shared" si="8"/>
        <v>1.3209014730000003E-3</v>
      </c>
      <c r="P10">
        <f t="shared" si="9"/>
        <v>-1.011663435248264E-2</v>
      </c>
      <c r="V10">
        <v>-5.4</v>
      </c>
      <c r="W10">
        <f t="shared" si="10"/>
        <v>-0.27295999999999998</v>
      </c>
      <c r="Y10">
        <v>0.06</v>
      </c>
      <c r="Z10">
        <f t="shared" si="11"/>
        <v>0.16853239999999992</v>
      </c>
    </row>
    <row r="11" spans="1:29" x14ac:dyDescent="0.3">
      <c r="A11" s="5">
        <v>0.39710245</v>
      </c>
      <c r="B11" s="5">
        <v>0.81554103</v>
      </c>
      <c r="C11">
        <f t="shared" si="0"/>
        <v>0.32385334108852348</v>
      </c>
      <c r="D11">
        <v>1.6199999999999999E-2</v>
      </c>
      <c r="E11">
        <v>3.81E-3</v>
      </c>
      <c r="F11">
        <f t="shared" si="1"/>
        <v>79.420490000000001</v>
      </c>
      <c r="G11">
        <f t="shared" si="2"/>
        <v>-0.81554103</v>
      </c>
      <c r="H11">
        <f t="shared" si="3"/>
        <v>-64.770668217704696</v>
      </c>
      <c r="I11">
        <v>1</v>
      </c>
      <c r="J11">
        <f t="shared" si="4"/>
        <v>-2.5329988835675179</v>
      </c>
      <c r="K11">
        <f t="shared" si="5"/>
        <v>-0.40618412177521745</v>
      </c>
      <c r="L11">
        <v>1</v>
      </c>
      <c r="M11">
        <f t="shared" si="6"/>
        <v>0.40942925314218614</v>
      </c>
      <c r="N11">
        <f t="shared" si="7"/>
        <v>6.4330596899999995E-3</v>
      </c>
      <c r="O11">
        <f t="shared" si="8"/>
        <v>1.5129603345E-3</v>
      </c>
      <c r="P11">
        <f t="shared" si="9"/>
        <v>-1.1191151391468689E-2</v>
      </c>
      <c r="V11">
        <v>-5.3</v>
      </c>
      <c r="W11">
        <f t="shared" si="10"/>
        <v>-0.27772000000000002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 s="5">
        <v>0.45107587000000005</v>
      </c>
      <c r="B12" s="5">
        <v>0.80998497999999997</v>
      </c>
      <c r="C12">
        <f t="shared" si="0"/>
        <v>0.36536467954043261</v>
      </c>
      <c r="D12">
        <v>1.6199999999999999E-2</v>
      </c>
      <c r="E12">
        <v>3.81E-3</v>
      </c>
      <c r="F12">
        <f t="shared" si="1"/>
        <v>90.215174000000005</v>
      </c>
      <c r="G12">
        <f t="shared" si="2"/>
        <v>-0.80998497999999997</v>
      </c>
      <c r="H12">
        <f t="shared" si="3"/>
        <v>-73.072935908086521</v>
      </c>
      <c r="I12">
        <v>1</v>
      </c>
      <c r="J12">
        <f t="shared" si="4"/>
        <v>-2.4055576398979137</v>
      </c>
      <c r="K12">
        <f t="shared" si="5"/>
        <v>-0.41174017177521749</v>
      </c>
      <c r="L12">
        <v>1</v>
      </c>
      <c r="M12">
        <f t="shared" si="6"/>
        <v>0.41549545634085933</v>
      </c>
      <c r="N12">
        <f t="shared" si="7"/>
        <v>7.3074290940000003E-3</v>
      </c>
      <c r="O12">
        <f t="shared" si="8"/>
        <v>1.7185990647000003E-3</v>
      </c>
      <c r="P12">
        <f t="shared" si="9"/>
        <v>-1.2781312724341836E-2</v>
      </c>
      <c r="V12">
        <v>-5.2</v>
      </c>
      <c r="W12">
        <f t="shared" si="10"/>
        <v>-0.28248000000000001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 s="5">
        <v>0.50352173</v>
      </c>
      <c r="B13" s="5">
        <v>0.80475353999999999</v>
      </c>
      <c r="C13">
        <f t="shared" si="0"/>
        <v>0.40521089468442417</v>
      </c>
      <c r="D13">
        <v>1.6199999999999999E-2</v>
      </c>
      <c r="E13">
        <v>3.81E-3</v>
      </c>
      <c r="F13">
        <f t="shared" si="1"/>
        <v>100.704346</v>
      </c>
      <c r="G13">
        <f t="shared" si="2"/>
        <v>-0.80475353999999999</v>
      </c>
      <c r="H13">
        <f t="shared" si="3"/>
        <v>-81.042178936884838</v>
      </c>
      <c r="I13">
        <v>1</v>
      </c>
      <c r="J13">
        <f t="shared" si="4"/>
        <v>-2.2955663222941589</v>
      </c>
      <c r="K13">
        <f t="shared" si="5"/>
        <v>-0.41697161177521747</v>
      </c>
      <c r="L13">
        <v>1</v>
      </c>
      <c r="M13">
        <f t="shared" si="6"/>
        <v>0.42073104305879805</v>
      </c>
      <c r="N13">
        <f t="shared" si="7"/>
        <v>8.1570520259999987E-3</v>
      </c>
      <c r="O13">
        <f t="shared" si="8"/>
        <v>1.9184177913000001E-3</v>
      </c>
      <c r="P13">
        <f t="shared" si="9"/>
        <v>-1.3834901100880582E-2</v>
      </c>
      <c r="V13">
        <v>-5.0999999999999996</v>
      </c>
      <c r="W13">
        <f t="shared" si="10"/>
        <v>-0.28724000000000005</v>
      </c>
      <c r="Y13">
        <v>0.09</v>
      </c>
      <c r="Z13">
        <f t="shared" si="11"/>
        <v>0.42224359999999983</v>
      </c>
    </row>
    <row r="14" spans="1:29" x14ac:dyDescent="0.3">
      <c r="A14" s="5">
        <v>0.55749517999999998</v>
      </c>
      <c r="B14" s="5">
        <v>0.79925478000000005</v>
      </c>
      <c r="C14">
        <f t="shared" si="0"/>
        <v>0.44558068744196039</v>
      </c>
      <c r="D14">
        <v>1.6199999999999999E-2</v>
      </c>
      <c r="E14">
        <v>3.81E-3</v>
      </c>
      <c r="F14">
        <f t="shared" si="1"/>
        <v>111.49903599999999</v>
      </c>
      <c r="G14">
        <f t="shared" si="2"/>
        <v>-0.79925478000000005</v>
      </c>
      <c r="H14">
        <f t="shared" si="3"/>
        <v>-89.116137488392084</v>
      </c>
      <c r="I14">
        <v>1</v>
      </c>
      <c r="J14">
        <f t="shared" si="4"/>
        <v>-2.1937393338592486</v>
      </c>
      <c r="K14">
        <f t="shared" si="5"/>
        <v>-0.4224703717752174</v>
      </c>
      <c r="L14">
        <v>1</v>
      </c>
      <c r="M14">
        <f t="shared" si="6"/>
        <v>0.42557800770829979</v>
      </c>
      <c r="N14">
        <f t="shared" si="7"/>
        <v>9.0314219159999994E-3</v>
      </c>
      <c r="O14">
        <f t="shared" si="8"/>
        <v>2.1240566357999999E-3</v>
      </c>
      <c r="P14">
        <f t="shared" si="9"/>
        <v>-1.4263114484882386E-2</v>
      </c>
      <c r="V14">
        <v>-5</v>
      </c>
      <c r="W14">
        <f t="shared" si="10"/>
        <v>-0.29200000000000004</v>
      </c>
      <c r="Y14">
        <v>0.1</v>
      </c>
      <c r="Z14">
        <f t="shared" si="11"/>
        <v>0.50681399999999999</v>
      </c>
    </row>
    <row r="15" spans="1:29" x14ac:dyDescent="0.3">
      <c r="A15" s="5">
        <v>0.60790436000000003</v>
      </c>
      <c r="B15" s="5">
        <v>0.79499710000000001</v>
      </c>
      <c r="C15">
        <f t="shared" si="0"/>
        <v>0.48328220327735605</v>
      </c>
      <c r="D15">
        <v>1.6199999999999999E-2</v>
      </c>
      <c r="E15">
        <v>3.81E-3</v>
      </c>
      <c r="F15">
        <f t="shared" si="1"/>
        <v>121.580872</v>
      </c>
      <c r="G15">
        <f t="shared" si="2"/>
        <v>-0.79499710000000001</v>
      </c>
      <c r="H15">
        <f t="shared" si="3"/>
        <v>-96.656440655471215</v>
      </c>
      <c r="I15">
        <v>1</v>
      </c>
      <c r="J15">
        <f t="shared" si="4"/>
        <v>-2.1071756244550062</v>
      </c>
      <c r="K15">
        <f t="shared" si="5"/>
        <v>-0.42672805177521744</v>
      </c>
      <c r="L15">
        <v>1</v>
      </c>
      <c r="M15">
        <f t="shared" si="6"/>
        <v>0.42969844027594173</v>
      </c>
      <c r="N15">
        <f t="shared" si="7"/>
        <v>9.8480506319999998E-3</v>
      </c>
      <c r="O15">
        <f t="shared" si="8"/>
        <v>2.3161156116000003E-3</v>
      </c>
      <c r="P15">
        <f t="shared" si="9"/>
        <v>-1.5134554744324286E-2</v>
      </c>
      <c r="V15">
        <v>-4.9000000000000004</v>
      </c>
      <c r="W15">
        <f t="shared" si="10"/>
        <v>-0.29676000000000002</v>
      </c>
      <c r="Y15">
        <v>0.11</v>
      </c>
      <c r="Z15">
        <f t="shared" si="11"/>
        <v>0.59138439999999992</v>
      </c>
    </row>
    <row r="16" spans="1:29" x14ac:dyDescent="0.3">
      <c r="A16" s="5">
        <v>0.66085938</v>
      </c>
      <c r="B16" s="5">
        <v>0.79100667999999996</v>
      </c>
      <c r="C16">
        <f t="shared" si="0"/>
        <v>0.52274418412065837</v>
      </c>
      <c r="D16">
        <v>1.6199999999999999E-2</v>
      </c>
      <c r="E16">
        <v>3.81E-3</v>
      </c>
      <c r="F16">
        <f t="shared" si="1"/>
        <v>132.171876</v>
      </c>
      <c r="G16">
        <f t="shared" si="2"/>
        <v>-0.79100667999999996</v>
      </c>
      <c r="H16">
        <f t="shared" si="3"/>
        <v>-104.54883682413167</v>
      </c>
      <c r="I16">
        <v>1</v>
      </c>
      <c r="J16">
        <f t="shared" si="4"/>
        <v>-2.0236521124718885</v>
      </c>
      <c r="K16">
        <f t="shared" si="5"/>
        <v>-0.43071847177521749</v>
      </c>
      <c r="L16">
        <v>1</v>
      </c>
      <c r="M16">
        <f t="shared" si="6"/>
        <v>0.43367415944633814</v>
      </c>
      <c r="N16">
        <f t="shared" si="7"/>
        <v>1.0705921956E-2</v>
      </c>
      <c r="O16">
        <f t="shared" si="8"/>
        <v>2.5178742378E-3</v>
      </c>
      <c r="P16">
        <f t="shared" si="9"/>
        <v>-1.6179483864920643E-2</v>
      </c>
      <c r="V16">
        <v>-4.8</v>
      </c>
      <c r="W16">
        <f t="shared" si="10"/>
        <v>-0.30152000000000001</v>
      </c>
      <c r="Y16">
        <v>0.12</v>
      </c>
      <c r="Z16">
        <f t="shared" si="11"/>
        <v>0.67595479999999986</v>
      </c>
    </row>
    <row r="17" spans="1:26" x14ac:dyDescent="0.3">
      <c r="A17" s="5">
        <v>0.71126862000000002</v>
      </c>
      <c r="B17" s="5">
        <v>0.78682536000000003</v>
      </c>
      <c r="C17">
        <f t="shared" si="0"/>
        <v>0.55964418798820326</v>
      </c>
      <c r="D17">
        <v>1.6199999999999999E-2</v>
      </c>
      <c r="E17">
        <v>3.81E-3</v>
      </c>
      <c r="F17">
        <f t="shared" si="1"/>
        <v>142.25372400000001</v>
      </c>
      <c r="G17">
        <f t="shared" si="2"/>
        <v>-0.78682536000000003</v>
      </c>
      <c r="H17">
        <f t="shared" si="3"/>
        <v>-111.92883759764065</v>
      </c>
      <c r="I17">
        <v>1</v>
      </c>
      <c r="J17">
        <f t="shared" si="4"/>
        <v>-1.9501430270565048</v>
      </c>
      <c r="K17">
        <f t="shared" si="5"/>
        <v>-0.43489979177521743</v>
      </c>
      <c r="L17">
        <v>1</v>
      </c>
      <c r="M17">
        <f t="shared" si="6"/>
        <v>0.4371731919121104</v>
      </c>
      <c r="N17">
        <f t="shared" si="7"/>
        <v>1.1522551644E-2</v>
      </c>
      <c r="O17">
        <f t="shared" si="8"/>
        <v>2.7099334422E-3</v>
      </c>
      <c r="P17">
        <f t="shared" si="9"/>
        <v>-1.650588522309298E-2</v>
      </c>
      <c r="V17">
        <v>-4.7</v>
      </c>
      <c r="W17">
        <f t="shared" si="10"/>
        <v>-0.30628</v>
      </c>
      <c r="Y17">
        <v>0.13</v>
      </c>
      <c r="Z17">
        <f t="shared" si="11"/>
        <v>0.7605251999999999</v>
      </c>
    </row>
    <row r="18" spans="1:26" x14ac:dyDescent="0.3">
      <c r="A18" s="5">
        <v>0.76422357000000007</v>
      </c>
      <c r="B18" s="5">
        <v>0.78300678999999995</v>
      </c>
      <c r="C18">
        <f t="shared" si="0"/>
        <v>0.59839224438804028</v>
      </c>
      <c r="D18">
        <v>1.6199999999999999E-2</v>
      </c>
      <c r="E18">
        <v>3.81E-3</v>
      </c>
      <c r="F18">
        <f t="shared" si="1"/>
        <v>152.84471400000001</v>
      </c>
      <c r="G18">
        <f t="shared" si="2"/>
        <v>-0.78300678999999995</v>
      </c>
      <c r="H18">
        <f t="shared" si="3"/>
        <v>-119.67844887760806</v>
      </c>
      <c r="I18">
        <v>1</v>
      </c>
      <c r="J18">
        <f t="shared" si="4"/>
        <v>-1.8783328141677322</v>
      </c>
      <c r="K18">
        <f t="shared" si="5"/>
        <v>-0.4387183617752175</v>
      </c>
      <c r="L18">
        <v>1</v>
      </c>
      <c r="M18">
        <f t="shared" si="6"/>
        <v>0.440591358045616</v>
      </c>
      <c r="N18">
        <f t="shared" si="7"/>
        <v>1.2380421834E-2</v>
      </c>
      <c r="O18">
        <f t="shared" si="8"/>
        <v>2.9116918017000003E-3</v>
      </c>
      <c r="P18">
        <f t="shared" si="9"/>
        <v>-1.7165109906098496E-2</v>
      </c>
      <c r="V18">
        <v>-4.5999999999999996</v>
      </c>
      <c r="W18">
        <f t="shared" si="10"/>
        <v>-0.31104000000000004</v>
      </c>
      <c r="Y18">
        <v>0.14000000000000001</v>
      </c>
      <c r="Z18">
        <f t="shared" si="11"/>
        <v>0.84509559999999995</v>
      </c>
    </row>
    <row r="19" spans="1:26" x14ac:dyDescent="0.3">
      <c r="A19" s="5">
        <v>0.81463274999999991</v>
      </c>
      <c r="B19" s="5">
        <v>0.77955096999999995</v>
      </c>
      <c r="C19">
        <f t="shared" si="0"/>
        <v>0.63504775045626738</v>
      </c>
      <c r="D19">
        <v>1.6199999999999999E-2</v>
      </c>
      <c r="E19">
        <v>3.81E-3</v>
      </c>
      <c r="F19">
        <f t="shared" si="1"/>
        <v>162.92654999999999</v>
      </c>
      <c r="G19">
        <f t="shared" si="2"/>
        <v>-0.77955096999999995</v>
      </c>
      <c r="H19">
        <f t="shared" si="3"/>
        <v>-127.00955009125347</v>
      </c>
      <c r="I19">
        <v>1</v>
      </c>
      <c r="J19">
        <f t="shared" si="4"/>
        <v>-1.8144557932290788</v>
      </c>
      <c r="K19">
        <f t="shared" si="5"/>
        <v>-0.4421741817752175</v>
      </c>
      <c r="L19">
        <v>1</v>
      </c>
      <c r="M19">
        <f t="shared" si="6"/>
        <v>0.44363190424229587</v>
      </c>
      <c r="N19">
        <f t="shared" si="7"/>
        <v>1.3197050549999997E-2</v>
      </c>
      <c r="O19">
        <f t="shared" si="8"/>
        <v>3.1037507774999995E-3</v>
      </c>
      <c r="P19">
        <f t="shared" si="9"/>
        <v>-1.7758523794578367E-2</v>
      </c>
      <c r="V19">
        <v>-4.5000000000000098</v>
      </c>
      <c r="W19">
        <f t="shared" si="10"/>
        <v>-0.31579999999999953</v>
      </c>
      <c r="Y19">
        <v>0.15</v>
      </c>
      <c r="Z19">
        <f t="shared" si="11"/>
        <v>0.92966599999999977</v>
      </c>
    </row>
    <row r="20" spans="1:26" x14ac:dyDescent="0.3">
      <c r="A20" s="5">
        <v>0.86707860999999997</v>
      </c>
      <c r="B20" s="5">
        <v>0.77640063000000004</v>
      </c>
      <c r="C20">
        <f t="shared" si="0"/>
        <v>0.67320037906352426</v>
      </c>
      <c r="D20">
        <v>1.6199999999999999E-2</v>
      </c>
      <c r="E20">
        <v>3.81E-3</v>
      </c>
      <c r="F20">
        <f t="shared" si="1"/>
        <v>173.41572199999999</v>
      </c>
      <c r="G20">
        <f t="shared" si="2"/>
        <v>-0.77640063000000004</v>
      </c>
      <c r="H20">
        <f t="shared" si="3"/>
        <v>-134.64007581270485</v>
      </c>
      <c r="I20">
        <v>1</v>
      </c>
      <c r="J20">
        <f t="shared" si="4"/>
        <v>-1.7520635497724069</v>
      </c>
      <c r="K20">
        <f t="shared" si="5"/>
        <v>-0.44532452177521742</v>
      </c>
      <c r="L20">
        <v>1</v>
      </c>
      <c r="M20">
        <f t="shared" si="6"/>
        <v>0.44660177503083343</v>
      </c>
      <c r="N20">
        <f t="shared" si="7"/>
        <v>1.4046673481999998E-2</v>
      </c>
      <c r="O20">
        <f t="shared" si="8"/>
        <v>3.3035695040999997E-3</v>
      </c>
      <c r="P20">
        <f t="shared" si="9"/>
        <v>-1.8627496241716005E-2</v>
      </c>
      <c r="V20">
        <v>-4.4000000000000101</v>
      </c>
      <c r="W20">
        <f t="shared" si="10"/>
        <v>-0.32055999999999951</v>
      </c>
      <c r="Y20">
        <v>0.16</v>
      </c>
      <c r="Z20">
        <f t="shared" si="11"/>
        <v>1.0142363999999997</v>
      </c>
    </row>
    <row r="21" spans="1:26" x14ac:dyDescent="0.3">
      <c r="A21" s="5">
        <v>0.91748779000000003</v>
      </c>
      <c r="B21" s="5">
        <v>0.77281116999999999</v>
      </c>
      <c r="C21">
        <f t="shared" si="0"/>
        <v>0.70904481245061435</v>
      </c>
      <c r="D21">
        <v>1.6199999999999999E-2</v>
      </c>
      <c r="E21">
        <v>3.81E-3</v>
      </c>
      <c r="F21">
        <f t="shared" si="1"/>
        <v>183.497558</v>
      </c>
      <c r="G21">
        <f t="shared" si="2"/>
        <v>-0.77281116999999999</v>
      </c>
      <c r="H21">
        <f t="shared" si="3"/>
        <v>-141.80896249012287</v>
      </c>
      <c r="I21">
        <v>1</v>
      </c>
      <c r="J21">
        <f t="shared" si="4"/>
        <v>-1.6955539194779703</v>
      </c>
      <c r="K21">
        <f t="shared" si="5"/>
        <v>-0.44891398177521746</v>
      </c>
      <c r="L21">
        <v>1</v>
      </c>
      <c r="M21">
        <f t="shared" si="6"/>
        <v>0.44929163343284861</v>
      </c>
      <c r="N21">
        <f t="shared" si="7"/>
        <v>1.4863302198E-2</v>
      </c>
      <c r="O21">
        <f t="shared" si="8"/>
        <v>3.4956284799000001E-3</v>
      </c>
      <c r="P21">
        <f t="shared" si="9"/>
        <v>-1.873658233553115E-2</v>
      </c>
      <c r="V21">
        <v>-4.3000000000000096</v>
      </c>
      <c r="W21">
        <f t="shared" si="10"/>
        <v>-0.32531999999999955</v>
      </c>
      <c r="Y21">
        <v>0.17</v>
      </c>
      <c r="Z21">
        <f t="shared" si="11"/>
        <v>1.0988067999999998</v>
      </c>
    </row>
    <row r="22" spans="1:26" x14ac:dyDescent="0.3">
      <c r="A22" s="5">
        <v>0.96891527999999993</v>
      </c>
      <c r="B22" s="5">
        <v>0.76952719999999997</v>
      </c>
      <c r="C22">
        <f t="shared" si="0"/>
        <v>0.74560666245561591</v>
      </c>
      <c r="D22">
        <v>1.6199999999999999E-2</v>
      </c>
      <c r="E22">
        <v>3.81E-3</v>
      </c>
      <c r="F22">
        <f t="shared" si="1"/>
        <v>193.78305599999999</v>
      </c>
      <c r="G22">
        <f t="shared" si="2"/>
        <v>-0.76952719999999997</v>
      </c>
      <c r="H22">
        <f t="shared" si="3"/>
        <v>-149.12133249112318</v>
      </c>
      <c r="I22">
        <v>1</v>
      </c>
      <c r="J22">
        <f t="shared" si="4"/>
        <v>-1.6410160136882836</v>
      </c>
      <c r="K22">
        <f t="shared" si="5"/>
        <v>-0.45219795177521749</v>
      </c>
      <c r="L22">
        <v>1</v>
      </c>
      <c r="M22">
        <f t="shared" si="6"/>
        <v>0.45188763774843771</v>
      </c>
      <c r="N22">
        <f t="shared" si="7"/>
        <v>1.5696427535999997E-2</v>
      </c>
      <c r="O22">
        <f t="shared" si="8"/>
        <v>3.6915672167999996E-3</v>
      </c>
      <c r="P22">
        <f t="shared" si="9"/>
        <v>-1.9077680726020216E-2</v>
      </c>
      <c r="V22">
        <v>-4.2000000000000099</v>
      </c>
      <c r="W22">
        <f t="shared" si="10"/>
        <v>-0.33007999999999954</v>
      </c>
      <c r="Y22">
        <v>0.18</v>
      </c>
      <c r="Z22">
        <f t="shared" si="11"/>
        <v>1.1833771999999998</v>
      </c>
    </row>
    <row r="23" spans="1:26" x14ac:dyDescent="0.3">
      <c r="A23" s="5">
        <v>1.0193245</v>
      </c>
      <c r="B23" s="5">
        <v>0.76651055000000001</v>
      </c>
      <c r="C23">
        <f t="shared" si="0"/>
        <v>0.78132298312347503</v>
      </c>
      <c r="D23">
        <v>1.6199999999999999E-2</v>
      </c>
      <c r="E23">
        <v>3.81E-3</v>
      </c>
      <c r="F23">
        <f t="shared" si="1"/>
        <v>203.86490000000001</v>
      </c>
      <c r="G23">
        <f t="shared" si="2"/>
        <v>-0.76651055000000001</v>
      </c>
      <c r="H23">
        <f t="shared" si="3"/>
        <v>-156.264596624695</v>
      </c>
      <c r="I23">
        <v>1</v>
      </c>
      <c r="J23">
        <f t="shared" si="4"/>
        <v>-1.5902977594275247</v>
      </c>
      <c r="K23">
        <f t="shared" si="5"/>
        <v>-0.45521460177521744</v>
      </c>
      <c r="L23">
        <v>1</v>
      </c>
      <c r="M23">
        <f t="shared" si="6"/>
        <v>0.45430182665124985</v>
      </c>
      <c r="N23">
        <f t="shared" si="7"/>
        <v>1.65130569E-2</v>
      </c>
      <c r="O23">
        <f t="shared" si="8"/>
        <v>3.8836263449999998E-3</v>
      </c>
      <c r="P23">
        <f t="shared" si="9"/>
        <v>-1.9483908121032407E-2</v>
      </c>
      <c r="V23">
        <v>-4.1000000000000103</v>
      </c>
      <c r="W23">
        <f t="shared" si="10"/>
        <v>-0.33483999999999953</v>
      </c>
      <c r="Y23">
        <v>0.19</v>
      </c>
      <c r="Z23">
        <f t="shared" si="11"/>
        <v>1.2679475999999998</v>
      </c>
    </row>
    <row r="24" spans="1:26" x14ac:dyDescent="0.3">
      <c r="A24" s="5">
        <v>1.0717704000000001</v>
      </c>
      <c r="B24" s="5">
        <v>0.76328384999999999</v>
      </c>
      <c r="C24">
        <f t="shared" si="0"/>
        <v>0.81806503722804003</v>
      </c>
      <c r="D24">
        <v>1.6199999999999999E-2</v>
      </c>
      <c r="E24">
        <v>3.81E-3</v>
      </c>
      <c r="F24">
        <f t="shared" si="1"/>
        <v>214.35408000000001</v>
      </c>
      <c r="G24">
        <f t="shared" si="2"/>
        <v>-0.76328384999999999</v>
      </c>
      <c r="H24">
        <f t="shared" si="3"/>
        <v>-163.61300744560799</v>
      </c>
      <c r="I24">
        <v>1</v>
      </c>
      <c r="J24">
        <f t="shared" si="4"/>
        <v>-1.5401260518295876</v>
      </c>
      <c r="K24">
        <f t="shared" si="5"/>
        <v>-0.45844130177521747</v>
      </c>
      <c r="L24">
        <v>1</v>
      </c>
      <c r="M24">
        <f t="shared" si="6"/>
        <v>0.45668999993291165</v>
      </c>
      <c r="N24">
        <f t="shared" si="7"/>
        <v>1.736268048E-2</v>
      </c>
      <c r="O24">
        <f t="shared" si="8"/>
        <v>4.0834452240000006E-3</v>
      </c>
      <c r="P24">
        <f t="shared" si="9"/>
        <v>-1.9694823861694181E-2</v>
      </c>
      <c r="V24">
        <v>-4.0000000000000098</v>
      </c>
      <c r="W24">
        <f t="shared" si="10"/>
        <v>-0.33959999999999957</v>
      </c>
      <c r="Y24">
        <v>0.2</v>
      </c>
      <c r="Z24">
        <f t="shared" si="11"/>
        <v>1.3525179999999999</v>
      </c>
    </row>
    <row r="25" spans="1:26" x14ac:dyDescent="0.3">
      <c r="A25" s="5">
        <v>1.1242162</v>
      </c>
      <c r="B25" s="5">
        <v>0.76011443000000001</v>
      </c>
      <c r="C25">
        <f t="shared" si="0"/>
        <v>0.85453295605976598</v>
      </c>
      <c r="D25">
        <v>1.6199999999999999E-2</v>
      </c>
      <c r="E25">
        <v>3.81E-3</v>
      </c>
      <c r="F25">
        <f t="shared" si="1"/>
        <v>224.84324000000001</v>
      </c>
      <c r="G25">
        <f t="shared" si="2"/>
        <v>-0.76011443000000001</v>
      </c>
      <c r="H25">
        <f t="shared" si="3"/>
        <v>-170.90659121195318</v>
      </c>
      <c r="I25">
        <v>1</v>
      </c>
      <c r="J25">
        <f t="shared" si="4"/>
        <v>-1.4923518307048025</v>
      </c>
      <c r="K25">
        <f t="shared" si="5"/>
        <v>-0.46161072177521745</v>
      </c>
      <c r="L25">
        <v>1</v>
      </c>
      <c r="M25">
        <f t="shared" si="6"/>
        <v>0.45896405285845143</v>
      </c>
      <c r="N25">
        <f t="shared" si="7"/>
        <v>1.8212302439999998E-2</v>
      </c>
      <c r="O25">
        <f t="shared" si="8"/>
        <v>4.2832637220000004E-3</v>
      </c>
      <c r="P25">
        <f t="shared" si="9"/>
        <v>-1.9848897245233983E-2</v>
      </c>
      <c r="V25">
        <v>-3.9000000000000101</v>
      </c>
      <c r="W25">
        <f t="shared" si="10"/>
        <v>-0.34435999999999956</v>
      </c>
      <c r="Y25">
        <v>0.21</v>
      </c>
      <c r="Z25">
        <f t="shared" si="11"/>
        <v>1.4370883999999999</v>
      </c>
    </row>
    <row r="26" spans="1:26" x14ac:dyDescent="0.3">
      <c r="A26" s="5">
        <v>1.1756437</v>
      </c>
      <c r="B26" s="5">
        <v>0.75702137000000003</v>
      </c>
      <c r="C26">
        <f t="shared" si="0"/>
        <v>0.88998740440586899</v>
      </c>
      <c r="D26">
        <v>1.6199999999999999E-2</v>
      </c>
      <c r="E26">
        <v>3.81E-3</v>
      </c>
      <c r="F26">
        <f t="shared" si="1"/>
        <v>235.12873999999999</v>
      </c>
      <c r="G26">
        <f t="shared" si="2"/>
        <v>-0.75702137000000003</v>
      </c>
      <c r="H26">
        <f t="shared" si="3"/>
        <v>-177.9974808811738</v>
      </c>
      <c r="I26">
        <v>1</v>
      </c>
      <c r="J26">
        <f t="shared" si="4"/>
        <v>-1.4476220850546999</v>
      </c>
      <c r="K26">
        <f t="shared" si="5"/>
        <v>-0.46470378177521743</v>
      </c>
      <c r="L26">
        <v>1</v>
      </c>
      <c r="M26">
        <f t="shared" si="6"/>
        <v>0.46109318875139632</v>
      </c>
      <c r="N26">
        <f t="shared" si="7"/>
        <v>1.9045427939999998E-2</v>
      </c>
      <c r="O26">
        <f t="shared" si="8"/>
        <v>4.479202497E-3</v>
      </c>
      <c r="P26">
        <f t="shared" si="9"/>
        <v>-1.9914037413178889E-2</v>
      </c>
      <c r="V26">
        <v>-3.80000000000001</v>
      </c>
      <c r="W26">
        <f t="shared" si="10"/>
        <v>-0.34911999999999954</v>
      </c>
      <c r="Y26">
        <v>0.22</v>
      </c>
      <c r="Z26">
        <f t="shared" si="11"/>
        <v>1.5216588</v>
      </c>
    </row>
    <row r="27" spans="1:26" x14ac:dyDescent="0.3">
      <c r="A27" s="5">
        <v>1.2265621</v>
      </c>
      <c r="B27" s="5">
        <v>0.75404285999999998</v>
      </c>
      <c r="C27">
        <f t="shared" si="0"/>
        <v>0.92488039385160592</v>
      </c>
      <c r="D27">
        <v>1.6199999999999999E-2</v>
      </c>
      <c r="E27">
        <v>3.81E-3</v>
      </c>
      <c r="F27">
        <f t="shared" si="1"/>
        <v>245.31242</v>
      </c>
      <c r="G27">
        <f t="shared" si="2"/>
        <v>-0.75404285999999998</v>
      </c>
      <c r="H27">
        <f t="shared" si="3"/>
        <v>-184.97607877032118</v>
      </c>
      <c r="I27">
        <v>1</v>
      </c>
      <c r="J27">
        <f t="shared" si="4"/>
        <v>-1.4052226971201123</v>
      </c>
      <c r="K27">
        <f t="shared" si="5"/>
        <v>-0.46768229177521747</v>
      </c>
      <c r="L27">
        <v>1</v>
      </c>
      <c r="M27">
        <f t="shared" si="6"/>
        <v>0.4631113996170827</v>
      </c>
      <c r="N27">
        <f t="shared" si="7"/>
        <v>1.9870306019999999E-2</v>
      </c>
      <c r="O27">
        <f t="shared" si="8"/>
        <v>4.6732016009999999E-3</v>
      </c>
      <c r="P27">
        <f t="shared" si="9"/>
        <v>-1.9972615462865224E-2</v>
      </c>
      <c r="V27">
        <v>-3.7000000000000099</v>
      </c>
      <c r="W27">
        <f t="shared" si="10"/>
        <v>-0.35387999999999953</v>
      </c>
      <c r="Y27">
        <v>0.23</v>
      </c>
      <c r="Z27">
        <f t="shared" si="11"/>
        <v>1.6062292</v>
      </c>
    </row>
    <row r="28" spans="1:26" x14ac:dyDescent="0.3">
      <c r="A28" s="5">
        <v>1.2790078</v>
      </c>
      <c r="B28" s="5">
        <v>0.75127440999999995</v>
      </c>
      <c r="C28">
        <f t="shared" si="0"/>
        <v>0.96088583033039798</v>
      </c>
      <c r="D28">
        <v>1.6199999999999999E-2</v>
      </c>
      <c r="E28">
        <v>3.81E-3</v>
      </c>
      <c r="F28">
        <f t="shared" si="1"/>
        <v>255.80155999999999</v>
      </c>
      <c r="G28">
        <f t="shared" si="2"/>
        <v>-0.75127440999999995</v>
      </c>
      <c r="H28">
        <f t="shared" si="3"/>
        <v>-192.17716606607959</v>
      </c>
      <c r="I28">
        <v>1</v>
      </c>
      <c r="J28">
        <f t="shared" si="4"/>
        <v>-1.3633532913415263</v>
      </c>
      <c r="K28">
        <f t="shared" si="5"/>
        <v>-0.47045074177521751</v>
      </c>
      <c r="L28">
        <v>1</v>
      </c>
      <c r="M28">
        <f t="shared" si="6"/>
        <v>0.46510438333214338</v>
      </c>
      <c r="N28">
        <f t="shared" si="7"/>
        <v>2.0719926359999998E-2</v>
      </c>
      <c r="O28">
        <f t="shared" si="8"/>
        <v>4.8730197179999999E-3</v>
      </c>
      <c r="P28">
        <f t="shared" si="9"/>
        <v>-2.0246587634925869E-2</v>
      </c>
      <c r="V28">
        <v>-3.6000000000000099</v>
      </c>
      <c r="W28">
        <f t="shared" si="10"/>
        <v>-0.35863999999999951</v>
      </c>
      <c r="Y28">
        <v>0.24</v>
      </c>
      <c r="Z28">
        <f t="shared" si="11"/>
        <v>1.6907995999999996</v>
      </c>
    </row>
    <row r="29" spans="1:26" x14ac:dyDescent="0.3">
      <c r="A29" s="5">
        <v>1.3304355000000001</v>
      </c>
      <c r="B29" s="5">
        <v>0.74831504000000004</v>
      </c>
      <c r="C29">
        <f t="shared" si="0"/>
        <v>0.99558489439992015</v>
      </c>
      <c r="D29">
        <v>1.6199999999999999E-2</v>
      </c>
      <c r="E29">
        <v>3.81E-3</v>
      </c>
      <c r="F29">
        <f t="shared" si="1"/>
        <v>266.08710000000002</v>
      </c>
      <c r="G29">
        <f t="shared" si="2"/>
        <v>-0.74831504000000004</v>
      </c>
      <c r="H29">
        <f t="shared" si="3"/>
        <v>-199.11697887998403</v>
      </c>
      <c r="I29">
        <v>1</v>
      </c>
      <c r="J29">
        <f t="shared" si="4"/>
        <v>-1.3239315801893741</v>
      </c>
      <c r="K29">
        <f t="shared" si="5"/>
        <v>-0.47341011177521741</v>
      </c>
      <c r="L29">
        <v>1</v>
      </c>
      <c r="M29">
        <f t="shared" si="6"/>
        <v>0.46698085678298584</v>
      </c>
      <c r="N29">
        <f t="shared" si="7"/>
        <v>2.1553055099999999E-2</v>
      </c>
      <c r="O29">
        <f t="shared" si="8"/>
        <v>5.0689592550000008E-3</v>
      </c>
      <c r="P29">
        <f t="shared" si="9"/>
        <v>-2.0192759362768431E-2</v>
      </c>
      <c r="V29">
        <v>-3.5000000000000102</v>
      </c>
      <c r="W29">
        <f t="shared" si="10"/>
        <v>-0.3633999999999995</v>
      </c>
      <c r="Y29">
        <v>0.25</v>
      </c>
      <c r="Z29">
        <f t="shared" si="11"/>
        <v>1.7753699999999997</v>
      </c>
    </row>
    <row r="30" spans="1:26" x14ac:dyDescent="0.3">
      <c r="A30" s="5">
        <v>1.3823722000000001</v>
      </c>
      <c r="B30" s="5">
        <v>0.74533653</v>
      </c>
      <c r="C30">
        <f t="shared" si="0"/>
        <v>1.0303324987164659</v>
      </c>
      <c r="D30">
        <v>1.6199999999999999E-2</v>
      </c>
      <c r="E30">
        <v>3.81E-3</v>
      </c>
      <c r="F30">
        <f t="shared" si="1"/>
        <v>276.47444000000002</v>
      </c>
      <c r="G30">
        <f t="shared" si="2"/>
        <v>-0.74533653</v>
      </c>
      <c r="H30">
        <f t="shared" si="3"/>
        <v>-206.06649974329318</v>
      </c>
      <c r="I30">
        <v>1</v>
      </c>
      <c r="J30">
        <f t="shared" si="4"/>
        <v>-1.2856369035223578</v>
      </c>
      <c r="K30">
        <f t="shared" si="5"/>
        <v>-0.47638862177521746</v>
      </c>
      <c r="L30">
        <v>1</v>
      </c>
      <c r="M30">
        <f t="shared" si="6"/>
        <v>0.4688036833923358</v>
      </c>
      <c r="N30">
        <f t="shared" si="7"/>
        <v>2.2394429640000001E-2</v>
      </c>
      <c r="O30">
        <f t="shared" si="8"/>
        <v>5.2668380819999999E-3</v>
      </c>
      <c r="P30">
        <f t="shared" si="9"/>
        <v>-2.0076329339118345E-2</v>
      </c>
      <c r="V30">
        <v>-3.4000000000000101</v>
      </c>
      <c r="W30">
        <f t="shared" si="10"/>
        <v>-0.36815999999999954</v>
      </c>
      <c r="Y30">
        <v>0.26</v>
      </c>
      <c r="Z30">
        <f t="shared" si="11"/>
        <v>1.8599403999999997</v>
      </c>
    </row>
    <row r="31" spans="1:26" x14ac:dyDescent="0.3">
      <c r="A31" s="5">
        <v>1.4332904</v>
      </c>
      <c r="B31" s="5">
        <v>0.74277811999999999</v>
      </c>
      <c r="C31">
        <f t="shared" si="0"/>
        <v>1.0646167487260481</v>
      </c>
      <c r="D31">
        <v>1.6199999999999999E-2</v>
      </c>
      <c r="E31">
        <v>3.81E-3</v>
      </c>
      <c r="F31">
        <f t="shared" si="1"/>
        <v>286.65807999999998</v>
      </c>
      <c r="G31">
        <f t="shared" si="2"/>
        <v>-0.74277811999999999</v>
      </c>
      <c r="H31">
        <f t="shared" si="3"/>
        <v>-212.92334974520961</v>
      </c>
      <c r="I31">
        <v>1</v>
      </c>
      <c r="J31">
        <f t="shared" si="4"/>
        <v>-1.2494651323396802</v>
      </c>
      <c r="K31">
        <f t="shared" si="5"/>
        <v>-0.47894703177521747</v>
      </c>
      <c r="L31">
        <v>1</v>
      </c>
      <c r="M31">
        <f t="shared" si="6"/>
        <v>0.47052545970063125</v>
      </c>
      <c r="N31">
        <f t="shared" si="7"/>
        <v>2.3219304479999998E-2</v>
      </c>
      <c r="O31">
        <f t="shared" si="8"/>
        <v>5.4608364240000002E-3</v>
      </c>
      <c r="P31">
        <f t="shared" si="9"/>
        <v>-2.0258568829413785E-2</v>
      </c>
      <c r="V31">
        <v>-3.30000000000001</v>
      </c>
      <c r="W31">
        <f t="shared" si="10"/>
        <v>-0.37291999999999953</v>
      </c>
      <c r="Y31">
        <v>0.27</v>
      </c>
      <c r="Z31">
        <f t="shared" si="11"/>
        <v>1.9445107999999998</v>
      </c>
    </row>
    <row r="32" spans="1:26" x14ac:dyDescent="0.3">
      <c r="A32" s="5">
        <v>1.4872638</v>
      </c>
      <c r="B32" s="5">
        <v>0.73983783000000003</v>
      </c>
      <c r="C32">
        <f t="shared" si="0"/>
        <v>1.1003340224295541</v>
      </c>
      <c r="D32">
        <v>1.6199999999999999E-2</v>
      </c>
      <c r="E32">
        <v>3.81E-3</v>
      </c>
      <c r="F32">
        <f t="shared" si="1"/>
        <v>297.45276000000001</v>
      </c>
      <c r="G32">
        <f t="shared" si="2"/>
        <v>-0.73983783000000003</v>
      </c>
      <c r="H32">
        <f t="shared" si="3"/>
        <v>-220.06680448591084</v>
      </c>
      <c r="I32">
        <v>1</v>
      </c>
      <c r="J32">
        <f t="shared" si="4"/>
        <v>-1.2124998565208722</v>
      </c>
      <c r="K32">
        <f t="shared" si="5"/>
        <v>-0.48188732177521743</v>
      </c>
      <c r="L32">
        <v>1</v>
      </c>
      <c r="M32">
        <f t="shared" si="6"/>
        <v>0.4722850068296065</v>
      </c>
      <c r="N32">
        <f t="shared" si="7"/>
        <v>2.4093673560000001E-2</v>
      </c>
      <c r="O32">
        <f t="shared" si="8"/>
        <v>5.6664750780000004E-3</v>
      </c>
      <c r="P32">
        <f t="shared" si="9"/>
        <v>-2.0157833692389077E-2</v>
      </c>
      <c r="V32">
        <v>-3.2000000000000099</v>
      </c>
      <c r="W32">
        <f t="shared" si="10"/>
        <v>-0.37767999999999957</v>
      </c>
    </row>
    <row r="33" spans="1:23" x14ac:dyDescent="0.3">
      <c r="A33" s="5">
        <v>1.5417465000000001</v>
      </c>
      <c r="B33" s="5">
        <v>0.73701203000000004</v>
      </c>
      <c r="C33">
        <f t="shared" si="0"/>
        <v>1.1362857177103951</v>
      </c>
      <c r="D33">
        <v>1.6199999999999999E-2</v>
      </c>
      <c r="E33">
        <v>3.81E-3</v>
      </c>
      <c r="F33">
        <f t="shared" si="1"/>
        <v>308.34930000000003</v>
      </c>
      <c r="G33">
        <f t="shared" si="2"/>
        <v>-0.73701203000000004</v>
      </c>
      <c r="H33">
        <f t="shared" si="3"/>
        <v>-227.25714354207901</v>
      </c>
      <c r="I33">
        <v>1</v>
      </c>
      <c r="J33">
        <f t="shared" si="4"/>
        <v>-1.1765220476947715</v>
      </c>
      <c r="K33">
        <f t="shared" si="5"/>
        <v>-0.48471312177521741</v>
      </c>
      <c r="L33">
        <v>1</v>
      </c>
      <c r="M33">
        <f t="shared" si="6"/>
        <v>0.47399755052972892</v>
      </c>
      <c r="N33">
        <f t="shared" si="7"/>
        <v>2.4976293300000001E-2</v>
      </c>
      <c r="O33">
        <f t="shared" si="8"/>
        <v>5.8740541650000007E-3</v>
      </c>
      <c r="P33">
        <f t="shared" si="9"/>
        <v>-2.0134776219511503E-2</v>
      </c>
      <c r="V33">
        <v>-3.1000000000000099</v>
      </c>
      <c r="W33">
        <f t="shared" si="10"/>
        <v>-0.38243999999999956</v>
      </c>
    </row>
    <row r="34" spans="1:23" x14ac:dyDescent="0.3">
      <c r="A34" s="5">
        <v>1.5926647</v>
      </c>
      <c r="B34" s="5">
        <v>0.73401444999999998</v>
      </c>
      <c r="C34">
        <f t="shared" si="0"/>
        <v>1.1690389038049149</v>
      </c>
      <c r="D34">
        <v>1.6199999999999999E-2</v>
      </c>
      <c r="E34">
        <v>3.81E-3</v>
      </c>
      <c r="F34">
        <f t="shared" si="1"/>
        <v>318.53294</v>
      </c>
      <c r="G34">
        <f t="shared" si="2"/>
        <v>-0.73401444999999998</v>
      </c>
      <c r="H34">
        <f t="shared" si="3"/>
        <v>-233.80778076098298</v>
      </c>
      <c r="I34">
        <v>1</v>
      </c>
      <c r="J34">
        <f t="shared" si="4"/>
        <v>-1.1440293870256419</v>
      </c>
      <c r="K34">
        <f t="shared" si="5"/>
        <v>-0.48771070177521747</v>
      </c>
      <c r="L34">
        <v>1</v>
      </c>
      <c r="M34">
        <f t="shared" si="6"/>
        <v>0.47554420117757945</v>
      </c>
      <c r="N34">
        <f t="shared" si="7"/>
        <v>2.5801168140000001E-2</v>
      </c>
      <c r="O34">
        <f t="shared" si="8"/>
        <v>6.0680525070000001E-3</v>
      </c>
      <c r="P34">
        <f t="shared" si="9"/>
        <v>-1.970272004936198E-2</v>
      </c>
      <c r="V34">
        <v>-3.0000000000000102</v>
      </c>
      <c r="W34">
        <f t="shared" si="10"/>
        <v>-0.38719999999999954</v>
      </c>
    </row>
    <row r="35" spans="1:23" x14ac:dyDescent="0.3">
      <c r="A35" s="5">
        <v>1.6430739999999999</v>
      </c>
      <c r="B35" s="5">
        <v>0.73134147999999999</v>
      </c>
      <c r="C35">
        <f t="shared" si="0"/>
        <v>1.2016481709095199</v>
      </c>
      <c r="D35">
        <v>1.6199999999999999E-2</v>
      </c>
      <c r="E35">
        <v>3.81E-3</v>
      </c>
      <c r="F35">
        <f t="shared" si="1"/>
        <v>328.6148</v>
      </c>
      <c r="G35">
        <f t="shared" si="2"/>
        <v>-0.73134147999999999</v>
      </c>
      <c r="H35">
        <f t="shared" si="3"/>
        <v>-240.329634181904</v>
      </c>
      <c r="I35">
        <v>1</v>
      </c>
      <c r="J35">
        <f t="shared" si="4"/>
        <v>-1.1128690348314427</v>
      </c>
      <c r="K35">
        <f t="shared" si="5"/>
        <v>-0.49038367177521747</v>
      </c>
      <c r="L35">
        <v>1</v>
      </c>
      <c r="M35">
        <f t="shared" si="6"/>
        <v>0.47702743394202335</v>
      </c>
      <c r="N35">
        <f t="shared" si="7"/>
        <v>2.6617798799999998E-2</v>
      </c>
      <c r="O35">
        <f t="shared" si="8"/>
        <v>6.2601119399999993E-3</v>
      </c>
      <c r="P35">
        <f t="shared" si="9"/>
        <v>-1.9521672906805881E-2</v>
      </c>
      <c r="V35">
        <v>-2.9000000000000101</v>
      </c>
      <c r="W35">
        <f t="shared" si="10"/>
        <v>-0.39195999999999953</v>
      </c>
    </row>
    <row r="36" spans="1:23" x14ac:dyDescent="0.3">
      <c r="A36" s="5">
        <v>1.6965380999999999</v>
      </c>
      <c r="B36" s="5">
        <v>0.72874486000000005</v>
      </c>
      <c r="C36">
        <f t="shared" si="0"/>
        <v>1.2363434201691661</v>
      </c>
      <c r="D36">
        <v>1.6199999999999999E-2</v>
      </c>
      <c r="E36">
        <v>3.81E-3</v>
      </c>
      <c r="F36">
        <f t="shared" si="1"/>
        <v>339.30761999999999</v>
      </c>
      <c r="G36">
        <f t="shared" si="2"/>
        <v>-0.72874486000000005</v>
      </c>
      <c r="H36">
        <f t="shared" si="3"/>
        <v>-247.26868403383321</v>
      </c>
      <c r="I36">
        <v>1</v>
      </c>
      <c r="J36">
        <f t="shared" si="4"/>
        <v>-1.0808481494423614</v>
      </c>
      <c r="K36">
        <f t="shared" si="5"/>
        <v>-0.49298029177521741</v>
      </c>
      <c r="L36">
        <v>1</v>
      </c>
      <c r="M36">
        <f t="shared" si="6"/>
        <v>0.47855162808654361</v>
      </c>
      <c r="N36">
        <f t="shared" si="7"/>
        <v>2.7483917219999997E-2</v>
      </c>
      <c r="O36">
        <f t="shared" si="8"/>
        <v>6.4638101610000002E-3</v>
      </c>
      <c r="P36">
        <f t="shared" si="9"/>
        <v>-1.9519063692326206E-2</v>
      </c>
      <c r="V36">
        <v>-2.80000000000001</v>
      </c>
      <c r="W36">
        <f t="shared" ref="W36:W67" si="12">V36*$S$5+$S$4</f>
        <v>-0.39671999999999952</v>
      </c>
    </row>
    <row r="37" spans="1:23" x14ac:dyDescent="0.3">
      <c r="A37" s="5">
        <v>1.7469473</v>
      </c>
      <c r="B37" s="5">
        <v>0.72611004000000001</v>
      </c>
      <c r="C37">
        <f t="shared" si="0"/>
        <v>1.2684759738808919</v>
      </c>
      <c r="D37">
        <v>1.6199999999999999E-2</v>
      </c>
      <c r="E37">
        <v>3.81E-3</v>
      </c>
      <c r="F37">
        <f t="shared" si="1"/>
        <v>349.38945999999999</v>
      </c>
      <c r="G37">
        <f t="shared" si="2"/>
        <v>-0.72611004000000001</v>
      </c>
      <c r="H37">
        <f t="shared" si="3"/>
        <v>-253.6951947761784</v>
      </c>
      <c r="I37">
        <v>1</v>
      </c>
      <c r="J37">
        <f t="shared" si="4"/>
        <v>-1.051568047736039</v>
      </c>
      <c r="K37">
        <f t="shared" si="5"/>
        <v>-0.49561511177521744</v>
      </c>
      <c r="L37">
        <v>1</v>
      </c>
      <c r="M37">
        <f t="shared" si="6"/>
        <v>0.47994536092776457</v>
      </c>
      <c r="N37">
        <f t="shared" si="7"/>
        <v>2.8300546259999997E-2</v>
      </c>
      <c r="O37">
        <f t="shared" si="8"/>
        <v>6.6558692129999996E-3</v>
      </c>
      <c r="P37">
        <f t="shared" si="9"/>
        <v>-1.928666462554713E-2</v>
      </c>
      <c r="V37">
        <v>-2.7000000000000099</v>
      </c>
      <c r="W37">
        <f t="shared" si="12"/>
        <v>-0.4014799999999995</v>
      </c>
    </row>
    <row r="38" spans="1:23" x14ac:dyDescent="0.3">
      <c r="A38" s="5">
        <v>1.7978657</v>
      </c>
      <c r="B38" s="5">
        <v>0.72336065999999999</v>
      </c>
      <c r="C38">
        <f t="shared" si="0"/>
        <v>1.300505319343362</v>
      </c>
      <c r="D38">
        <v>1.6199999999999999E-2</v>
      </c>
      <c r="E38">
        <v>3.81E-3</v>
      </c>
      <c r="F38">
        <f t="shared" si="1"/>
        <v>359.57314000000002</v>
      </c>
      <c r="G38">
        <f t="shared" si="2"/>
        <v>-0.72336065999999999</v>
      </c>
      <c r="H38">
        <f t="shared" si="3"/>
        <v>-260.10106386867238</v>
      </c>
      <c r="I38">
        <v>1</v>
      </c>
      <c r="J38">
        <f t="shared" si="4"/>
        <v>-1.0228376732789759</v>
      </c>
      <c r="K38">
        <f t="shared" si="5"/>
        <v>-0.49836449177521747</v>
      </c>
      <c r="L38">
        <v>1</v>
      </c>
      <c r="M38">
        <f t="shared" si="6"/>
        <v>0.48131292675192078</v>
      </c>
      <c r="N38">
        <f t="shared" si="7"/>
        <v>2.9125424339999997E-2</v>
      </c>
      <c r="O38">
        <f t="shared" si="8"/>
        <v>6.8498683170000003E-3</v>
      </c>
      <c r="P38">
        <f t="shared" si="9"/>
        <v>-1.892372763370331E-2</v>
      </c>
      <c r="V38">
        <v>-2.6000000000000099</v>
      </c>
      <c r="W38">
        <f t="shared" si="12"/>
        <v>-0.40623999999999955</v>
      </c>
    </row>
    <row r="39" spans="1:23" x14ac:dyDescent="0.3">
      <c r="A39" s="5">
        <v>1.8503114999999999</v>
      </c>
      <c r="B39" s="5">
        <v>0.72099316000000002</v>
      </c>
      <c r="C39">
        <f t="shared" si="0"/>
        <v>1.3340619353693399</v>
      </c>
      <c r="D39">
        <v>1.6199999999999999E-2</v>
      </c>
      <c r="E39">
        <v>3.81E-3</v>
      </c>
      <c r="F39">
        <f t="shared" si="1"/>
        <v>370.06229999999999</v>
      </c>
      <c r="G39">
        <f t="shared" si="2"/>
        <v>-0.72099316000000002</v>
      </c>
      <c r="H39">
        <f t="shared" si="3"/>
        <v>-266.81238707386797</v>
      </c>
      <c r="I39">
        <v>1</v>
      </c>
      <c r="J39">
        <f t="shared" si="4"/>
        <v>-0.99408390913953659</v>
      </c>
      <c r="K39">
        <f t="shared" si="5"/>
        <v>-0.50073199177521743</v>
      </c>
      <c r="L39">
        <v>1</v>
      </c>
      <c r="M39">
        <f t="shared" si="6"/>
        <v>0.48268160592495807</v>
      </c>
      <c r="N39">
        <f t="shared" si="7"/>
        <v>2.9975046299999995E-2</v>
      </c>
      <c r="O39">
        <f t="shared" si="8"/>
        <v>7.0496868149999992E-3</v>
      </c>
      <c r="P39">
        <f t="shared" si="9"/>
        <v>-1.8974347264740628E-2</v>
      </c>
      <c r="V39">
        <v>-2.5000000000000102</v>
      </c>
      <c r="W39">
        <f t="shared" si="12"/>
        <v>-0.41099999999999953</v>
      </c>
    </row>
    <row r="40" spans="1:23" x14ac:dyDescent="0.3">
      <c r="A40" s="5">
        <v>1.9012298999999999</v>
      </c>
      <c r="B40" s="5">
        <v>0.71839653999999997</v>
      </c>
      <c r="C40">
        <f t="shared" si="0"/>
        <v>1.3658369819045459</v>
      </c>
      <c r="D40">
        <v>1.6199999999999999E-2</v>
      </c>
      <c r="E40">
        <v>3.81E-3</v>
      </c>
      <c r="F40">
        <f t="shared" si="1"/>
        <v>380.24597999999997</v>
      </c>
      <c r="G40">
        <f t="shared" si="2"/>
        <v>-0.71839653999999997</v>
      </c>
      <c r="H40">
        <f t="shared" si="3"/>
        <v>-273.16739638090917</v>
      </c>
      <c r="I40">
        <v>1</v>
      </c>
      <c r="J40">
        <f t="shared" si="4"/>
        <v>-0.96693691989072916</v>
      </c>
      <c r="K40">
        <f t="shared" si="5"/>
        <v>-0.50332861177521748</v>
      </c>
      <c r="L40">
        <v>1</v>
      </c>
      <c r="M40">
        <f t="shared" si="6"/>
        <v>0.48397380261320133</v>
      </c>
      <c r="N40">
        <f t="shared" si="7"/>
        <v>3.0799924379999996E-2</v>
      </c>
      <c r="O40">
        <f t="shared" si="8"/>
        <v>7.2436859189999999E-3</v>
      </c>
      <c r="P40">
        <f t="shared" si="9"/>
        <v>-1.8688801136983846E-2</v>
      </c>
      <c r="V40">
        <v>-2.4000000000000101</v>
      </c>
      <c r="W40">
        <f t="shared" si="12"/>
        <v>-0.41575999999999952</v>
      </c>
    </row>
    <row r="41" spans="1:23" x14ac:dyDescent="0.3">
      <c r="A41" s="5">
        <v>1.9531665</v>
      </c>
      <c r="B41" s="5">
        <v>0.71558988000000001</v>
      </c>
      <c r="C41">
        <f t="shared" si="0"/>
        <v>1.39766618135502</v>
      </c>
      <c r="D41">
        <v>1.6199999999999999E-2</v>
      </c>
      <c r="E41">
        <v>3.81E-3</v>
      </c>
      <c r="F41">
        <f t="shared" si="1"/>
        <v>390.63330000000002</v>
      </c>
      <c r="G41">
        <f t="shared" si="2"/>
        <v>-0.71558988000000001</v>
      </c>
      <c r="H41">
        <f t="shared" si="3"/>
        <v>-279.533236271004</v>
      </c>
      <c r="I41">
        <v>1</v>
      </c>
      <c r="J41">
        <f t="shared" si="4"/>
        <v>-0.93998601071720667</v>
      </c>
      <c r="K41">
        <f t="shared" si="5"/>
        <v>-0.50613527177521744</v>
      </c>
      <c r="L41">
        <v>1</v>
      </c>
      <c r="M41">
        <f t="shared" si="6"/>
        <v>0.48525666588986099</v>
      </c>
      <c r="N41">
        <f t="shared" si="7"/>
        <v>3.1641297299999996E-2</v>
      </c>
      <c r="O41">
        <f t="shared" si="8"/>
        <v>7.4415643650000002E-3</v>
      </c>
      <c r="P41">
        <f t="shared" si="9"/>
        <v>-1.8204255779643547E-2</v>
      </c>
      <c r="V41">
        <v>-2.30000000000001</v>
      </c>
      <c r="W41">
        <f t="shared" si="12"/>
        <v>-0.42051999999999956</v>
      </c>
    </row>
    <row r="42" spans="1:23" x14ac:dyDescent="0.3">
      <c r="A42" s="5">
        <v>2.0045940999999998</v>
      </c>
      <c r="B42" s="5">
        <v>0.71284049999999999</v>
      </c>
      <c r="C42">
        <f t="shared" si="0"/>
        <v>1.4289558605410499</v>
      </c>
      <c r="D42">
        <v>1.6199999999999999E-2</v>
      </c>
      <c r="E42">
        <v>3.81E-3</v>
      </c>
      <c r="F42">
        <f t="shared" si="1"/>
        <v>400.91881999999998</v>
      </c>
      <c r="G42">
        <f t="shared" si="2"/>
        <v>-0.71284049999999999</v>
      </c>
      <c r="H42">
        <f t="shared" si="3"/>
        <v>-285.79117210820999</v>
      </c>
      <c r="I42">
        <v>1</v>
      </c>
      <c r="J42">
        <f t="shared" si="4"/>
        <v>-0.91399631606037257</v>
      </c>
      <c r="K42">
        <f t="shared" si="5"/>
        <v>-0.50888465177521747</v>
      </c>
      <c r="L42">
        <v>1</v>
      </c>
      <c r="M42">
        <f t="shared" si="6"/>
        <v>0.48649377535552629</v>
      </c>
      <c r="N42">
        <f t="shared" si="7"/>
        <v>3.2474424419999995E-2</v>
      </c>
      <c r="O42">
        <f t="shared" si="8"/>
        <v>7.6375035209999996E-3</v>
      </c>
      <c r="P42">
        <f t="shared" si="9"/>
        <v>-1.7721051521308821E-2</v>
      </c>
      <c r="V42">
        <v>-2.2000000000000099</v>
      </c>
      <c r="W42">
        <f t="shared" si="12"/>
        <v>-0.42527999999999955</v>
      </c>
    </row>
    <row r="43" spans="1:23" x14ac:dyDescent="0.3">
      <c r="A43" s="5">
        <v>2.0555125000000003</v>
      </c>
      <c r="B43" s="5">
        <v>0.71024388000000005</v>
      </c>
      <c r="C43">
        <f t="shared" si="0"/>
        <v>1.4599151733885003</v>
      </c>
      <c r="D43">
        <v>1.6199999999999999E-2</v>
      </c>
      <c r="E43">
        <v>3.81E-3</v>
      </c>
      <c r="F43">
        <f t="shared" si="1"/>
        <v>411.10250000000008</v>
      </c>
      <c r="G43">
        <f t="shared" si="2"/>
        <v>-0.71024388000000005</v>
      </c>
      <c r="H43">
        <f t="shared" si="3"/>
        <v>-291.98303467770006</v>
      </c>
      <c r="I43">
        <v>1</v>
      </c>
      <c r="J43">
        <f t="shared" si="4"/>
        <v>-0.88891270385135568</v>
      </c>
      <c r="K43">
        <f t="shared" si="5"/>
        <v>-0.51148127177521741</v>
      </c>
      <c r="L43">
        <v>1</v>
      </c>
      <c r="M43">
        <f t="shared" si="6"/>
        <v>0.48768775529667552</v>
      </c>
      <c r="N43">
        <f t="shared" si="7"/>
        <v>3.3299302500000003E-2</v>
      </c>
      <c r="O43">
        <f t="shared" si="8"/>
        <v>7.831502625000002E-3</v>
      </c>
      <c r="P43">
        <f t="shared" si="9"/>
        <v>-1.7337288646458116E-2</v>
      </c>
      <c r="V43">
        <v>-2.1000000000000099</v>
      </c>
      <c r="W43">
        <f t="shared" si="12"/>
        <v>-0.43003999999999953</v>
      </c>
    </row>
    <row r="44" spans="1:23" x14ac:dyDescent="0.3">
      <c r="A44" s="5">
        <v>2.1064308999999999</v>
      </c>
      <c r="B44" s="5">
        <v>0.70787632</v>
      </c>
      <c r="C44">
        <f t="shared" si="0"/>
        <v>1.491092553826288</v>
      </c>
      <c r="D44">
        <v>1.6199999999999999E-2</v>
      </c>
      <c r="E44">
        <v>3.81E-3</v>
      </c>
      <c r="F44">
        <f t="shared" si="1"/>
        <v>421.28618</v>
      </c>
      <c r="G44">
        <f t="shared" si="2"/>
        <v>-0.70787632</v>
      </c>
      <c r="H44">
        <f t="shared" si="3"/>
        <v>-298.21851076525763</v>
      </c>
      <c r="I44">
        <v>1</v>
      </c>
      <c r="J44">
        <f t="shared" si="4"/>
        <v>-0.86444291376330729</v>
      </c>
      <c r="K44">
        <f t="shared" si="5"/>
        <v>-0.51384883177521745</v>
      </c>
      <c r="L44">
        <v>1</v>
      </c>
      <c r="M44">
        <f t="shared" si="6"/>
        <v>0.48885251730486662</v>
      </c>
      <c r="N44">
        <f t="shared" si="7"/>
        <v>3.4124180579999996E-2</v>
      </c>
      <c r="O44">
        <f t="shared" si="8"/>
        <v>8.0255017290000001E-3</v>
      </c>
      <c r="P44">
        <f t="shared" si="9"/>
        <v>-1.7153367838649163E-2</v>
      </c>
      <c r="V44">
        <v>-2.0000000000000102</v>
      </c>
      <c r="W44">
        <f t="shared" si="12"/>
        <v>-0.43479999999999952</v>
      </c>
    </row>
    <row r="45" spans="1:23" x14ac:dyDescent="0.3">
      <c r="A45" s="5">
        <v>2.1588767</v>
      </c>
      <c r="B45" s="5">
        <v>0.70550882999999998</v>
      </c>
      <c r="C45">
        <f t="shared" si="0"/>
        <v>1.5231065747312609</v>
      </c>
      <c r="D45">
        <v>1.6199999999999999E-2</v>
      </c>
      <c r="E45">
        <v>3.81E-3</v>
      </c>
      <c r="F45">
        <f t="shared" si="1"/>
        <v>431.77533999999997</v>
      </c>
      <c r="G45">
        <f t="shared" si="2"/>
        <v>-0.70550882999999998</v>
      </c>
      <c r="H45">
        <f t="shared" si="3"/>
        <v>-304.6213149462522</v>
      </c>
      <c r="I45">
        <v>1</v>
      </c>
      <c r="J45">
        <f t="shared" si="4"/>
        <v>-0.83984987230529839</v>
      </c>
      <c r="K45">
        <f t="shared" si="5"/>
        <v>-0.51621632177521748</v>
      </c>
      <c r="L45">
        <v>1</v>
      </c>
      <c r="M45">
        <f t="shared" si="6"/>
        <v>0.4900231460782678</v>
      </c>
      <c r="N45">
        <f t="shared" si="7"/>
        <v>3.4973802539999994E-2</v>
      </c>
      <c r="O45">
        <f t="shared" si="8"/>
        <v>8.2253202269999999E-3</v>
      </c>
      <c r="P45">
        <f t="shared" si="9"/>
        <v>-1.7005947070050317E-2</v>
      </c>
      <c r="V45">
        <v>-1.9000000000000099</v>
      </c>
      <c r="W45">
        <f t="shared" si="12"/>
        <v>-0.43955999999999956</v>
      </c>
    </row>
    <row r="46" spans="1:23" x14ac:dyDescent="0.3">
      <c r="A46" s="5">
        <v>2.2113225000000001</v>
      </c>
      <c r="B46" s="5">
        <v>0.70275944000000001</v>
      </c>
      <c r="C46">
        <f t="shared" si="0"/>
        <v>1.5540277617594001</v>
      </c>
      <c r="D46">
        <v>1.6199999999999999E-2</v>
      </c>
      <c r="E46">
        <v>3.81E-3</v>
      </c>
      <c r="F46">
        <f t="shared" si="1"/>
        <v>442.2645</v>
      </c>
      <c r="G46">
        <f t="shared" si="2"/>
        <v>-0.70275944000000001</v>
      </c>
      <c r="H46">
        <f t="shared" si="3"/>
        <v>-310.80555235188001</v>
      </c>
      <c r="I46">
        <v>1</v>
      </c>
      <c r="J46">
        <f t="shared" si="4"/>
        <v>-0.81584715959447462</v>
      </c>
      <c r="K46">
        <f t="shared" si="5"/>
        <v>-0.51896571177521744</v>
      </c>
      <c r="L46">
        <v>1</v>
      </c>
      <c r="M46">
        <f t="shared" si="6"/>
        <v>0.49116567520330301</v>
      </c>
      <c r="N46">
        <f t="shared" si="7"/>
        <v>3.5823424499999999E-2</v>
      </c>
      <c r="O46">
        <f t="shared" si="8"/>
        <v>8.4251387249999997E-3</v>
      </c>
      <c r="P46">
        <f t="shared" si="9"/>
        <v>-1.6448526653085566E-2</v>
      </c>
      <c r="V46">
        <v>-1.80000000000001</v>
      </c>
      <c r="W46">
        <f t="shared" si="12"/>
        <v>-0.44431999999999955</v>
      </c>
    </row>
    <row r="47" spans="1:23" x14ac:dyDescent="0.3">
      <c r="A47" s="5">
        <v>2.2642776000000002</v>
      </c>
      <c r="B47" s="5">
        <v>0.70067835000000001</v>
      </c>
      <c r="C47">
        <f t="shared" si="0"/>
        <v>1.5865302927099603</v>
      </c>
      <c r="D47">
        <v>1.6199999999999999E-2</v>
      </c>
      <c r="E47">
        <v>3.81E-3</v>
      </c>
      <c r="F47">
        <f t="shared" si="1"/>
        <v>452.85552000000007</v>
      </c>
      <c r="G47">
        <f t="shared" si="2"/>
        <v>-0.70067835000000001</v>
      </c>
      <c r="H47">
        <f t="shared" si="3"/>
        <v>-317.30605854199206</v>
      </c>
      <c r="I47">
        <v>1</v>
      </c>
      <c r="J47">
        <f t="shared" si="4"/>
        <v>-0.79218214476875948</v>
      </c>
      <c r="K47">
        <f t="shared" si="5"/>
        <v>-0.52104680177521745</v>
      </c>
      <c r="L47">
        <v>1</v>
      </c>
      <c r="M47">
        <f t="shared" si="6"/>
        <v>0.49229212990900706</v>
      </c>
      <c r="N47">
        <f t="shared" si="7"/>
        <v>3.6681297120000005E-2</v>
      </c>
      <c r="O47">
        <f t="shared" si="8"/>
        <v>8.6268976560000005E-3</v>
      </c>
      <c r="P47">
        <f t="shared" si="9"/>
        <v>-1.6553522909789613E-2</v>
      </c>
      <c r="V47">
        <v>-1.7000000000000199</v>
      </c>
      <c r="W47">
        <f t="shared" si="12"/>
        <v>-0.44907999999999909</v>
      </c>
    </row>
    <row r="48" spans="1:23" x14ac:dyDescent="0.3">
      <c r="A48" s="5">
        <v>2.3157051000000002</v>
      </c>
      <c r="B48" s="5">
        <v>0.69783348000000001</v>
      </c>
      <c r="C48">
        <f t="shared" si="0"/>
        <v>1.6159765485867481</v>
      </c>
      <c r="D48">
        <v>1.6199999999999999E-2</v>
      </c>
      <c r="E48">
        <v>3.81E-3</v>
      </c>
      <c r="F48">
        <f t="shared" si="1"/>
        <v>463.14102000000003</v>
      </c>
      <c r="G48">
        <f t="shared" si="2"/>
        <v>-0.69783348000000001</v>
      </c>
      <c r="H48">
        <f t="shared" si="3"/>
        <v>-323.19530971734963</v>
      </c>
      <c r="I48">
        <v>1</v>
      </c>
      <c r="J48">
        <f t="shared" si="4"/>
        <v>-0.7697236924369264</v>
      </c>
      <c r="K48">
        <f t="shared" si="5"/>
        <v>-0.52389167177521745</v>
      </c>
      <c r="L48">
        <v>1</v>
      </c>
      <c r="M48">
        <f t="shared" si="6"/>
        <v>0.49336115224000232</v>
      </c>
      <c r="N48">
        <f t="shared" si="7"/>
        <v>3.7514422620000001E-2</v>
      </c>
      <c r="O48">
        <f t="shared" si="8"/>
        <v>8.8228364310000001E-3</v>
      </c>
      <c r="P48">
        <f t="shared" si="9"/>
        <v>-1.5806739515784873E-2</v>
      </c>
      <c r="V48">
        <v>-1.6000000000000201</v>
      </c>
      <c r="W48">
        <f t="shared" si="12"/>
        <v>-0.45383999999999908</v>
      </c>
    </row>
    <row r="49" spans="1:23" x14ac:dyDescent="0.3">
      <c r="A49" s="5">
        <v>2.3666235000000002</v>
      </c>
      <c r="B49" s="5">
        <v>0.69500773999999998</v>
      </c>
      <c r="C49">
        <f t="shared" si="0"/>
        <v>1.6448216501658901</v>
      </c>
      <c r="D49">
        <v>1.6199999999999999E-2</v>
      </c>
      <c r="E49">
        <v>3.81E-3</v>
      </c>
      <c r="F49">
        <f t="shared" si="1"/>
        <v>473.32470000000006</v>
      </c>
      <c r="G49">
        <f t="shared" si="2"/>
        <v>-0.69500773999999998</v>
      </c>
      <c r="H49">
        <f t="shared" si="3"/>
        <v>-328.96433003317804</v>
      </c>
      <c r="I49">
        <v>1</v>
      </c>
      <c r="J49">
        <f t="shared" si="4"/>
        <v>-0.7479736566579005</v>
      </c>
      <c r="K49">
        <f t="shared" si="5"/>
        <v>-0.52671741177521747</v>
      </c>
      <c r="L49">
        <v>1</v>
      </c>
      <c r="M49">
        <f t="shared" si="6"/>
        <v>0.49439645394308396</v>
      </c>
      <c r="N49">
        <f t="shared" si="7"/>
        <v>3.8339300700000002E-2</v>
      </c>
      <c r="O49">
        <f t="shared" si="8"/>
        <v>9.0168355350000017E-3</v>
      </c>
      <c r="P49">
        <f t="shared" si="9"/>
        <v>-1.5035178402866492E-2</v>
      </c>
      <c r="V49">
        <v>-1.50000000000002</v>
      </c>
      <c r="W49">
        <f t="shared" si="12"/>
        <v>-0.45859999999999906</v>
      </c>
    </row>
    <row r="50" spans="1:23" x14ac:dyDescent="0.3">
      <c r="A50" s="5">
        <v>2.4170327</v>
      </c>
      <c r="B50" s="5">
        <v>0.69262117000000001</v>
      </c>
      <c r="C50">
        <f t="shared" si="0"/>
        <v>1.6740880166022591</v>
      </c>
      <c r="D50">
        <v>1.6199999999999999E-2</v>
      </c>
      <c r="E50">
        <v>3.81E-3</v>
      </c>
      <c r="F50">
        <f t="shared" si="1"/>
        <v>483.40654000000001</v>
      </c>
      <c r="G50">
        <f t="shared" si="2"/>
        <v>-0.69262117000000001</v>
      </c>
      <c r="H50">
        <f t="shared" si="3"/>
        <v>-334.81760332045184</v>
      </c>
      <c r="I50">
        <v>1</v>
      </c>
      <c r="J50">
        <f t="shared" si="4"/>
        <v>-0.72689728163588219</v>
      </c>
      <c r="K50">
        <f t="shared" si="5"/>
        <v>-0.52910398177521745</v>
      </c>
      <c r="L50">
        <v>1</v>
      </c>
      <c r="M50">
        <f t="shared" si="6"/>
        <v>0.49539968939413204</v>
      </c>
      <c r="N50">
        <f t="shared" si="7"/>
        <v>3.9155929739999998E-2</v>
      </c>
      <c r="O50">
        <f t="shared" si="8"/>
        <v>9.2088945869999994E-3</v>
      </c>
      <c r="P50">
        <f t="shared" si="9"/>
        <v>-1.4660531945914587E-2</v>
      </c>
      <c r="V50">
        <v>-1.4000000000000199</v>
      </c>
      <c r="W50">
        <f t="shared" si="12"/>
        <v>-0.46335999999999911</v>
      </c>
    </row>
    <row r="51" spans="1:23" x14ac:dyDescent="0.3">
      <c r="A51" s="5">
        <v>2.4684602</v>
      </c>
      <c r="B51" s="5">
        <v>0.69038730999999998</v>
      </c>
      <c r="C51">
        <f t="shared" si="0"/>
        <v>1.7041935973200619</v>
      </c>
      <c r="D51">
        <v>1.6199999999999999E-2</v>
      </c>
      <c r="E51">
        <v>3.81E-3</v>
      </c>
      <c r="F51">
        <f t="shared" si="1"/>
        <v>493.69204000000002</v>
      </c>
      <c r="G51">
        <f t="shared" si="2"/>
        <v>-0.69038730999999998</v>
      </c>
      <c r="H51">
        <f t="shared" si="3"/>
        <v>-340.8387194640124</v>
      </c>
      <c r="I51">
        <v>1</v>
      </c>
      <c r="J51">
        <f t="shared" si="4"/>
        <v>-0.7058433569990108</v>
      </c>
      <c r="K51">
        <f t="shared" si="5"/>
        <v>-0.53133784177521748</v>
      </c>
      <c r="L51">
        <v>1</v>
      </c>
      <c r="M51">
        <f t="shared" si="6"/>
        <v>0.49640185620684713</v>
      </c>
      <c r="N51">
        <f t="shared" si="7"/>
        <v>3.9989055239999995E-2</v>
      </c>
      <c r="O51">
        <f t="shared" si="8"/>
        <v>9.4048333620000008E-3</v>
      </c>
      <c r="P51">
        <f t="shared" si="9"/>
        <v>-1.4457903033629642E-2</v>
      </c>
      <c r="V51">
        <v>-1.30000000000002</v>
      </c>
      <c r="W51">
        <f t="shared" si="12"/>
        <v>-0.46811999999999909</v>
      </c>
    </row>
    <row r="52" spans="1:23" x14ac:dyDescent="0.3">
      <c r="A52" s="5">
        <v>2.5203967</v>
      </c>
      <c r="B52" s="5">
        <v>0.68767606999999997</v>
      </c>
      <c r="C52">
        <f t="shared" si="0"/>
        <v>1.733216497496969</v>
      </c>
      <c r="D52">
        <v>1.6199999999999999E-2</v>
      </c>
      <c r="E52">
        <v>3.81E-3</v>
      </c>
      <c r="F52">
        <f t="shared" si="1"/>
        <v>504.07934</v>
      </c>
      <c r="G52">
        <f t="shared" si="2"/>
        <v>-0.68767606999999997</v>
      </c>
      <c r="H52">
        <f t="shared" si="3"/>
        <v>-346.64329949939383</v>
      </c>
      <c r="I52">
        <v>1</v>
      </c>
      <c r="J52">
        <f t="shared" si="4"/>
        <v>-0.68502160266517576</v>
      </c>
      <c r="K52">
        <f t="shared" si="5"/>
        <v>-0.53404908177521748</v>
      </c>
      <c r="L52">
        <v>1</v>
      </c>
      <c r="M52">
        <f t="shared" si="6"/>
        <v>0.49739297171313768</v>
      </c>
      <c r="N52">
        <f t="shared" si="7"/>
        <v>4.0830426539999999E-2</v>
      </c>
      <c r="O52">
        <f t="shared" si="8"/>
        <v>9.6027114269999995E-3</v>
      </c>
      <c r="P52">
        <f t="shared" si="9"/>
        <v>-1.3777027904920193E-2</v>
      </c>
      <c r="V52">
        <v>-1.2000000000000199</v>
      </c>
      <c r="W52">
        <f t="shared" si="12"/>
        <v>-0.47287999999999908</v>
      </c>
    </row>
    <row r="53" spans="1:23" x14ac:dyDescent="0.3">
      <c r="A53" s="5">
        <v>2.5728428000000001</v>
      </c>
      <c r="B53" s="5">
        <v>0.68530857999999995</v>
      </c>
      <c r="C53">
        <f t="shared" si="0"/>
        <v>1.763191245831224</v>
      </c>
      <c r="D53">
        <v>1.6199999999999999E-2</v>
      </c>
      <c r="E53">
        <v>3.81E-3</v>
      </c>
      <c r="F53">
        <f t="shared" si="1"/>
        <v>514.56856000000005</v>
      </c>
      <c r="G53">
        <f t="shared" si="2"/>
        <v>-0.68530857999999995</v>
      </c>
      <c r="H53">
        <f t="shared" si="3"/>
        <v>-352.6382491662448</v>
      </c>
      <c r="I53">
        <v>1</v>
      </c>
      <c r="J53">
        <f t="shared" si="4"/>
        <v>-0.66442647699782031</v>
      </c>
      <c r="K53">
        <f t="shared" si="5"/>
        <v>-0.53641657177521751</v>
      </c>
      <c r="L53">
        <v>1</v>
      </c>
      <c r="M53">
        <f t="shared" si="6"/>
        <v>0.49837329969490379</v>
      </c>
      <c r="N53">
        <f t="shared" si="7"/>
        <v>4.1680053359999997E-2</v>
      </c>
      <c r="O53">
        <f t="shared" si="8"/>
        <v>9.8025310680000012E-3</v>
      </c>
      <c r="P53">
        <f t="shared" si="9"/>
        <v>-1.3439312347686281E-2</v>
      </c>
      <c r="V53">
        <v>-1.1000000000000201</v>
      </c>
      <c r="W53">
        <f t="shared" si="12"/>
        <v>-0.47763999999999907</v>
      </c>
    </row>
    <row r="54" spans="1:23" x14ac:dyDescent="0.3">
      <c r="A54" s="5">
        <v>2.6247795000000003</v>
      </c>
      <c r="B54" s="5">
        <v>0.68297929000000002</v>
      </c>
      <c r="C54">
        <f t="shared" si="0"/>
        <v>1.7926700393165553</v>
      </c>
      <c r="D54">
        <v>1.6199999999999999E-2</v>
      </c>
      <c r="E54">
        <v>3.81E-3</v>
      </c>
      <c r="F54">
        <f t="shared" si="1"/>
        <v>524.95590000000004</v>
      </c>
      <c r="G54">
        <f t="shared" si="2"/>
        <v>-0.68297929000000002</v>
      </c>
      <c r="H54">
        <f t="shared" si="3"/>
        <v>-358.53400786331105</v>
      </c>
      <c r="I54">
        <v>1</v>
      </c>
      <c r="J54">
        <f t="shared" si="4"/>
        <v>-0.64444101991871083</v>
      </c>
      <c r="K54">
        <f t="shared" si="5"/>
        <v>-0.53874586177521744</v>
      </c>
      <c r="L54">
        <v>1</v>
      </c>
      <c r="M54">
        <f t="shared" si="6"/>
        <v>0.49932460745186941</v>
      </c>
      <c r="N54">
        <f t="shared" si="7"/>
        <v>4.2521427899999999E-2</v>
      </c>
      <c r="O54">
        <f t="shared" si="8"/>
        <v>1.0000409895000001E-2</v>
      </c>
      <c r="P54">
        <f t="shared" si="9"/>
        <v>-1.3100583471651968E-2</v>
      </c>
      <c r="V54">
        <v>-1.00000000000002</v>
      </c>
      <c r="W54">
        <f t="shared" si="12"/>
        <v>-0.48239999999999905</v>
      </c>
    </row>
    <row r="55" spans="1:23" x14ac:dyDescent="0.3">
      <c r="A55" s="5">
        <v>2.6772252999999999</v>
      </c>
      <c r="B55" s="5">
        <v>0.68045902000000003</v>
      </c>
      <c r="C55">
        <f t="shared" si="0"/>
        <v>1.8217421039572059</v>
      </c>
      <c r="D55">
        <v>1.6199999999999999E-2</v>
      </c>
      <c r="E55">
        <v>3.81E-3</v>
      </c>
      <c r="F55">
        <f t="shared" si="1"/>
        <v>535.44506000000001</v>
      </c>
      <c r="G55">
        <f t="shared" si="2"/>
        <v>-0.68045902000000003</v>
      </c>
      <c r="H55">
        <f t="shared" si="3"/>
        <v>-364.34842079144119</v>
      </c>
      <c r="I55">
        <v>1</v>
      </c>
      <c r="J55">
        <f t="shared" si="4"/>
        <v>-0.62465699006258157</v>
      </c>
      <c r="K55">
        <f t="shared" si="5"/>
        <v>-0.54126613177521743</v>
      </c>
      <c r="L55">
        <v>1</v>
      </c>
      <c r="M55">
        <f t="shared" si="6"/>
        <v>0.50026632727302112</v>
      </c>
      <c r="N55">
        <f t="shared" si="7"/>
        <v>4.3371049859999997E-2</v>
      </c>
      <c r="O55">
        <f t="shared" si="8"/>
        <v>1.0200228392999999E-2</v>
      </c>
      <c r="P55">
        <f t="shared" si="9"/>
        <v>-1.2571473750803683E-2</v>
      </c>
      <c r="V55">
        <v>-0.90000000000002001</v>
      </c>
      <c r="W55">
        <f t="shared" si="12"/>
        <v>-0.48715999999999909</v>
      </c>
    </row>
    <row r="56" spans="1:23" x14ac:dyDescent="0.3">
      <c r="A56" s="5">
        <v>2.7286527999999999</v>
      </c>
      <c r="B56" s="5">
        <v>0.67778598999999995</v>
      </c>
      <c r="C56">
        <f t="shared" si="0"/>
        <v>1.8494426394142718</v>
      </c>
      <c r="D56">
        <v>1.6199999999999999E-2</v>
      </c>
      <c r="E56">
        <v>3.81E-3</v>
      </c>
      <c r="F56">
        <f t="shared" si="1"/>
        <v>545.73055999999997</v>
      </c>
      <c r="G56">
        <f t="shared" si="2"/>
        <v>-0.67778598999999995</v>
      </c>
      <c r="H56">
        <f t="shared" si="3"/>
        <v>-369.88852788285436</v>
      </c>
      <c r="I56">
        <v>1</v>
      </c>
      <c r="J56">
        <f t="shared" si="4"/>
        <v>-0.60562990489196744</v>
      </c>
      <c r="K56">
        <f t="shared" si="5"/>
        <v>-0.54393916177521751</v>
      </c>
      <c r="L56">
        <v>1</v>
      </c>
      <c r="M56">
        <f t="shared" si="6"/>
        <v>0.50117201652714238</v>
      </c>
      <c r="N56">
        <f t="shared" si="7"/>
        <v>4.4204175359999993E-2</v>
      </c>
      <c r="O56">
        <f t="shared" si="8"/>
        <v>1.0396167167999999E-2</v>
      </c>
      <c r="P56">
        <f t="shared" si="9"/>
        <v>-1.183319727992487E-2</v>
      </c>
      <c r="V56">
        <v>-0.80000000000002003</v>
      </c>
      <c r="W56">
        <f t="shared" si="12"/>
        <v>-0.49191999999999908</v>
      </c>
    </row>
    <row r="57" spans="1:23" x14ac:dyDescent="0.3">
      <c r="A57" s="5">
        <v>2.7805896000000003</v>
      </c>
      <c r="B57" s="5">
        <v>0.67557120000000004</v>
      </c>
      <c r="C57">
        <f t="shared" si="0"/>
        <v>1.8784862527795203</v>
      </c>
      <c r="D57">
        <v>1.6199999999999999E-2</v>
      </c>
      <c r="E57">
        <v>3.81E-3</v>
      </c>
      <c r="F57">
        <f t="shared" si="1"/>
        <v>556.11792000000003</v>
      </c>
      <c r="G57">
        <f t="shared" si="2"/>
        <v>-0.67557120000000004</v>
      </c>
      <c r="H57">
        <f t="shared" si="3"/>
        <v>-375.69725055590408</v>
      </c>
      <c r="I57">
        <v>1</v>
      </c>
      <c r="J57">
        <f t="shared" si="4"/>
        <v>-0.58677492088774585</v>
      </c>
      <c r="K57">
        <f t="shared" si="5"/>
        <v>-0.54615395177521742</v>
      </c>
      <c r="L57">
        <v>1</v>
      </c>
      <c r="M57">
        <f t="shared" si="6"/>
        <v>0.50206951376574327</v>
      </c>
      <c r="N57">
        <f t="shared" si="7"/>
        <v>4.5045551520000005E-2</v>
      </c>
      <c r="O57">
        <f t="shared" si="8"/>
        <v>1.0594046376000001E-2</v>
      </c>
      <c r="P57">
        <f t="shared" si="9"/>
        <v>-1.1555159886525859E-2</v>
      </c>
      <c r="V57">
        <v>-0.70000000000002005</v>
      </c>
      <c r="W57">
        <f t="shared" si="12"/>
        <v>-0.49667999999999907</v>
      </c>
    </row>
    <row r="58" spans="1:23" x14ac:dyDescent="0.3">
      <c r="A58" s="5">
        <v>2.8335444000000001</v>
      </c>
      <c r="B58" s="5">
        <v>0.67303186999999998</v>
      </c>
      <c r="C58">
        <f t="shared" si="0"/>
        <v>1.9070656862600279</v>
      </c>
      <c r="D58">
        <v>1.6199999999999999E-2</v>
      </c>
      <c r="E58">
        <v>3.81E-3</v>
      </c>
      <c r="F58">
        <f t="shared" si="1"/>
        <v>566.70888000000002</v>
      </c>
      <c r="G58">
        <f t="shared" si="2"/>
        <v>-0.67303186999999998</v>
      </c>
      <c r="H58">
        <f t="shared" si="3"/>
        <v>-381.41313725200558</v>
      </c>
      <c r="I58">
        <v>1</v>
      </c>
      <c r="J58">
        <f t="shared" si="4"/>
        <v>-0.56790954626284129</v>
      </c>
      <c r="K58">
        <f t="shared" si="5"/>
        <v>-0.54869328177521748</v>
      </c>
      <c r="L58">
        <v>1</v>
      </c>
      <c r="M58">
        <f t="shared" si="6"/>
        <v>0.50296750559788883</v>
      </c>
      <c r="N58">
        <f t="shared" si="7"/>
        <v>4.5903419279999996E-2</v>
      </c>
      <c r="O58">
        <f t="shared" si="8"/>
        <v>1.0795804164E-2</v>
      </c>
      <c r="P58">
        <f t="shared" si="9"/>
        <v>-1.0973447266671349E-2</v>
      </c>
      <c r="V58">
        <v>-0.60000000000001996</v>
      </c>
      <c r="W58">
        <f t="shared" si="12"/>
        <v>-0.50143999999999911</v>
      </c>
    </row>
    <row r="59" spans="1:23" x14ac:dyDescent="0.3">
      <c r="A59" s="5">
        <v>2.8870084999999999</v>
      </c>
      <c r="B59" s="5">
        <v>0.67054981000000002</v>
      </c>
      <c r="C59">
        <f t="shared" si="0"/>
        <v>1.935883001143385</v>
      </c>
      <c r="D59">
        <v>1.6199999999999999E-2</v>
      </c>
      <c r="E59">
        <v>3.81E-3</v>
      </c>
      <c r="F59">
        <f t="shared" si="1"/>
        <v>577.40170000000001</v>
      </c>
      <c r="G59">
        <f t="shared" si="2"/>
        <v>-0.67054981000000002</v>
      </c>
      <c r="H59">
        <f t="shared" si="3"/>
        <v>-387.17660022867699</v>
      </c>
      <c r="I59">
        <v>1</v>
      </c>
      <c r="J59">
        <f t="shared" si="4"/>
        <v>-0.54921706752486898</v>
      </c>
      <c r="K59">
        <f t="shared" si="5"/>
        <v>-0.55117534177521743</v>
      </c>
      <c r="L59">
        <v>1</v>
      </c>
      <c r="M59">
        <f t="shared" si="6"/>
        <v>0.50385726758581628</v>
      </c>
      <c r="N59">
        <f t="shared" si="7"/>
        <v>4.6769537699999995E-2</v>
      </c>
      <c r="O59">
        <f t="shared" si="8"/>
        <v>1.0999502385E-2</v>
      </c>
      <c r="P59">
        <f t="shared" si="9"/>
        <v>-1.0450965895598846E-2</v>
      </c>
      <c r="V59">
        <v>-0.50000000000001998</v>
      </c>
      <c r="W59">
        <f t="shared" si="12"/>
        <v>-0.5061999999999991</v>
      </c>
    </row>
    <row r="60" spans="1:23" x14ac:dyDescent="0.3">
      <c r="A60" s="5">
        <v>2.9384363000000002</v>
      </c>
      <c r="B60" s="5">
        <v>0.66795318999999997</v>
      </c>
      <c r="C60">
        <f t="shared" si="0"/>
        <v>1.9627379001967971</v>
      </c>
      <c r="D60">
        <v>1.6199999999999999E-2</v>
      </c>
      <c r="E60">
        <v>3.81E-3</v>
      </c>
      <c r="F60">
        <f t="shared" si="1"/>
        <v>587.68726000000004</v>
      </c>
      <c r="G60">
        <f t="shared" si="2"/>
        <v>-0.66795318999999997</v>
      </c>
      <c r="H60">
        <f t="shared" si="3"/>
        <v>-392.54758003935939</v>
      </c>
      <c r="I60">
        <v>1</v>
      </c>
      <c r="J60">
        <f t="shared" si="4"/>
        <v>-0.53156034332522883</v>
      </c>
      <c r="K60">
        <f t="shared" si="5"/>
        <v>-0.55377196177521748</v>
      </c>
      <c r="L60">
        <v>1</v>
      </c>
      <c r="M60">
        <f t="shared" si="6"/>
        <v>0.50469772765771914</v>
      </c>
      <c r="N60">
        <f t="shared" si="7"/>
        <v>4.7602668059999999E-2</v>
      </c>
      <c r="O60">
        <f t="shared" si="8"/>
        <v>1.1195442303000002E-2</v>
      </c>
      <c r="P60">
        <f t="shared" si="9"/>
        <v>-9.7238762455016618E-3</v>
      </c>
      <c r="V60">
        <v>-0.40000000000002001</v>
      </c>
      <c r="W60">
        <f t="shared" si="12"/>
        <v>-0.51095999999999908</v>
      </c>
    </row>
    <row r="61" spans="1:23" x14ac:dyDescent="0.3">
      <c r="A61" s="5">
        <v>2.9908823</v>
      </c>
      <c r="B61" s="5">
        <v>0.66570019999999996</v>
      </c>
      <c r="C61">
        <f t="shared" si="0"/>
        <v>1.9910309452864599</v>
      </c>
      <c r="D61">
        <v>1.6199999999999999E-2</v>
      </c>
      <c r="E61">
        <v>3.81E-3</v>
      </c>
      <c r="F61">
        <f t="shared" si="1"/>
        <v>598.17646000000002</v>
      </c>
      <c r="G61">
        <f t="shared" si="2"/>
        <v>-0.66570019999999996</v>
      </c>
      <c r="H61">
        <f t="shared" si="3"/>
        <v>-398.20618905729197</v>
      </c>
      <c r="I61">
        <v>1</v>
      </c>
      <c r="J61">
        <f t="shared" si="4"/>
        <v>-0.51386948494807139</v>
      </c>
      <c r="K61">
        <f t="shared" si="5"/>
        <v>-0.55602495177521749</v>
      </c>
      <c r="L61">
        <v>1</v>
      </c>
      <c r="M61">
        <f t="shared" si="6"/>
        <v>0.50553981251647184</v>
      </c>
      <c r="N61">
        <f t="shared" si="7"/>
        <v>4.8452293259999994E-2</v>
      </c>
      <c r="O61">
        <f t="shared" si="8"/>
        <v>1.1395261562999999E-2</v>
      </c>
      <c r="P61">
        <f t="shared" si="9"/>
        <v>-9.3624155642543453E-3</v>
      </c>
      <c r="V61">
        <v>-0.30000000000001997</v>
      </c>
      <c r="W61">
        <f t="shared" si="12"/>
        <v>-0.51571999999999907</v>
      </c>
    </row>
    <row r="62" spans="1:23" x14ac:dyDescent="0.3">
      <c r="A62" s="5">
        <v>3.0453646999999999</v>
      </c>
      <c r="B62" s="5">
        <v>0.66323721000000002</v>
      </c>
      <c r="C62">
        <f t="shared" si="0"/>
        <v>2.019799187060487</v>
      </c>
      <c r="D62">
        <v>1.6199999999999999E-2</v>
      </c>
      <c r="E62">
        <v>3.81E-3</v>
      </c>
      <c r="F62">
        <f t="shared" si="1"/>
        <v>609.07294000000002</v>
      </c>
      <c r="G62">
        <f t="shared" si="2"/>
        <v>-0.66323721000000002</v>
      </c>
      <c r="H62">
        <f t="shared" si="3"/>
        <v>-403.95983741209739</v>
      </c>
      <c r="I62">
        <v>1</v>
      </c>
      <c r="J62">
        <f t="shared" si="4"/>
        <v>-0.49581724832916507</v>
      </c>
      <c r="K62">
        <f t="shared" si="5"/>
        <v>-0.55848794177521743</v>
      </c>
      <c r="L62">
        <v>1</v>
      </c>
      <c r="M62">
        <f t="shared" si="6"/>
        <v>0.50639909897953173</v>
      </c>
      <c r="N62">
        <f t="shared" si="7"/>
        <v>4.9334908139999994E-2</v>
      </c>
      <c r="O62">
        <f t="shared" si="8"/>
        <v>1.1602839506999999E-2</v>
      </c>
      <c r="P62">
        <f t="shared" si="9"/>
        <v>-8.8489048513142859E-3</v>
      </c>
      <c r="V62">
        <v>-0.20000000000002</v>
      </c>
      <c r="W62">
        <f t="shared" si="12"/>
        <v>-0.52047999999999905</v>
      </c>
    </row>
    <row r="63" spans="1:23" x14ac:dyDescent="0.3">
      <c r="A63" s="5">
        <v>3.0967921999999999</v>
      </c>
      <c r="B63" s="5">
        <v>0.66098427999999998</v>
      </c>
      <c r="C63">
        <f t="shared" si="0"/>
        <v>2.0469309626266159</v>
      </c>
      <c r="D63">
        <v>1.6199999999999999E-2</v>
      </c>
      <c r="E63">
        <v>3.81E-3</v>
      </c>
      <c r="F63">
        <f t="shared" si="1"/>
        <v>619.35843999999997</v>
      </c>
      <c r="G63">
        <f t="shared" si="2"/>
        <v>-0.66098427999999998</v>
      </c>
      <c r="H63">
        <f t="shared" si="3"/>
        <v>-409.38619252532317</v>
      </c>
      <c r="I63">
        <v>1</v>
      </c>
      <c r="J63">
        <f t="shared" si="4"/>
        <v>-0.47907111088498172</v>
      </c>
      <c r="K63">
        <f t="shared" si="5"/>
        <v>-0.56074087177521748</v>
      </c>
      <c r="L63">
        <v>1</v>
      </c>
      <c r="M63">
        <f t="shared" si="6"/>
        <v>0.50719621512187485</v>
      </c>
      <c r="N63">
        <f t="shared" si="7"/>
        <v>5.0168033639999998E-2</v>
      </c>
      <c r="O63">
        <f t="shared" si="8"/>
        <v>1.1798778281999999E-2</v>
      </c>
      <c r="P63">
        <f t="shared" si="9"/>
        <v>-8.4221552686573713E-3</v>
      </c>
      <c r="V63">
        <v>-0.10000000000002</v>
      </c>
      <c r="W63">
        <f t="shared" si="12"/>
        <v>-0.52523999999999904</v>
      </c>
    </row>
    <row r="64" spans="1:23" x14ac:dyDescent="0.3">
      <c r="A64" s="5">
        <v>3.1487290000000003</v>
      </c>
      <c r="B64" s="5">
        <v>0.65821582000000001</v>
      </c>
      <c r="C64">
        <f t="shared" si="0"/>
        <v>2.0725432406927804</v>
      </c>
      <c r="D64">
        <v>1.6199999999999999E-2</v>
      </c>
      <c r="E64">
        <v>3.81E-3</v>
      </c>
      <c r="F64">
        <f t="shared" si="1"/>
        <v>629.74580000000003</v>
      </c>
      <c r="G64">
        <f t="shared" si="2"/>
        <v>-0.65821582000000001</v>
      </c>
      <c r="H64">
        <f t="shared" si="3"/>
        <v>-414.50864813855605</v>
      </c>
      <c r="I64">
        <v>1</v>
      </c>
      <c r="J64">
        <f t="shared" si="4"/>
        <v>-0.46243903308487694</v>
      </c>
      <c r="K64">
        <f t="shared" si="5"/>
        <v>-0.56350933177521745</v>
      </c>
      <c r="L64">
        <v>1</v>
      </c>
      <c r="M64">
        <f t="shared" si="6"/>
        <v>0.50798790202515987</v>
      </c>
      <c r="N64">
        <f t="shared" si="7"/>
        <v>5.1009409800000002E-2</v>
      </c>
      <c r="O64">
        <f t="shared" si="8"/>
        <v>1.1996657490000001E-2</v>
      </c>
      <c r="P64">
        <f t="shared" si="9"/>
        <v>-7.4846375399424212E-3</v>
      </c>
      <c r="V64">
        <v>-2.0428103653102899E-14</v>
      </c>
      <c r="W64">
        <f t="shared" si="12"/>
        <v>-0.52999999999999903</v>
      </c>
    </row>
    <row r="65" spans="1:23" x14ac:dyDescent="0.3">
      <c r="A65" s="5">
        <v>3.204739</v>
      </c>
      <c r="B65" s="5">
        <v>0.65586739999999999</v>
      </c>
      <c r="C65">
        <f t="shared" si="0"/>
        <v>2.1018838356086</v>
      </c>
      <c r="D65">
        <v>1.6199999999999999E-2</v>
      </c>
      <c r="E65">
        <v>3.81E-3</v>
      </c>
      <c r="F65">
        <f t="shared" si="1"/>
        <v>640.94780000000003</v>
      </c>
      <c r="G65">
        <f t="shared" si="2"/>
        <v>-0.65586739999999999</v>
      </c>
      <c r="H65">
        <f t="shared" si="3"/>
        <v>-420.37676712172004</v>
      </c>
      <c r="I65">
        <v>1</v>
      </c>
      <c r="J65">
        <f t="shared" si="4"/>
        <v>-0.44480726063490783</v>
      </c>
      <c r="K65">
        <f t="shared" si="5"/>
        <v>-0.56585775177521747</v>
      </c>
      <c r="L65">
        <v>1</v>
      </c>
      <c r="M65">
        <f t="shared" si="6"/>
        <v>0.50882717439377845</v>
      </c>
      <c r="N65">
        <f t="shared" si="7"/>
        <v>5.1916771799999997E-2</v>
      </c>
      <c r="O65">
        <f t="shared" si="8"/>
        <v>1.2210055589999999E-2</v>
      </c>
      <c r="P65">
        <f t="shared" si="9"/>
        <v>-7.0962500085609784E-3</v>
      </c>
      <c r="V65">
        <v>9.9999999999980105E-2</v>
      </c>
      <c r="W65">
        <f t="shared" si="12"/>
        <v>-0.53475999999999912</v>
      </c>
    </row>
    <row r="66" spans="1:23" x14ac:dyDescent="0.3">
      <c r="A66" s="5">
        <v>3.2561665</v>
      </c>
      <c r="B66" s="5">
        <v>0.65357624999999997</v>
      </c>
      <c r="C66">
        <f t="shared" si="0"/>
        <v>2.128153090445625</v>
      </c>
      <c r="D66">
        <v>1.6199999999999999E-2</v>
      </c>
      <c r="E66">
        <v>3.81E-3</v>
      </c>
      <c r="F66">
        <f t="shared" si="1"/>
        <v>651.23329999999999</v>
      </c>
      <c r="G66">
        <f t="shared" si="2"/>
        <v>-0.65357624999999997</v>
      </c>
      <c r="H66">
        <f t="shared" si="3"/>
        <v>-425.63061808912499</v>
      </c>
      <c r="I66">
        <v>1</v>
      </c>
      <c r="J66">
        <f t="shared" si="4"/>
        <v>-0.42888732923758938</v>
      </c>
      <c r="K66">
        <f t="shared" si="5"/>
        <v>-0.56814890177521749</v>
      </c>
      <c r="L66">
        <v>1</v>
      </c>
      <c r="M66">
        <f t="shared" si="6"/>
        <v>0.50958496312829082</v>
      </c>
      <c r="N66">
        <f t="shared" si="7"/>
        <v>5.2749897299999994E-2</v>
      </c>
      <c r="O66">
        <f t="shared" si="8"/>
        <v>1.2405994365000001E-2</v>
      </c>
      <c r="P66">
        <f t="shared" si="9"/>
        <v>-6.5919530180733339E-3</v>
      </c>
      <c r="V66">
        <v>0.19999999999998</v>
      </c>
      <c r="W66">
        <f t="shared" si="12"/>
        <v>-0.53951999999999911</v>
      </c>
    </row>
    <row r="67" spans="1:23" x14ac:dyDescent="0.3">
      <c r="A67" s="5">
        <v>3.3111581999999999</v>
      </c>
      <c r="B67" s="5">
        <v>0.65090322</v>
      </c>
      <c r="C67">
        <f t="shared" si="0"/>
        <v>2.1552435343094039</v>
      </c>
      <c r="D67">
        <v>1.6199999999999999E-2</v>
      </c>
      <c r="E67">
        <v>3.81E-3</v>
      </c>
      <c r="F67">
        <f t="shared" si="1"/>
        <v>662.23163999999997</v>
      </c>
      <c r="G67">
        <f t="shared" si="2"/>
        <v>-0.65090322</v>
      </c>
      <c r="H67">
        <f t="shared" si="3"/>
        <v>-431.04870686188076</v>
      </c>
      <c r="I67">
        <v>1</v>
      </c>
      <c r="J67">
        <f t="shared" si="4"/>
        <v>-0.41213987488357512</v>
      </c>
      <c r="K67">
        <f t="shared" si="5"/>
        <v>-0.57082193177521745</v>
      </c>
      <c r="L67">
        <v>1</v>
      </c>
      <c r="M67">
        <f t="shared" si="6"/>
        <v>0.51038214195554188</v>
      </c>
      <c r="N67">
        <f t="shared" si="7"/>
        <v>5.3640762839999995E-2</v>
      </c>
      <c r="O67">
        <f t="shared" si="8"/>
        <v>1.2615512742E-2</v>
      </c>
      <c r="P67">
        <f t="shared" si="9"/>
        <v>-5.8164857623244238E-3</v>
      </c>
      <c r="V67">
        <v>0.29999999999998</v>
      </c>
      <c r="W67">
        <f t="shared" si="12"/>
        <v>-0.5442799999999991</v>
      </c>
    </row>
    <row r="68" spans="1:23" x14ac:dyDescent="0.3">
      <c r="A68" s="5">
        <v>3.3620764000000003</v>
      </c>
      <c r="B68" s="5">
        <v>0.64861208000000004</v>
      </c>
      <c r="C68">
        <f t="shared" ref="C68:C131" si="13">A68*B68</f>
        <v>2.1806833669229122</v>
      </c>
      <c r="D68">
        <v>1.6199999999999999E-2</v>
      </c>
      <c r="E68">
        <v>3.81E-3</v>
      </c>
      <c r="F68">
        <f t="shared" ref="F68:F131" si="14">A68*200</f>
        <v>672.41528000000005</v>
      </c>
      <c r="G68">
        <f t="shared" ref="G68:G131" si="15">-B68</f>
        <v>-0.64861208000000004</v>
      </c>
      <c r="H68">
        <f t="shared" ref="H68:H131" si="16">-C68*200</f>
        <v>-436.13667338458242</v>
      </c>
      <c r="I68">
        <v>1</v>
      </c>
      <c r="J68">
        <f t="shared" ref="J68:J131" si="17">LN(F68/1000)</f>
        <v>-0.39687915313716643</v>
      </c>
      <c r="K68">
        <f t="shared" ref="K68:K131" si="18">((-G68)-$N$2)</f>
        <v>-0.57311307177521742</v>
      </c>
      <c r="L68">
        <v>1</v>
      </c>
      <c r="M68">
        <f t="shared" ref="M68:M131" si="19">-1*($S$4+($S$5*J68))</f>
        <v>0.51110855231067087</v>
      </c>
      <c r="N68">
        <f t="shared" ref="N68:N131" si="20">D68*A68</f>
        <v>5.4465637680000005E-2</v>
      </c>
      <c r="O68">
        <f t="shared" ref="O68:O131" si="21">E68*A68</f>
        <v>1.2809511084000001E-2</v>
      </c>
      <c r="P68">
        <f t="shared" ref="P68:P131" si="22">-K68-M68-N68-O68</f>
        <v>-5.2706292994534575E-3</v>
      </c>
      <c r="V68">
        <v>0.39999999999997998</v>
      </c>
      <c r="W68">
        <f t="shared" ref="W68:W99" si="23">V68*$S$5+$S$4</f>
        <v>-0.54903999999999908</v>
      </c>
    </row>
    <row r="69" spans="1:23" x14ac:dyDescent="0.3">
      <c r="A69" s="5">
        <v>3.4140131999999999</v>
      </c>
      <c r="B69" s="5">
        <v>0.64628279</v>
      </c>
      <c r="C69">
        <f t="shared" si="13"/>
        <v>2.206417975992828</v>
      </c>
      <c r="D69">
        <v>1.6199999999999999E-2</v>
      </c>
      <c r="E69">
        <v>3.81E-3</v>
      </c>
      <c r="F69">
        <f t="shared" si="14"/>
        <v>682.80264</v>
      </c>
      <c r="G69">
        <f t="shared" si="15"/>
        <v>-0.64628279</v>
      </c>
      <c r="H69">
        <f t="shared" si="16"/>
        <v>-441.28359519856559</v>
      </c>
      <c r="I69">
        <v>1</v>
      </c>
      <c r="J69">
        <f t="shared" si="17"/>
        <v>-0.38154942163698868</v>
      </c>
      <c r="K69">
        <f t="shared" si="18"/>
        <v>-0.57544236177521746</v>
      </c>
      <c r="L69">
        <v>1</v>
      </c>
      <c r="M69">
        <f t="shared" si="19"/>
        <v>0.51183824753007934</v>
      </c>
      <c r="N69">
        <f t="shared" si="20"/>
        <v>5.5307013839999995E-2</v>
      </c>
      <c r="O69">
        <f t="shared" si="21"/>
        <v>1.3007390291999999E-2</v>
      </c>
      <c r="P69">
        <f t="shared" si="22"/>
        <v>-4.7102898868618733E-3</v>
      </c>
      <c r="V69">
        <v>0.49999999999998002</v>
      </c>
      <c r="W69">
        <f t="shared" si="23"/>
        <v>-0.55379999999999907</v>
      </c>
    </row>
    <row r="70" spans="1:23" x14ac:dyDescent="0.3">
      <c r="A70" s="5">
        <v>3.4649315999999999</v>
      </c>
      <c r="B70" s="5">
        <v>0.64412528000000002</v>
      </c>
      <c r="C70">
        <f t="shared" si="13"/>
        <v>2.2318500370308478</v>
      </c>
      <c r="D70">
        <v>1.6199999999999999E-2</v>
      </c>
      <c r="E70">
        <v>3.81E-3</v>
      </c>
      <c r="F70">
        <f t="shared" si="14"/>
        <v>692.98631999999998</v>
      </c>
      <c r="G70">
        <f t="shared" si="15"/>
        <v>-0.64412528000000002</v>
      </c>
      <c r="H70">
        <f t="shared" si="16"/>
        <v>-446.37000740616958</v>
      </c>
      <c r="I70">
        <v>1</v>
      </c>
      <c r="J70">
        <f t="shared" si="17"/>
        <v>-0.36674502024681566</v>
      </c>
      <c r="K70">
        <f t="shared" si="18"/>
        <v>-0.57759987177521743</v>
      </c>
      <c r="L70">
        <v>1</v>
      </c>
      <c r="M70">
        <f t="shared" si="19"/>
        <v>0.51254293703625164</v>
      </c>
      <c r="N70">
        <f t="shared" si="20"/>
        <v>5.6131891919999996E-2</v>
      </c>
      <c r="O70">
        <f t="shared" si="21"/>
        <v>1.3201389395999999E-2</v>
      </c>
      <c r="P70">
        <f t="shared" si="22"/>
        <v>-4.2763465770342072E-3</v>
      </c>
      <c r="V70">
        <v>0.59999999999997999</v>
      </c>
      <c r="W70">
        <f t="shared" si="23"/>
        <v>-0.55855999999999906</v>
      </c>
    </row>
    <row r="71" spans="1:23" x14ac:dyDescent="0.3">
      <c r="A71" s="5">
        <v>3.5194143000000002</v>
      </c>
      <c r="B71" s="5">
        <v>0.64170050999999995</v>
      </c>
      <c r="C71">
        <f t="shared" si="13"/>
        <v>2.2584099512112927</v>
      </c>
      <c r="D71">
        <v>1.6199999999999999E-2</v>
      </c>
      <c r="E71">
        <v>3.81E-3</v>
      </c>
      <c r="F71">
        <f t="shared" si="14"/>
        <v>703.88286000000005</v>
      </c>
      <c r="G71">
        <f t="shared" si="15"/>
        <v>-0.64170050999999995</v>
      </c>
      <c r="H71">
        <f t="shared" si="16"/>
        <v>-451.68199024225856</v>
      </c>
      <c r="I71">
        <v>1</v>
      </c>
      <c r="J71">
        <f t="shared" si="17"/>
        <v>-0.35114332871424137</v>
      </c>
      <c r="K71">
        <f t="shared" si="18"/>
        <v>-0.58002464177521751</v>
      </c>
      <c r="L71">
        <v>1</v>
      </c>
      <c r="M71">
        <f t="shared" si="19"/>
        <v>0.51328557755320214</v>
      </c>
      <c r="N71">
        <f t="shared" si="20"/>
        <v>5.7014511660000003E-2</v>
      </c>
      <c r="O71">
        <f t="shared" si="21"/>
        <v>1.3408968483000001E-2</v>
      </c>
      <c r="P71">
        <f t="shared" si="22"/>
        <v>-3.6844159209846392E-3</v>
      </c>
      <c r="V71">
        <v>0.69999999999997997</v>
      </c>
      <c r="W71">
        <f t="shared" si="23"/>
        <v>-0.56331999999999904</v>
      </c>
    </row>
    <row r="72" spans="1:23" x14ac:dyDescent="0.3">
      <c r="A72" s="5">
        <v>3.5703328000000001</v>
      </c>
      <c r="B72" s="5">
        <v>0.63912296000000002</v>
      </c>
      <c r="C72">
        <f t="shared" si="13"/>
        <v>2.281881667321088</v>
      </c>
      <c r="D72">
        <v>1.6199999999999999E-2</v>
      </c>
      <c r="E72">
        <v>3.81E-3</v>
      </c>
      <c r="F72">
        <f t="shared" si="14"/>
        <v>714.06655999999998</v>
      </c>
      <c r="G72">
        <f t="shared" si="15"/>
        <v>-0.63912296000000002</v>
      </c>
      <c r="H72">
        <f t="shared" si="16"/>
        <v>-456.37633346421762</v>
      </c>
      <c r="I72">
        <v>1</v>
      </c>
      <c r="J72">
        <f t="shared" si="17"/>
        <v>-0.33677909969887154</v>
      </c>
      <c r="K72">
        <f t="shared" si="18"/>
        <v>-0.58260219177521744</v>
      </c>
      <c r="L72">
        <v>1</v>
      </c>
      <c r="M72">
        <f t="shared" si="19"/>
        <v>0.51396931485433373</v>
      </c>
      <c r="N72">
        <f t="shared" si="20"/>
        <v>5.7839391359999999E-2</v>
      </c>
      <c r="O72">
        <f t="shared" si="21"/>
        <v>1.3602967968E-2</v>
      </c>
      <c r="P72">
        <f t="shared" si="22"/>
        <v>-2.8094824071162872E-3</v>
      </c>
      <c r="V72">
        <v>0.79999999999997995</v>
      </c>
      <c r="W72">
        <f t="shared" si="23"/>
        <v>-0.56807999999999903</v>
      </c>
    </row>
    <row r="73" spans="1:23" x14ac:dyDescent="0.3">
      <c r="A73" s="5">
        <v>3.6227785999999997</v>
      </c>
      <c r="B73" s="5">
        <v>0.63692724999999994</v>
      </c>
      <c r="C73">
        <f t="shared" si="13"/>
        <v>2.3074464110568496</v>
      </c>
      <c r="D73">
        <v>1.6199999999999999E-2</v>
      </c>
      <c r="E73">
        <v>3.81E-3</v>
      </c>
      <c r="F73">
        <f t="shared" si="14"/>
        <v>724.55571999999995</v>
      </c>
      <c r="G73">
        <f t="shared" si="15"/>
        <v>-0.63692724999999994</v>
      </c>
      <c r="H73">
        <f t="shared" si="16"/>
        <v>-461.48928221136993</v>
      </c>
      <c r="I73">
        <v>1</v>
      </c>
      <c r="J73">
        <f t="shared" si="17"/>
        <v>-0.3221966119661247</v>
      </c>
      <c r="K73">
        <f t="shared" si="18"/>
        <v>-0.58479790177521751</v>
      </c>
      <c r="L73">
        <v>1</v>
      </c>
      <c r="M73">
        <f t="shared" si="19"/>
        <v>0.51466344127041252</v>
      </c>
      <c r="N73">
        <f t="shared" si="20"/>
        <v>5.868901331999999E-2</v>
      </c>
      <c r="O73">
        <f t="shared" si="21"/>
        <v>1.3802786466E-2</v>
      </c>
      <c r="P73">
        <f t="shared" si="22"/>
        <v>-2.3573392811950047E-3</v>
      </c>
      <c r="V73">
        <v>0.89999999999998004</v>
      </c>
      <c r="W73">
        <f t="shared" si="23"/>
        <v>-0.57283999999999913</v>
      </c>
    </row>
    <row r="74" spans="1:23" x14ac:dyDescent="0.3">
      <c r="A74" s="5">
        <v>3.6731875</v>
      </c>
      <c r="B74" s="5">
        <v>0.63455974999999998</v>
      </c>
      <c r="C74">
        <f t="shared" si="13"/>
        <v>2.3308569417031251</v>
      </c>
      <c r="D74">
        <v>1.6199999999999999E-2</v>
      </c>
      <c r="E74">
        <v>3.81E-3</v>
      </c>
      <c r="F74">
        <f t="shared" si="14"/>
        <v>734.63750000000005</v>
      </c>
      <c r="G74">
        <f t="shared" si="15"/>
        <v>-0.63455974999999998</v>
      </c>
      <c r="H74">
        <f t="shared" si="16"/>
        <v>-466.17138834062501</v>
      </c>
      <c r="I74">
        <v>1</v>
      </c>
      <c r="J74">
        <f t="shared" si="17"/>
        <v>-0.30837809870999366</v>
      </c>
      <c r="K74">
        <f t="shared" si="18"/>
        <v>-0.58716540177521748</v>
      </c>
      <c r="L74">
        <v>1</v>
      </c>
      <c r="M74">
        <f t="shared" si="19"/>
        <v>0.51532120250140434</v>
      </c>
      <c r="N74">
        <f t="shared" si="20"/>
        <v>5.95056375E-2</v>
      </c>
      <c r="O74">
        <f t="shared" si="21"/>
        <v>1.3994844375000001E-2</v>
      </c>
      <c r="P74">
        <f t="shared" si="22"/>
        <v>-1.6562826011868644E-3</v>
      </c>
      <c r="V74">
        <v>0.99999999999998002</v>
      </c>
      <c r="W74">
        <f t="shared" si="23"/>
        <v>-0.57759999999999911</v>
      </c>
    </row>
    <row r="75" spans="1:23" x14ac:dyDescent="0.3">
      <c r="A75" s="5">
        <v>3.7246155000000001</v>
      </c>
      <c r="B75" s="5">
        <v>0.63240224</v>
      </c>
      <c r="C75">
        <f t="shared" si="13"/>
        <v>2.35545518533872</v>
      </c>
      <c r="D75">
        <v>1.6199999999999999E-2</v>
      </c>
      <c r="E75">
        <v>3.81E-3</v>
      </c>
      <c r="F75">
        <f t="shared" si="14"/>
        <v>744.92309999999998</v>
      </c>
      <c r="G75">
        <f t="shared" si="15"/>
        <v>-0.63240224</v>
      </c>
      <c r="H75">
        <f t="shared" si="16"/>
        <v>-471.09103706774403</v>
      </c>
      <c r="I75">
        <v>1</v>
      </c>
      <c r="J75">
        <f t="shared" si="17"/>
        <v>-0.29447428740679088</v>
      </c>
      <c r="K75">
        <f t="shared" si="18"/>
        <v>-0.58932291177521745</v>
      </c>
      <c r="L75">
        <v>1</v>
      </c>
      <c r="M75">
        <f t="shared" si="19"/>
        <v>0.51598302391943673</v>
      </c>
      <c r="N75">
        <f t="shared" si="20"/>
        <v>6.0338771100000001E-2</v>
      </c>
      <c r="O75">
        <f t="shared" si="21"/>
        <v>1.4190785055E-2</v>
      </c>
      <c r="P75">
        <f t="shared" si="22"/>
        <v>-1.1896682992192844E-3</v>
      </c>
      <c r="V75">
        <v>1.0999999999999699</v>
      </c>
      <c r="W75">
        <f t="shared" si="23"/>
        <v>-0.58235999999999855</v>
      </c>
    </row>
    <row r="76" spans="1:23" x14ac:dyDescent="0.3">
      <c r="A76" s="5">
        <v>3.7821525999999999</v>
      </c>
      <c r="B76" s="5">
        <v>0.63030207000000005</v>
      </c>
      <c r="C76">
        <f t="shared" si="13"/>
        <v>2.3838986128358819</v>
      </c>
      <c r="D76">
        <v>1.6199999999999999E-2</v>
      </c>
      <c r="E76">
        <v>3.81E-3</v>
      </c>
      <c r="F76">
        <f t="shared" si="14"/>
        <v>756.43052</v>
      </c>
      <c r="G76">
        <f t="shared" si="15"/>
        <v>-0.63030207000000005</v>
      </c>
      <c r="H76">
        <f t="shared" si="16"/>
        <v>-476.77972256717635</v>
      </c>
      <c r="I76">
        <v>1</v>
      </c>
      <c r="J76">
        <f t="shared" si="17"/>
        <v>-0.27914459399015285</v>
      </c>
      <c r="K76">
        <f t="shared" si="18"/>
        <v>-0.59142308177521741</v>
      </c>
      <c r="L76">
        <v>1</v>
      </c>
      <c r="M76">
        <f t="shared" si="19"/>
        <v>0.51671271732606872</v>
      </c>
      <c r="N76">
        <f t="shared" si="20"/>
        <v>6.1270872119999993E-2</v>
      </c>
      <c r="O76">
        <f t="shared" si="21"/>
        <v>1.4410001406E-2</v>
      </c>
      <c r="P76">
        <f t="shared" si="22"/>
        <v>-9.7050907685130097E-4</v>
      </c>
      <c r="V76">
        <v>1.19999999999997</v>
      </c>
      <c r="W76">
        <f t="shared" si="23"/>
        <v>-0.58711999999999864</v>
      </c>
    </row>
    <row r="77" spans="1:23" x14ac:dyDescent="0.3">
      <c r="A77" s="5">
        <v>3.8325617999999997</v>
      </c>
      <c r="B77" s="5">
        <v>0.62755269000000002</v>
      </c>
      <c r="C77">
        <f t="shared" si="13"/>
        <v>2.405134467181242</v>
      </c>
      <c r="D77">
        <v>1.6199999999999999E-2</v>
      </c>
      <c r="E77">
        <v>3.81E-3</v>
      </c>
      <c r="F77">
        <f t="shared" si="14"/>
        <v>766.51235999999994</v>
      </c>
      <c r="G77">
        <f t="shared" si="15"/>
        <v>-0.62755269000000002</v>
      </c>
      <c r="H77">
        <f t="shared" si="16"/>
        <v>-481.02689343624843</v>
      </c>
      <c r="I77">
        <v>1</v>
      </c>
      <c r="J77">
        <f t="shared" si="17"/>
        <v>-0.26590445555566034</v>
      </c>
      <c r="K77">
        <f t="shared" si="18"/>
        <v>-0.59417246177521743</v>
      </c>
      <c r="L77">
        <v>1</v>
      </c>
      <c r="M77">
        <f t="shared" si="19"/>
        <v>0.51734294791555058</v>
      </c>
      <c r="N77">
        <f t="shared" si="20"/>
        <v>6.2087501159999989E-2</v>
      </c>
      <c r="O77">
        <f t="shared" si="21"/>
        <v>1.4602060457999999E-2</v>
      </c>
      <c r="P77">
        <f t="shared" si="22"/>
        <v>1.3995224166686582E-4</v>
      </c>
      <c r="V77">
        <v>1.2999999999999701</v>
      </c>
      <c r="W77">
        <f t="shared" si="23"/>
        <v>-0.59187999999999863</v>
      </c>
    </row>
    <row r="78" spans="1:23" x14ac:dyDescent="0.3">
      <c r="A78" s="5">
        <v>3.8844985000000003</v>
      </c>
      <c r="B78" s="5">
        <v>0.62522334000000002</v>
      </c>
      <c r="C78">
        <f t="shared" si="13"/>
        <v>2.4286791263949903</v>
      </c>
      <c r="D78">
        <v>1.6199999999999999E-2</v>
      </c>
      <c r="E78">
        <v>3.81E-3</v>
      </c>
      <c r="F78">
        <f t="shared" si="14"/>
        <v>776.89970000000005</v>
      </c>
      <c r="G78">
        <f t="shared" si="15"/>
        <v>-0.62522334000000002</v>
      </c>
      <c r="H78">
        <f t="shared" si="16"/>
        <v>-485.73582527899805</v>
      </c>
      <c r="I78">
        <v>1</v>
      </c>
      <c r="J78">
        <f t="shared" si="17"/>
        <v>-0.25244402317592007</v>
      </c>
      <c r="K78">
        <f t="shared" si="18"/>
        <v>-0.59650181177521744</v>
      </c>
      <c r="L78">
        <v>1</v>
      </c>
      <c r="M78">
        <f t="shared" si="19"/>
        <v>0.5179836644968262</v>
      </c>
      <c r="N78">
        <f t="shared" si="20"/>
        <v>6.2928875699999998E-2</v>
      </c>
      <c r="O78">
        <f t="shared" si="21"/>
        <v>1.4799939285000001E-2</v>
      </c>
      <c r="P78">
        <f t="shared" si="22"/>
        <v>7.8933229339123862E-4</v>
      </c>
      <c r="V78">
        <v>1.3999999999999699</v>
      </c>
      <c r="W78">
        <f t="shared" si="23"/>
        <v>-0.59663999999999862</v>
      </c>
    </row>
    <row r="79" spans="1:23" x14ac:dyDescent="0.3">
      <c r="A79" s="5">
        <v>3.9349077000000001</v>
      </c>
      <c r="B79" s="5">
        <v>0.62295126999999995</v>
      </c>
      <c r="C79">
        <f t="shared" si="13"/>
        <v>2.4512557490477787</v>
      </c>
      <c r="D79">
        <v>1.6199999999999999E-2</v>
      </c>
      <c r="E79">
        <v>3.81E-3</v>
      </c>
      <c r="F79">
        <f t="shared" si="14"/>
        <v>786.98154</v>
      </c>
      <c r="G79">
        <f t="shared" si="15"/>
        <v>-0.62295126999999995</v>
      </c>
      <c r="H79">
        <f t="shared" si="16"/>
        <v>-490.25114980955573</v>
      </c>
      <c r="I79">
        <v>1</v>
      </c>
      <c r="J79">
        <f t="shared" si="17"/>
        <v>-0.23955048700247689</v>
      </c>
      <c r="K79">
        <f t="shared" si="18"/>
        <v>-0.59877388177521751</v>
      </c>
      <c r="L79">
        <v>1</v>
      </c>
      <c r="M79">
        <f t="shared" si="19"/>
        <v>0.51859739681868211</v>
      </c>
      <c r="N79">
        <f t="shared" si="20"/>
        <v>6.374550474E-2</v>
      </c>
      <c r="O79">
        <f t="shared" si="21"/>
        <v>1.4991998337E-2</v>
      </c>
      <c r="P79">
        <f t="shared" si="22"/>
        <v>1.4389818795353983E-3</v>
      </c>
      <c r="V79">
        <v>1.49999999999997</v>
      </c>
      <c r="W79">
        <f t="shared" si="23"/>
        <v>-0.6013999999999986</v>
      </c>
    </row>
    <row r="80" spans="1:23" x14ac:dyDescent="0.3">
      <c r="A80" s="5">
        <v>3.9878627999999998</v>
      </c>
      <c r="B80" s="5">
        <v>0.62075561000000001</v>
      </c>
      <c r="C80">
        <f t="shared" si="13"/>
        <v>2.4754882050103078</v>
      </c>
      <c r="D80">
        <v>1.6199999999999999E-2</v>
      </c>
      <c r="E80">
        <v>3.81E-3</v>
      </c>
      <c r="F80">
        <f t="shared" si="14"/>
        <v>797.57255999999995</v>
      </c>
      <c r="G80">
        <f t="shared" si="15"/>
        <v>-0.62075561000000001</v>
      </c>
      <c r="H80">
        <f t="shared" si="16"/>
        <v>-495.09764100206155</v>
      </c>
      <c r="I80">
        <v>1</v>
      </c>
      <c r="J80">
        <f t="shared" si="17"/>
        <v>-0.22618246413594137</v>
      </c>
      <c r="K80">
        <f t="shared" si="18"/>
        <v>-0.60096954177521744</v>
      </c>
      <c r="L80">
        <v>1</v>
      </c>
      <c r="M80">
        <f t="shared" si="19"/>
        <v>0.5192337147071292</v>
      </c>
      <c r="N80">
        <f t="shared" si="20"/>
        <v>6.4603377359999992E-2</v>
      </c>
      <c r="O80">
        <f t="shared" si="21"/>
        <v>1.5193757267999999E-2</v>
      </c>
      <c r="P80">
        <f t="shared" si="22"/>
        <v>1.9386924400882494E-3</v>
      </c>
      <c r="V80">
        <v>1.5999999999999699</v>
      </c>
      <c r="W80">
        <f t="shared" si="23"/>
        <v>-0.60615999999999859</v>
      </c>
    </row>
    <row r="81" spans="1:23" x14ac:dyDescent="0.3">
      <c r="A81" s="5">
        <v>4.0392907999999998</v>
      </c>
      <c r="B81" s="5">
        <v>0.61838811999999999</v>
      </c>
      <c r="C81">
        <f t="shared" si="13"/>
        <v>2.4978494439452961</v>
      </c>
      <c r="D81">
        <v>1.6199999999999999E-2</v>
      </c>
      <c r="E81">
        <v>3.81E-3</v>
      </c>
      <c r="F81">
        <f t="shared" si="14"/>
        <v>807.85816</v>
      </c>
      <c r="G81">
        <f t="shared" si="15"/>
        <v>-0.61838811999999999</v>
      </c>
      <c r="H81">
        <f t="shared" si="16"/>
        <v>-499.56988878905923</v>
      </c>
      <c r="I81">
        <v>1</v>
      </c>
      <c r="J81">
        <f t="shared" si="17"/>
        <v>-0.21336878042524585</v>
      </c>
      <c r="K81">
        <f t="shared" si="18"/>
        <v>-0.60333703177521747</v>
      </c>
      <c r="L81">
        <v>1</v>
      </c>
      <c r="M81">
        <f t="shared" si="19"/>
        <v>0.51984364605175837</v>
      </c>
      <c r="N81">
        <f t="shared" si="20"/>
        <v>6.5436510959999999E-2</v>
      </c>
      <c r="O81">
        <f t="shared" si="21"/>
        <v>1.5389697947999999E-2</v>
      </c>
      <c r="P81">
        <f t="shared" si="22"/>
        <v>2.6671768154591033E-3</v>
      </c>
      <c r="V81">
        <v>1.69999999999997</v>
      </c>
      <c r="W81">
        <f t="shared" si="23"/>
        <v>-0.61091999999999858</v>
      </c>
    </row>
    <row r="82" spans="1:23" x14ac:dyDescent="0.3">
      <c r="A82" s="5">
        <v>4.0896996999999997</v>
      </c>
      <c r="B82" s="5">
        <v>0.61624968000000002</v>
      </c>
      <c r="C82">
        <f t="shared" si="13"/>
        <v>2.5202761314210957</v>
      </c>
      <c r="D82">
        <v>1.6199999999999999E-2</v>
      </c>
      <c r="E82">
        <v>3.81E-3</v>
      </c>
      <c r="F82">
        <f t="shared" si="14"/>
        <v>817.93993999999998</v>
      </c>
      <c r="G82">
        <f t="shared" si="15"/>
        <v>-0.61624968000000002</v>
      </c>
      <c r="H82">
        <f t="shared" si="16"/>
        <v>-504.05522628421915</v>
      </c>
      <c r="I82">
        <v>1</v>
      </c>
      <c r="J82">
        <f t="shared" si="17"/>
        <v>-0.20096636805787421</v>
      </c>
      <c r="K82">
        <f t="shared" si="18"/>
        <v>-0.60547547177521743</v>
      </c>
      <c r="L82">
        <v>1</v>
      </c>
      <c r="M82">
        <f t="shared" si="19"/>
        <v>0.52043400088044522</v>
      </c>
      <c r="N82">
        <f t="shared" si="20"/>
        <v>6.6253135139999988E-2</v>
      </c>
      <c r="O82">
        <f t="shared" si="21"/>
        <v>1.5581755857E-2</v>
      </c>
      <c r="P82">
        <f t="shared" si="22"/>
        <v>3.2065798977722205E-3</v>
      </c>
      <c r="V82">
        <v>1.7999999999999701</v>
      </c>
      <c r="W82">
        <f t="shared" si="23"/>
        <v>-0.61567999999999856</v>
      </c>
    </row>
    <row r="83" spans="1:23" x14ac:dyDescent="0.3">
      <c r="A83" s="5">
        <v>4.1401089000000004</v>
      </c>
      <c r="B83" s="5">
        <v>0.61409223000000002</v>
      </c>
      <c r="C83">
        <f t="shared" si="13"/>
        <v>2.5424087068438475</v>
      </c>
      <c r="D83">
        <v>1.6199999999999999E-2</v>
      </c>
      <c r="E83">
        <v>3.81E-3</v>
      </c>
      <c r="F83">
        <f t="shared" si="14"/>
        <v>828.02178000000004</v>
      </c>
      <c r="G83">
        <f t="shared" si="15"/>
        <v>-0.61409223000000002</v>
      </c>
      <c r="H83">
        <f t="shared" si="16"/>
        <v>-508.48174136876946</v>
      </c>
      <c r="I83">
        <v>1</v>
      </c>
      <c r="J83">
        <f t="shared" si="17"/>
        <v>-0.18871582059500452</v>
      </c>
      <c r="K83">
        <f t="shared" si="18"/>
        <v>-0.60763292177521744</v>
      </c>
      <c r="L83">
        <v>1</v>
      </c>
      <c r="M83">
        <f t="shared" si="19"/>
        <v>0.52101712693967783</v>
      </c>
      <c r="N83">
        <f t="shared" si="20"/>
        <v>6.7069764180000005E-2</v>
      </c>
      <c r="O83">
        <f t="shared" si="21"/>
        <v>1.5773814909000001E-2</v>
      </c>
      <c r="P83">
        <f t="shared" si="22"/>
        <v>3.7722157465395999E-3</v>
      </c>
      <c r="V83">
        <v>1.8999999999999699</v>
      </c>
      <c r="W83">
        <f t="shared" si="23"/>
        <v>-0.62043999999999855</v>
      </c>
    </row>
    <row r="84" spans="1:23" x14ac:dyDescent="0.3">
      <c r="A84" s="5">
        <v>4.1905181000000002</v>
      </c>
      <c r="B84" s="5">
        <v>0.61197292999999997</v>
      </c>
      <c r="C84">
        <f t="shared" si="13"/>
        <v>2.564483639875033</v>
      </c>
      <c r="D84">
        <v>1.6199999999999999E-2</v>
      </c>
      <c r="E84">
        <v>3.81E-3</v>
      </c>
      <c r="F84">
        <f t="shared" si="14"/>
        <v>838.10362000000009</v>
      </c>
      <c r="G84">
        <f t="shared" si="15"/>
        <v>-0.61197292999999997</v>
      </c>
      <c r="H84">
        <f t="shared" si="16"/>
        <v>-512.89672797500657</v>
      </c>
      <c r="I84">
        <v>1</v>
      </c>
      <c r="J84">
        <f t="shared" si="17"/>
        <v>-0.17661353459296422</v>
      </c>
      <c r="K84">
        <f t="shared" si="18"/>
        <v>-0.60975222177521748</v>
      </c>
      <c r="L84">
        <v>1</v>
      </c>
      <c r="M84">
        <f t="shared" si="19"/>
        <v>0.52159319575337493</v>
      </c>
      <c r="N84">
        <f t="shared" si="20"/>
        <v>6.7886393219999994E-2</v>
      </c>
      <c r="O84">
        <f t="shared" si="21"/>
        <v>1.5965873961E-2</v>
      </c>
      <c r="P84">
        <f t="shared" si="22"/>
        <v>4.3067588408425631E-3</v>
      </c>
      <c r="V84">
        <v>1.99999999999997</v>
      </c>
      <c r="W84">
        <f t="shared" si="23"/>
        <v>-0.62519999999999865</v>
      </c>
    </row>
    <row r="85" spans="1:23" x14ac:dyDescent="0.3">
      <c r="A85" s="5">
        <v>4.2414364999999998</v>
      </c>
      <c r="B85" s="5">
        <v>0.60964357999999996</v>
      </c>
      <c r="C85">
        <f t="shared" si="13"/>
        <v>2.5857645322026697</v>
      </c>
      <c r="D85">
        <v>1.6199999999999999E-2</v>
      </c>
      <c r="E85">
        <v>3.81E-3</v>
      </c>
      <c r="F85">
        <f t="shared" si="14"/>
        <v>848.28729999999996</v>
      </c>
      <c r="G85">
        <f t="shared" si="15"/>
        <v>-0.60964357999999996</v>
      </c>
      <c r="H85">
        <f t="shared" si="16"/>
        <v>-517.15290644053391</v>
      </c>
      <c r="I85">
        <v>1</v>
      </c>
      <c r="J85">
        <f t="shared" si="17"/>
        <v>-0.16453590339922436</v>
      </c>
      <c r="K85">
        <f t="shared" si="18"/>
        <v>-0.61208157177521749</v>
      </c>
      <c r="L85">
        <v>1</v>
      </c>
      <c r="M85">
        <f t="shared" si="19"/>
        <v>0.52216809099819694</v>
      </c>
      <c r="N85">
        <f t="shared" si="20"/>
        <v>6.8711271299999988E-2</v>
      </c>
      <c r="O85">
        <f t="shared" si="21"/>
        <v>1.6159873065E-2</v>
      </c>
      <c r="P85">
        <f t="shared" si="22"/>
        <v>5.0423364120205615E-3</v>
      </c>
      <c r="V85">
        <v>2.0999999999999699</v>
      </c>
      <c r="W85">
        <f t="shared" si="23"/>
        <v>-0.62995999999999863</v>
      </c>
    </row>
    <row r="86" spans="1:23" x14ac:dyDescent="0.3">
      <c r="A86" s="5">
        <v>4.2918456999999997</v>
      </c>
      <c r="B86" s="5">
        <v>0.60763884000000001</v>
      </c>
      <c r="C86">
        <f t="shared" si="13"/>
        <v>2.6078921426069877</v>
      </c>
      <c r="D86">
        <v>1.6199999999999999E-2</v>
      </c>
      <c r="E86">
        <v>3.81E-3</v>
      </c>
      <c r="F86">
        <f t="shared" si="14"/>
        <v>858.3691399999999</v>
      </c>
      <c r="G86">
        <f t="shared" si="15"/>
        <v>-0.60763884000000001</v>
      </c>
      <c r="H86">
        <f t="shared" si="16"/>
        <v>-521.57842852139754</v>
      </c>
      <c r="I86">
        <v>1</v>
      </c>
      <c r="J86">
        <f t="shared" si="17"/>
        <v>-0.1527210389176652</v>
      </c>
      <c r="K86">
        <f t="shared" si="18"/>
        <v>-0.61408631177521744</v>
      </c>
      <c r="L86">
        <v>1</v>
      </c>
      <c r="M86">
        <f t="shared" si="19"/>
        <v>0.5227304785475192</v>
      </c>
      <c r="N86">
        <f t="shared" si="20"/>
        <v>6.952790033999999E-2</v>
      </c>
      <c r="O86">
        <f t="shared" si="21"/>
        <v>1.6351932117E-2</v>
      </c>
      <c r="P86">
        <f t="shared" si="22"/>
        <v>5.4760007706982569E-3</v>
      </c>
      <c r="V86">
        <v>2.19999999999997</v>
      </c>
      <c r="W86">
        <f t="shared" si="23"/>
        <v>-0.63471999999999862</v>
      </c>
    </row>
    <row r="87" spans="1:23" x14ac:dyDescent="0.3">
      <c r="A87" s="5">
        <v>4.3422548999999995</v>
      </c>
      <c r="B87" s="5">
        <v>0.60542404999999999</v>
      </c>
      <c r="C87">
        <f t="shared" si="13"/>
        <v>2.6289055476903447</v>
      </c>
      <c r="D87">
        <v>1.6199999999999999E-2</v>
      </c>
      <c r="E87">
        <v>3.81E-3</v>
      </c>
      <c r="F87">
        <f t="shared" si="14"/>
        <v>868.45097999999984</v>
      </c>
      <c r="G87">
        <f t="shared" si="15"/>
        <v>-0.60542404999999999</v>
      </c>
      <c r="H87">
        <f t="shared" si="16"/>
        <v>-525.7811095380689</v>
      </c>
      <c r="I87">
        <v>1</v>
      </c>
      <c r="J87">
        <f t="shared" si="17"/>
        <v>-0.14104413703551869</v>
      </c>
      <c r="K87">
        <f t="shared" si="18"/>
        <v>-0.61630110177521746</v>
      </c>
      <c r="L87">
        <v>1</v>
      </c>
      <c r="M87">
        <f t="shared" si="19"/>
        <v>0.52328629907710933</v>
      </c>
      <c r="N87">
        <f t="shared" si="20"/>
        <v>7.0344529379999993E-2</v>
      </c>
      <c r="O87">
        <f t="shared" si="21"/>
        <v>1.6543991168999999E-2</v>
      </c>
      <c r="P87">
        <f t="shared" si="22"/>
        <v>6.1262821491081428E-3</v>
      </c>
      <c r="V87">
        <v>2.2999999999999701</v>
      </c>
      <c r="W87">
        <f t="shared" si="23"/>
        <v>-0.63947999999999861</v>
      </c>
    </row>
    <row r="88" spans="1:23" x14ac:dyDescent="0.3">
      <c r="A88" s="5">
        <v>4.3936820999999995</v>
      </c>
      <c r="B88" s="5">
        <v>0.60332381999999996</v>
      </c>
      <c r="C88">
        <f t="shared" si="13"/>
        <v>2.6508130684376217</v>
      </c>
      <c r="D88">
        <v>1.6199999999999999E-2</v>
      </c>
      <c r="E88">
        <v>3.81E-3</v>
      </c>
      <c r="F88">
        <f t="shared" si="14"/>
        <v>878.73641999999995</v>
      </c>
      <c r="G88">
        <f t="shared" si="15"/>
        <v>-0.60332381999999996</v>
      </c>
      <c r="H88">
        <f t="shared" si="16"/>
        <v>-530.1626136875243</v>
      </c>
      <c r="I88">
        <v>1</v>
      </c>
      <c r="J88">
        <f t="shared" si="17"/>
        <v>-0.1292702897462322</v>
      </c>
      <c r="K88">
        <f t="shared" si="18"/>
        <v>-0.6184013317752175</v>
      </c>
      <c r="L88">
        <v>1</v>
      </c>
      <c r="M88">
        <f t="shared" si="19"/>
        <v>0.52384673420807937</v>
      </c>
      <c r="N88">
        <f t="shared" si="20"/>
        <v>7.1177650019999983E-2</v>
      </c>
      <c r="O88">
        <f t="shared" si="21"/>
        <v>1.6739928800999997E-2</v>
      </c>
      <c r="P88">
        <f t="shared" si="22"/>
        <v>6.6370187461381527E-3</v>
      </c>
      <c r="V88">
        <v>2.3999999999999702</v>
      </c>
      <c r="W88">
        <f t="shared" si="23"/>
        <v>-0.64423999999999859</v>
      </c>
    </row>
    <row r="89" spans="1:23" x14ac:dyDescent="0.3">
      <c r="A89" s="5">
        <v>4.4456191</v>
      </c>
      <c r="B89" s="5">
        <v>0.60101360000000004</v>
      </c>
      <c r="C89">
        <f t="shared" si="13"/>
        <v>2.6718775395197603</v>
      </c>
      <c r="D89">
        <v>1.6199999999999999E-2</v>
      </c>
      <c r="E89">
        <v>3.81E-3</v>
      </c>
      <c r="F89">
        <f t="shared" si="14"/>
        <v>889.12382000000002</v>
      </c>
      <c r="G89">
        <f t="shared" si="15"/>
        <v>-0.60101360000000004</v>
      </c>
      <c r="H89">
        <f t="shared" si="16"/>
        <v>-534.3755079039521</v>
      </c>
      <c r="I89">
        <v>1</v>
      </c>
      <c r="J89">
        <f t="shared" si="17"/>
        <v>-0.11751877307681491</v>
      </c>
      <c r="K89">
        <f t="shared" si="18"/>
        <v>-0.62071155177521742</v>
      </c>
      <c r="L89">
        <v>1</v>
      </c>
      <c r="M89">
        <f t="shared" si="19"/>
        <v>0.52440610640154361</v>
      </c>
      <c r="N89">
        <f t="shared" si="20"/>
        <v>7.2019029419999991E-2</v>
      </c>
      <c r="O89">
        <f t="shared" si="21"/>
        <v>1.6937808770999999E-2</v>
      </c>
      <c r="P89">
        <f t="shared" si="22"/>
        <v>7.3486071826738136E-3</v>
      </c>
      <c r="V89">
        <v>2.4999999999999698</v>
      </c>
      <c r="W89">
        <f t="shared" si="23"/>
        <v>-0.64899999999999858</v>
      </c>
    </row>
    <row r="90" spans="1:23" x14ac:dyDescent="0.3">
      <c r="A90" s="5">
        <v>4.4970469</v>
      </c>
      <c r="B90" s="5">
        <v>0.59874152999999997</v>
      </c>
      <c r="C90">
        <f t="shared" si="13"/>
        <v>2.692568741387757</v>
      </c>
      <c r="D90">
        <v>1.6199999999999999E-2</v>
      </c>
      <c r="E90">
        <v>3.81E-3</v>
      </c>
      <c r="F90">
        <f t="shared" si="14"/>
        <v>899.40937999999994</v>
      </c>
      <c r="G90">
        <f t="shared" si="15"/>
        <v>-0.59874152999999997</v>
      </c>
      <c r="H90">
        <f t="shared" si="16"/>
        <v>-538.51374827755137</v>
      </c>
      <c r="I90">
        <v>1</v>
      </c>
      <c r="J90">
        <f t="shared" si="17"/>
        <v>-0.10601697552490802</v>
      </c>
      <c r="K90">
        <f t="shared" si="18"/>
        <v>-0.62298362177521749</v>
      </c>
      <c r="L90">
        <v>1</v>
      </c>
      <c r="M90">
        <f t="shared" si="19"/>
        <v>0.52495359196501445</v>
      </c>
      <c r="N90">
        <f t="shared" si="20"/>
        <v>7.2852159779999995E-2</v>
      </c>
      <c r="O90">
        <f t="shared" si="21"/>
        <v>1.7133748689E-2</v>
      </c>
      <c r="P90">
        <f t="shared" si="22"/>
        <v>8.0441213412030393E-3</v>
      </c>
      <c r="V90">
        <v>2.5999999999999699</v>
      </c>
      <c r="W90">
        <f t="shared" si="23"/>
        <v>-0.65375999999999856</v>
      </c>
    </row>
    <row r="91" spans="1:23" x14ac:dyDescent="0.3">
      <c r="A91" s="5">
        <v>4.5494922000000004</v>
      </c>
      <c r="B91" s="5">
        <v>0.59669863999999995</v>
      </c>
      <c r="C91">
        <f t="shared" si="13"/>
        <v>2.714675808430608</v>
      </c>
      <c r="D91">
        <v>1.6199999999999999E-2</v>
      </c>
      <c r="E91">
        <v>3.81E-3</v>
      </c>
      <c r="F91">
        <f t="shared" si="14"/>
        <v>909.89844000000005</v>
      </c>
      <c r="G91">
        <f t="shared" si="15"/>
        <v>-0.59669863999999995</v>
      </c>
      <c r="H91">
        <f t="shared" si="16"/>
        <v>-542.93516168612155</v>
      </c>
      <c r="I91">
        <v>1</v>
      </c>
      <c r="J91">
        <f t="shared" si="17"/>
        <v>-9.4422290095079589E-2</v>
      </c>
      <c r="K91">
        <f t="shared" si="18"/>
        <v>-0.62502651177521751</v>
      </c>
      <c r="L91">
        <v>1</v>
      </c>
      <c r="M91">
        <f t="shared" si="19"/>
        <v>0.52550549899147425</v>
      </c>
      <c r="N91">
        <f t="shared" si="20"/>
        <v>7.370177364000001E-2</v>
      </c>
      <c r="O91">
        <f t="shared" si="21"/>
        <v>1.7333565282000002E-2</v>
      </c>
      <c r="P91">
        <f t="shared" si="22"/>
        <v>8.4856738617432453E-3</v>
      </c>
      <c r="V91">
        <v>2.69999999999997</v>
      </c>
      <c r="W91">
        <f t="shared" si="23"/>
        <v>-0.65851999999999866</v>
      </c>
    </row>
    <row r="92" spans="1:23" x14ac:dyDescent="0.3">
      <c r="A92" s="5">
        <v>4.6004106</v>
      </c>
      <c r="B92" s="5">
        <v>0.59438837</v>
      </c>
      <c r="C92">
        <f t="shared" si="13"/>
        <v>2.7344305578647221</v>
      </c>
      <c r="D92">
        <v>1.6199999999999999E-2</v>
      </c>
      <c r="E92">
        <v>3.81E-3</v>
      </c>
      <c r="F92">
        <f t="shared" si="14"/>
        <v>920.08212000000003</v>
      </c>
      <c r="G92">
        <f t="shared" si="15"/>
        <v>-0.59438837</v>
      </c>
      <c r="H92">
        <f t="shared" si="16"/>
        <v>-546.8861115729444</v>
      </c>
      <c r="I92">
        <v>1</v>
      </c>
      <c r="J92">
        <f t="shared" si="17"/>
        <v>-8.3292352053000215E-2</v>
      </c>
      <c r="K92">
        <f t="shared" si="18"/>
        <v>-0.62733678177521746</v>
      </c>
      <c r="L92">
        <v>1</v>
      </c>
      <c r="M92">
        <f t="shared" si="19"/>
        <v>0.52603528404227717</v>
      </c>
      <c r="N92">
        <f t="shared" si="20"/>
        <v>7.4526651719999989E-2</v>
      </c>
      <c r="O92">
        <f t="shared" si="21"/>
        <v>1.7527564386000002E-2</v>
      </c>
      <c r="P92">
        <f t="shared" si="22"/>
        <v>9.2472816269402909E-3</v>
      </c>
      <c r="V92">
        <v>2.7999999999999701</v>
      </c>
      <c r="W92">
        <f t="shared" si="23"/>
        <v>-0.66327999999999865</v>
      </c>
    </row>
    <row r="93" spans="1:23" x14ac:dyDescent="0.3">
      <c r="A93" s="5">
        <v>4.6518383999999999</v>
      </c>
      <c r="B93" s="5">
        <v>0.59242183000000004</v>
      </c>
      <c r="C93">
        <f t="shared" si="13"/>
        <v>2.7558506177922721</v>
      </c>
      <c r="D93">
        <v>1.6199999999999999E-2</v>
      </c>
      <c r="E93">
        <v>3.81E-3</v>
      </c>
      <c r="F93">
        <f t="shared" si="14"/>
        <v>930.36767999999995</v>
      </c>
      <c r="G93">
        <f t="shared" si="15"/>
        <v>-0.59242183000000004</v>
      </c>
      <c r="H93">
        <f t="shared" si="16"/>
        <v>-551.17012355845441</v>
      </c>
      <c r="I93">
        <v>1</v>
      </c>
      <c r="J93">
        <f t="shared" si="17"/>
        <v>-7.217541612825748E-2</v>
      </c>
      <c r="K93">
        <f t="shared" si="18"/>
        <v>-0.62930332177521742</v>
      </c>
      <c r="L93">
        <v>1</v>
      </c>
      <c r="M93">
        <f t="shared" si="19"/>
        <v>0.52656445019229492</v>
      </c>
      <c r="N93">
        <f t="shared" si="20"/>
        <v>7.5359782079999993E-2</v>
      </c>
      <c r="O93">
        <f t="shared" si="21"/>
        <v>1.7723504304E-2</v>
      </c>
      <c r="P93">
        <f t="shared" si="22"/>
        <v>9.6555851989225047E-3</v>
      </c>
      <c r="V93">
        <v>2.8999999999999702</v>
      </c>
      <c r="W93">
        <f t="shared" si="23"/>
        <v>-0.66803999999999863</v>
      </c>
    </row>
    <row r="94" spans="1:23" x14ac:dyDescent="0.3">
      <c r="A94" s="5">
        <v>4.7047935000000001</v>
      </c>
      <c r="B94" s="5">
        <v>0.59001612999999997</v>
      </c>
      <c r="C94">
        <f t="shared" si="13"/>
        <v>2.775904053319155</v>
      </c>
      <c r="D94">
        <v>1.6199999999999999E-2</v>
      </c>
      <c r="E94">
        <v>3.81E-3</v>
      </c>
      <c r="F94">
        <f t="shared" si="14"/>
        <v>940.95870000000002</v>
      </c>
      <c r="G94">
        <f t="shared" si="15"/>
        <v>-0.59001612999999997</v>
      </c>
      <c r="H94">
        <f t="shared" si="16"/>
        <v>-555.18081066383104</v>
      </c>
      <c r="I94">
        <v>1</v>
      </c>
      <c r="J94">
        <f t="shared" si="17"/>
        <v>-6.085602983920612E-2</v>
      </c>
      <c r="K94">
        <f t="shared" si="18"/>
        <v>-0.63170902177521748</v>
      </c>
      <c r="L94">
        <v>1</v>
      </c>
      <c r="M94">
        <f t="shared" si="19"/>
        <v>0.52710325297965377</v>
      </c>
      <c r="N94">
        <f t="shared" si="20"/>
        <v>7.6217654699999998E-2</v>
      </c>
      <c r="O94">
        <f t="shared" si="21"/>
        <v>1.7925263234999999E-2</v>
      </c>
      <c r="P94">
        <f t="shared" si="22"/>
        <v>1.0462850860563717E-2</v>
      </c>
      <c r="V94">
        <v>2.9999999999999698</v>
      </c>
      <c r="W94">
        <f t="shared" si="23"/>
        <v>-0.67279999999999862</v>
      </c>
    </row>
    <row r="95" spans="1:23" x14ac:dyDescent="0.3">
      <c r="A95" s="5">
        <v>4.7557114</v>
      </c>
      <c r="B95" s="5">
        <v>0.58785862</v>
      </c>
      <c r="C95">
        <f t="shared" si="13"/>
        <v>2.7956859407222678</v>
      </c>
      <c r="D95">
        <v>1.6199999999999999E-2</v>
      </c>
      <c r="E95">
        <v>3.81E-3</v>
      </c>
      <c r="F95">
        <f t="shared" si="14"/>
        <v>951.14228000000003</v>
      </c>
      <c r="G95">
        <f t="shared" si="15"/>
        <v>-0.58785862</v>
      </c>
      <c r="H95">
        <f t="shared" si="16"/>
        <v>-559.1371881444536</v>
      </c>
      <c r="I95">
        <v>1</v>
      </c>
      <c r="J95">
        <f t="shared" si="17"/>
        <v>-5.009161669148967E-2</v>
      </c>
      <c r="K95">
        <f t="shared" si="18"/>
        <v>-0.63386653177521746</v>
      </c>
      <c r="L95">
        <v>1</v>
      </c>
      <c r="M95">
        <f t="shared" si="19"/>
        <v>0.52761563904548514</v>
      </c>
      <c r="N95">
        <f t="shared" si="20"/>
        <v>7.7042524680000002E-2</v>
      </c>
      <c r="O95">
        <f t="shared" si="21"/>
        <v>1.8119260434000001E-2</v>
      </c>
      <c r="P95">
        <f t="shared" si="22"/>
        <v>1.1089107615732313E-2</v>
      </c>
      <c r="V95">
        <v>3.0999999999999699</v>
      </c>
      <c r="W95">
        <f t="shared" si="23"/>
        <v>-0.67755999999999861</v>
      </c>
    </row>
    <row r="96" spans="1:23" x14ac:dyDescent="0.3">
      <c r="A96" s="5">
        <v>4.8061205999999999</v>
      </c>
      <c r="B96" s="5">
        <v>0.58568202999999996</v>
      </c>
      <c r="C96">
        <f t="shared" si="13"/>
        <v>2.8148584694328176</v>
      </c>
      <c r="D96">
        <v>1.6199999999999999E-2</v>
      </c>
      <c r="E96">
        <v>3.81E-3</v>
      </c>
      <c r="F96">
        <f t="shared" si="14"/>
        <v>961.22411999999997</v>
      </c>
      <c r="G96">
        <f t="shared" si="15"/>
        <v>-0.58568202999999996</v>
      </c>
      <c r="H96">
        <f t="shared" si="16"/>
        <v>-562.97169388656357</v>
      </c>
      <c r="I96">
        <v>1</v>
      </c>
      <c r="J96">
        <f t="shared" si="17"/>
        <v>-3.9547681801704329E-2</v>
      </c>
      <c r="K96">
        <f t="shared" si="18"/>
        <v>-0.63604312177521749</v>
      </c>
      <c r="L96">
        <v>1</v>
      </c>
      <c r="M96">
        <f t="shared" si="19"/>
        <v>0.52811753034623887</v>
      </c>
      <c r="N96">
        <f t="shared" si="20"/>
        <v>7.7859153719999991E-2</v>
      </c>
      <c r="O96">
        <f t="shared" si="21"/>
        <v>1.8311319486E-2</v>
      </c>
      <c r="P96">
        <f t="shared" si="22"/>
        <v>1.1755118222978627E-2</v>
      </c>
      <c r="V96">
        <v>3.19999999999997</v>
      </c>
      <c r="W96">
        <f t="shared" si="23"/>
        <v>-0.68231999999999859</v>
      </c>
    </row>
    <row r="97" spans="1:23" x14ac:dyDescent="0.3">
      <c r="A97" s="5">
        <v>4.8565298000000006</v>
      </c>
      <c r="B97" s="5">
        <v>0.58382999999999996</v>
      </c>
      <c r="C97">
        <f t="shared" si="13"/>
        <v>2.8353877931340001</v>
      </c>
      <c r="D97">
        <v>1.6199999999999999E-2</v>
      </c>
      <c r="E97">
        <v>3.81E-3</v>
      </c>
      <c r="F97">
        <f t="shared" si="14"/>
        <v>971.30596000000014</v>
      </c>
      <c r="G97">
        <f t="shared" si="15"/>
        <v>-0.58382999999999996</v>
      </c>
      <c r="H97">
        <f t="shared" si="16"/>
        <v>-567.07755862680006</v>
      </c>
      <c r="I97">
        <v>1</v>
      </c>
      <c r="J97">
        <f t="shared" si="17"/>
        <v>-2.9113762486428506E-2</v>
      </c>
      <c r="K97">
        <f t="shared" si="18"/>
        <v>-0.63789515177521749</v>
      </c>
      <c r="L97">
        <v>1</v>
      </c>
      <c r="M97">
        <f t="shared" si="19"/>
        <v>0.52861418490564605</v>
      </c>
      <c r="N97">
        <f t="shared" si="20"/>
        <v>7.8675782760000007E-2</v>
      </c>
      <c r="O97">
        <f t="shared" si="21"/>
        <v>1.8503378538000003E-2</v>
      </c>
      <c r="P97">
        <f t="shared" si="22"/>
        <v>1.210180557157144E-2</v>
      </c>
      <c r="V97">
        <v>3.2999999999999701</v>
      </c>
      <c r="W97">
        <f t="shared" si="23"/>
        <v>-0.68707999999999858</v>
      </c>
    </row>
    <row r="98" spans="1:23" x14ac:dyDescent="0.3">
      <c r="A98" s="5">
        <v>4.9069389999999995</v>
      </c>
      <c r="B98" s="5">
        <v>0.58144342999999998</v>
      </c>
      <c r="C98">
        <f t="shared" si="13"/>
        <v>2.8531074429607695</v>
      </c>
      <c r="D98">
        <v>1.6199999999999999E-2</v>
      </c>
      <c r="E98">
        <v>3.81E-3</v>
      </c>
      <c r="F98">
        <f t="shared" si="14"/>
        <v>981.38779999999986</v>
      </c>
      <c r="G98">
        <f t="shared" si="15"/>
        <v>-0.58144342999999998</v>
      </c>
      <c r="H98">
        <f t="shared" si="16"/>
        <v>-570.62148859215392</v>
      </c>
      <c r="I98">
        <v>1</v>
      </c>
      <c r="J98">
        <f t="shared" si="17"/>
        <v>-1.8787586624307604E-2</v>
      </c>
      <c r="K98">
        <f t="shared" si="18"/>
        <v>-0.64028172177521747</v>
      </c>
      <c r="L98">
        <v>1</v>
      </c>
      <c r="M98">
        <f t="shared" si="19"/>
        <v>0.52910571087668301</v>
      </c>
      <c r="N98">
        <f t="shared" si="20"/>
        <v>7.9492411799999982E-2</v>
      </c>
      <c r="O98">
        <f t="shared" si="21"/>
        <v>1.8695437589999999E-2</v>
      </c>
      <c r="P98">
        <f t="shared" si="22"/>
        <v>1.298816150853448E-2</v>
      </c>
      <c r="V98">
        <v>3.3999999999999702</v>
      </c>
      <c r="W98">
        <f t="shared" si="23"/>
        <v>-0.69183999999999868</v>
      </c>
    </row>
    <row r="99" spans="1:23" x14ac:dyDescent="0.3">
      <c r="A99" s="5">
        <v>4.9578574</v>
      </c>
      <c r="B99" s="5">
        <v>0.57926685</v>
      </c>
      <c r="C99">
        <f t="shared" si="13"/>
        <v>2.8719224388471898</v>
      </c>
      <c r="D99">
        <v>1.6199999999999999E-2</v>
      </c>
      <c r="E99">
        <v>3.81E-3</v>
      </c>
      <c r="F99">
        <f t="shared" si="14"/>
        <v>991.57147999999995</v>
      </c>
      <c r="G99">
        <f t="shared" si="15"/>
        <v>-0.57926685</v>
      </c>
      <c r="H99">
        <f t="shared" si="16"/>
        <v>-574.38448776943801</v>
      </c>
      <c r="I99">
        <v>1</v>
      </c>
      <c r="J99">
        <f t="shared" si="17"/>
        <v>-8.4642408321426513E-3</v>
      </c>
      <c r="K99">
        <f t="shared" si="18"/>
        <v>-0.64245830177521746</v>
      </c>
      <c r="L99">
        <v>1</v>
      </c>
      <c r="M99">
        <f t="shared" si="19"/>
        <v>0.52959710213639</v>
      </c>
      <c r="N99">
        <f t="shared" si="20"/>
        <v>8.031728987999999E-2</v>
      </c>
      <c r="O99">
        <f t="shared" si="21"/>
        <v>1.8889436693999999E-2</v>
      </c>
      <c r="P99">
        <f t="shared" si="22"/>
        <v>1.365447306482747E-2</v>
      </c>
      <c r="V99">
        <v>3.4999999999999698</v>
      </c>
      <c r="W99">
        <f t="shared" si="23"/>
        <v>-0.69659999999999855</v>
      </c>
    </row>
    <row r="100" spans="1:23" x14ac:dyDescent="0.3">
      <c r="A100" s="5">
        <v>5.0092847000000003</v>
      </c>
      <c r="B100" s="5">
        <v>0.57722390000000001</v>
      </c>
      <c r="C100">
        <f t="shared" si="13"/>
        <v>2.8914788507443303</v>
      </c>
      <c r="D100">
        <v>1.6199999999999999E-2</v>
      </c>
      <c r="E100">
        <v>3.81E-3</v>
      </c>
      <c r="F100">
        <f t="shared" si="14"/>
        <v>1001.85694</v>
      </c>
      <c r="G100">
        <f t="shared" si="15"/>
        <v>-0.57722390000000001</v>
      </c>
      <c r="H100">
        <f t="shared" si="16"/>
        <v>-578.29577014886604</v>
      </c>
      <c r="I100">
        <v>1</v>
      </c>
      <c r="J100">
        <f t="shared" si="17"/>
        <v>1.8552180183329921E-3</v>
      </c>
      <c r="K100">
        <f t="shared" si="18"/>
        <v>-0.64450125177521744</v>
      </c>
      <c r="L100">
        <v>1</v>
      </c>
      <c r="M100">
        <f t="shared" si="19"/>
        <v>0.53008830837767262</v>
      </c>
      <c r="N100">
        <f t="shared" si="20"/>
        <v>8.1150412140000003E-2</v>
      </c>
      <c r="O100">
        <f t="shared" si="21"/>
        <v>1.9085374707000002E-2</v>
      </c>
      <c r="P100">
        <f t="shared" si="22"/>
        <v>1.4177156550544814E-2</v>
      </c>
      <c r="V100">
        <v>3.5999999999999699</v>
      </c>
      <c r="W100">
        <f t="shared" ref="W100:W131" si="24">V100*$S$5+$S$4</f>
        <v>-0.70135999999999865</v>
      </c>
    </row>
    <row r="101" spans="1:23" x14ac:dyDescent="0.3">
      <c r="A101" s="5">
        <v>5.0596937999999998</v>
      </c>
      <c r="B101" s="5">
        <v>0.57533371</v>
      </c>
      <c r="C101">
        <f t="shared" si="13"/>
        <v>2.9110124054179978</v>
      </c>
      <c r="D101">
        <v>1.6199999999999999E-2</v>
      </c>
      <c r="E101">
        <v>3.81E-3</v>
      </c>
      <c r="F101">
        <f t="shared" si="14"/>
        <v>1011.93876</v>
      </c>
      <c r="G101">
        <f t="shared" si="15"/>
        <v>-0.57533371</v>
      </c>
      <c r="H101">
        <f t="shared" si="16"/>
        <v>-582.20248108359954</v>
      </c>
      <c r="I101">
        <v>1</v>
      </c>
      <c r="J101">
        <f t="shared" si="17"/>
        <v>1.1868055200245833E-2</v>
      </c>
      <c r="K101">
        <f t="shared" si="18"/>
        <v>-0.64639144177521746</v>
      </c>
      <c r="L101">
        <v>1</v>
      </c>
      <c r="M101">
        <f t="shared" si="19"/>
        <v>0.5305649194275317</v>
      </c>
      <c r="N101">
        <f t="shared" si="20"/>
        <v>8.1967039559999996E-2</v>
      </c>
      <c r="O101">
        <f t="shared" si="21"/>
        <v>1.9277433377999999E-2</v>
      </c>
      <c r="P101">
        <f t="shared" si="22"/>
        <v>1.4582049409685761E-2</v>
      </c>
      <c r="V101">
        <v>3.69999999999997</v>
      </c>
      <c r="W101">
        <f t="shared" si="24"/>
        <v>-0.70611999999999864</v>
      </c>
    </row>
    <row r="102" spans="1:23" x14ac:dyDescent="0.3">
      <c r="A102" s="5">
        <v>5.1116308999999998</v>
      </c>
      <c r="B102" s="5">
        <v>0.57319527999999997</v>
      </c>
      <c r="C102">
        <f t="shared" si="13"/>
        <v>2.9299627049821519</v>
      </c>
      <c r="D102">
        <v>1.6199999999999999E-2</v>
      </c>
      <c r="E102">
        <v>3.81E-3</v>
      </c>
      <c r="F102">
        <f t="shared" si="14"/>
        <v>1022.3261799999999</v>
      </c>
      <c r="G102">
        <f t="shared" si="15"/>
        <v>-0.57319527999999997</v>
      </c>
      <c r="H102">
        <f t="shared" si="16"/>
        <v>-585.99254099643042</v>
      </c>
      <c r="I102">
        <v>1</v>
      </c>
      <c r="J102">
        <f t="shared" si="17"/>
        <v>2.2080599373988725E-2</v>
      </c>
      <c r="K102">
        <f t="shared" si="18"/>
        <v>-0.64852987177521748</v>
      </c>
      <c r="L102">
        <v>1</v>
      </c>
      <c r="M102">
        <f t="shared" si="19"/>
        <v>0.53105103653020191</v>
      </c>
      <c r="N102">
        <f t="shared" si="20"/>
        <v>8.2808420579999986E-2</v>
      </c>
      <c r="O102">
        <f t="shared" si="21"/>
        <v>1.9475313729E-2</v>
      </c>
      <c r="P102">
        <f t="shared" si="22"/>
        <v>1.5195100936015581E-2</v>
      </c>
      <c r="V102">
        <v>3.7999999999999701</v>
      </c>
      <c r="W102">
        <f t="shared" si="24"/>
        <v>-0.71087999999999862</v>
      </c>
    </row>
    <row r="103" spans="1:23" x14ac:dyDescent="0.3">
      <c r="A103" s="5">
        <v>5.1620396000000008</v>
      </c>
      <c r="B103" s="5">
        <v>0.57092326999999998</v>
      </c>
      <c r="C103">
        <f t="shared" si="13"/>
        <v>2.9471285283014925</v>
      </c>
      <c r="D103">
        <v>1.6199999999999999E-2</v>
      </c>
      <c r="E103">
        <v>3.81E-3</v>
      </c>
      <c r="F103">
        <f t="shared" si="14"/>
        <v>1032.4079200000001</v>
      </c>
      <c r="G103">
        <f t="shared" si="15"/>
        <v>-0.57092326999999998</v>
      </c>
      <c r="H103">
        <f t="shared" si="16"/>
        <v>-589.42570566029849</v>
      </c>
      <c r="I103">
        <v>1</v>
      </c>
      <c r="J103">
        <f t="shared" si="17"/>
        <v>3.1893860278072686E-2</v>
      </c>
      <c r="K103">
        <f t="shared" si="18"/>
        <v>-0.65080188177521747</v>
      </c>
      <c r="L103">
        <v>1</v>
      </c>
      <c r="M103">
        <f t="shared" si="19"/>
        <v>0.53151814774923634</v>
      </c>
      <c r="N103">
        <f t="shared" si="20"/>
        <v>8.3625041520000012E-2</v>
      </c>
      <c r="O103">
        <f t="shared" si="21"/>
        <v>1.9667370876000002E-2</v>
      </c>
      <c r="P103">
        <f t="shared" si="22"/>
        <v>1.5991321629981122E-2</v>
      </c>
      <c r="V103">
        <v>3.8999999999999599</v>
      </c>
      <c r="W103">
        <f t="shared" si="24"/>
        <v>-0.71563999999999817</v>
      </c>
    </row>
    <row r="104" spans="1:23" x14ac:dyDescent="0.3">
      <c r="A104" s="5">
        <v>5.2134672999999996</v>
      </c>
      <c r="B104" s="5">
        <v>0.56895667000000005</v>
      </c>
      <c r="C104">
        <f t="shared" si="13"/>
        <v>2.9662369941618909</v>
      </c>
      <c r="D104">
        <v>1.6199999999999999E-2</v>
      </c>
      <c r="E104">
        <v>3.81E-3</v>
      </c>
      <c r="F104">
        <f t="shared" si="14"/>
        <v>1042.69346</v>
      </c>
      <c r="G104">
        <f t="shared" si="15"/>
        <v>-0.56895667000000005</v>
      </c>
      <c r="H104">
        <f t="shared" si="16"/>
        <v>-593.24739883237817</v>
      </c>
      <c r="I104">
        <v>1</v>
      </c>
      <c r="J104">
        <f t="shared" si="17"/>
        <v>4.1807230615740737E-2</v>
      </c>
      <c r="K104">
        <f t="shared" si="18"/>
        <v>-0.6527684817752174</v>
      </c>
      <c r="L104">
        <v>1</v>
      </c>
      <c r="M104">
        <f t="shared" si="19"/>
        <v>0.53199002417730934</v>
      </c>
      <c r="N104">
        <f t="shared" si="20"/>
        <v>8.4458170259999993E-2</v>
      </c>
      <c r="O104">
        <f t="shared" si="21"/>
        <v>1.9863310412999997E-2</v>
      </c>
      <c r="P104">
        <f t="shared" si="22"/>
        <v>1.6456976924908072E-2</v>
      </c>
      <c r="V104">
        <v>3.99999999999996</v>
      </c>
      <c r="W104">
        <f t="shared" si="24"/>
        <v>-0.72039999999999815</v>
      </c>
    </row>
    <row r="105" spans="1:23" x14ac:dyDescent="0.3">
      <c r="A105" s="5">
        <v>5.2638765000000003</v>
      </c>
      <c r="B105" s="5">
        <v>0.56674188000000003</v>
      </c>
      <c r="C105">
        <f t="shared" si="13"/>
        <v>2.9832592636978204</v>
      </c>
      <c r="D105">
        <v>1.6199999999999999E-2</v>
      </c>
      <c r="E105">
        <v>3.81E-3</v>
      </c>
      <c r="F105">
        <f t="shared" si="14"/>
        <v>1052.7753</v>
      </c>
      <c r="G105">
        <f t="shared" si="15"/>
        <v>-0.56674188000000003</v>
      </c>
      <c r="H105">
        <f t="shared" si="16"/>
        <v>-596.65185273956411</v>
      </c>
      <c r="I105">
        <v>1</v>
      </c>
      <c r="J105">
        <f t="shared" si="17"/>
        <v>5.1429820067495725E-2</v>
      </c>
      <c r="K105">
        <f t="shared" si="18"/>
        <v>-0.65498327177521742</v>
      </c>
      <c r="L105">
        <v>1</v>
      </c>
      <c r="M105">
        <f t="shared" si="19"/>
        <v>0.53244805943521278</v>
      </c>
      <c r="N105">
        <f t="shared" si="20"/>
        <v>8.5274799299999995E-2</v>
      </c>
      <c r="O105">
        <f t="shared" si="21"/>
        <v>2.0055369465E-2</v>
      </c>
      <c r="P105">
        <f t="shared" si="22"/>
        <v>1.7205043575004644E-2</v>
      </c>
      <c r="V105">
        <v>4.0999999999999996</v>
      </c>
      <c r="W105">
        <f t="shared" si="24"/>
        <v>-0.72516000000000003</v>
      </c>
    </row>
    <row r="106" spans="1:23" x14ac:dyDescent="0.3">
      <c r="A106" s="5">
        <v>5.3168311000000008</v>
      </c>
      <c r="B106" s="5">
        <v>0.56452714999999998</v>
      </c>
      <c r="C106">
        <f t="shared" si="13"/>
        <v>3.0014955079143655</v>
      </c>
      <c r="D106">
        <v>1.6199999999999999E-2</v>
      </c>
      <c r="E106">
        <v>3.81E-3</v>
      </c>
      <c r="F106">
        <f t="shared" si="14"/>
        <v>1063.3662200000001</v>
      </c>
      <c r="G106">
        <f t="shared" si="15"/>
        <v>-0.56452714999999998</v>
      </c>
      <c r="H106">
        <f t="shared" si="16"/>
        <v>-600.29910158287305</v>
      </c>
      <c r="I106">
        <v>1</v>
      </c>
      <c r="J106">
        <f t="shared" si="17"/>
        <v>6.1439555550072432E-2</v>
      </c>
      <c r="K106">
        <f t="shared" si="18"/>
        <v>-0.65719800177521748</v>
      </c>
      <c r="L106">
        <v>1</v>
      </c>
      <c r="M106">
        <f t="shared" si="19"/>
        <v>0.53292452284418346</v>
      </c>
      <c r="N106">
        <f t="shared" si="20"/>
        <v>8.6132663820000011E-2</v>
      </c>
      <c r="O106">
        <f t="shared" si="21"/>
        <v>2.0257126491000005E-2</v>
      </c>
      <c r="P106">
        <f t="shared" si="22"/>
        <v>1.7883688620034005E-2</v>
      </c>
      <c r="V106">
        <v>4.2</v>
      </c>
      <c r="W106">
        <f t="shared" si="24"/>
        <v>-0.72992000000000001</v>
      </c>
    </row>
    <row r="107" spans="1:23" x14ac:dyDescent="0.3">
      <c r="A107" s="5">
        <v>5.3682593000000001</v>
      </c>
      <c r="B107" s="5">
        <v>0.56263697000000001</v>
      </c>
      <c r="C107">
        <f t="shared" si="13"/>
        <v>3.0203811467263213</v>
      </c>
      <c r="D107">
        <v>1.6199999999999999E-2</v>
      </c>
      <c r="E107">
        <v>3.81E-3</v>
      </c>
      <c r="F107">
        <f t="shared" si="14"/>
        <v>1073.6518599999999</v>
      </c>
      <c r="G107">
        <f t="shared" si="15"/>
        <v>-0.56263697000000001</v>
      </c>
      <c r="H107">
        <f t="shared" si="16"/>
        <v>-604.07622934526421</v>
      </c>
      <c r="I107">
        <v>1</v>
      </c>
      <c r="J107">
        <f t="shared" si="17"/>
        <v>7.1065790837644013E-2</v>
      </c>
      <c r="K107">
        <f t="shared" si="18"/>
        <v>-0.65908818177521744</v>
      </c>
      <c r="L107">
        <v>1</v>
      </c>
      <c r="M107">
        <f t="shared" si="19"/>
        <v>0.53338273164387184</v>
      </c>
      <c r="N107">
        <f t="shared" si="20"/>
        <v>8.6965800659999995E-2</v>
      </c>
      <c r="O107">
        <f t="shared" si="21"/>
        <v>2.0453067933000002E-2</v>
      </c>
      <c r="P107">
        <f t="shared" si="22"/>
        <v>1.82865815383456E-2</v>
      </c>
      <c r="V107">
        <v>4.3</v>
      </c>
      <c r="W107">
        <f t="shared" si="24"/>
        <v>-0.73468</v>
      </c>
    </row>
    <row r="108" spans="1:23" x14ac:dyDescent="0.3">
      <c r="A108" s="5">
        <v>5.4207046000000005</v>
      </c>
      <c r="B108" s="5">
        <v>0.56028855</v>
      </c>
      <c r="C108">
        <f t="shared" si="13"/>
        <v>3.0371587203123305</v>
      </c>
      <c r="D108">
        <v>1.6199999999999999E-2</v>
      </c>
      <c r="E108">
        <v>3.81E-3</v>
      </c>
      <c r="F108">
        <f t="shared" si="14"/>
        <v>1084.1409200000001</v>
      </c>
      <c r="G108">
        <f t="shared" si="15"/>
        <v>-0.56028855</v>
      </c>
      <c r="H108">
        <f t="shared" si="16"/>
        <v>-607.43174406246612</v>
      </c>
      <c r="I108">
        <v>1</v>
      </c>
      <c r="J108">
        <f t="shared" si="17"/>
        <v>8.0787894568186788E-2</v>
      </c>
      <c r="K108">
        <f t="shared" si="18"/>
        <v>-0.66143660177521746</v>
      </c>
      <c r="L108">
        <v>1</v>
      </c>
      <c r="M108">
        <f t="shared" si="19"/>
        <v>0.53384550378144568</v>
      </c>
      <c r="N108">
        <f t="shared" si="20"/>
        <v>8.781541452000001E-2</v>
      </c>
      <c r="O108">
        <f t="shared" si="21"/>
        <v>2.0652884526000004E-2</v>
      </c>
      <c r="P108">
        <f t="shared" si="22"/>
        <v>1.912279894777176E-2</v>
      </c>
      <c r="V108">
        <v>4.4000000000000004</v>
      </c>
      <c r="W108">
        <f t="shared" si="24"/>
        <v>-0.7394400000000001</v>
      </c>
    </row>
    <row r="109" spans="1:23" x14ac:dyDescent="0.3">
      <c r="A109" s="5">
        <v>5.4756967999999997</v>
      </c>
      <c r="B109" s="5">
        <v>0.55822647000000003</v>
      </c>
      <c r="C109">
        <f t="shared" si="13"/>
        <v>3.0566788954542958</v>
      </c>
      <c r="D109">
        <v>1.6199999999999999E-2</v>
      </c>
      <c r="E109">
        <v>3.81E-3</v>
      </c>
      <c r="F109">
        <f t="shared" si="14"/>
        <v>1095.1393599999999</v>
      </c>
      <c r="G109">
        <f t="shared" si="15"/>
        <v>-0.55822647000000003</v>
      </c>
      <c r="H109">
        <f t="shared" si="16"/>
        <v>-611.33577909085921</v>
      </c>
      <c r="I109">
        <v>1</v>
      </c>
      <c r="J109">
        <f t="shared" si="17"/>
        <v>9.0881624576792927E-2</v>
      </c>
      <c r="K109">
        <f t="shared" si="18"/>
        <v>-0.66349868177521742</v>
      </c>
      <c r="L109">
        <v>1</v>
      </c>
      <c r="M109">
        <f t="shared" si="19"/>
        <v>0.53432596532985532</v>
      </c>
      <c r="N109">
        <f t="shared" si="20"/>
        <v>8.8706288159999994E-2</v>
      </c>
      <c r="O109">
        <f t="shared" si="21"/>
        <v>2.0862404807999998E-2</v>
      </c>
      <c r="P109">
        <f t="shared" si="22"/>
        <v>1.960402347736211E-2</v>
      </c>
      <c r="V109">
        <v>4.5</v>
      </c>
      <c r="W109">
        <f t="shared" si="24"/>
        <v>-0.74419999999999997</v>
      </c>
    </row>
    <row r="110" spans="1:23" x14ac:dyDescent="0.3">
      <c r="A110" s="5">
        <v>5.5296703999999997</v>
      </c>
      <c r="B110" s="5">
        <v>0.55595446000000004</v>
      </c>
      <c r="C110">
        <f t="shared" si="13"/>
        <v>3.074244921209984</v>
      </c>
      <c r="D110">
        <v>1.6199999999999999E-2</v>
      </c>
      <c r="E110">
        <v>3.81E-3</v>
      </c>
      <c r="F110">
        <f t="shared" si="14"/>
        <v>1105.93408</v>
      </c>
      <c r="G110">
        <f t="shared" si="15"/>
        <v>-0.55595446000000004</v>
      </c>
      <c r="H110">
        <f t="shared" si="16"/>
        <v>-614.84898424199685</v>
      </c>
      <c r="I110">
        <v>1</v>
      </c>
      <c r="J110">
        <f t="shared" si="17"/>
        <v>0.10069029915388117</v>
      </c>
      <c r="K110">
        <f t="shared" si="18"/>
        <v>-0.66577069177521742</v>
      </c>
      <c r="L110">
        <v>1</v>
      </c>
      <c r="M110">
        <f t="shared" si="19"/>
        <v>0.53479285823972478</v>
      </c>
      <c r="N110">
        <f t="shared" si="20"/>
        <v>8.9580660479999991E-2</v>
      </c>
      <c r="O110">
        <f t="shared" si="21"/>
        <v>2.1068044224E-2</v>
      </c>
      <c r="P110">
        <f t="shared" si="22"/>
        <v>2.0329128831492647E-2</v>
      </c>
      <c r="V110">
        <v>4.5999999999999996</v>
      </c>
      <c r="W110">
        <f t="shared" si="24"/>
        <v>-0.74896000000000007</v>
      </c>
    </row>
    <row r="111" spans="1:23" x14ac:dyDescent="0.3">
      <c r="A111" s="5">
        <v>5.5810972000000003</v>
      </c>
      <c r="B111" s="5">
        <v>0.55387330000000001</v>
      </c>
      <c r="C111">
        <f t="shared" si="13"/>
        <v>3.0912207237847604</v>
      </c>
      <c r="D111">
        <v>1.6199999999999999E-2</v>
      </c>
      <c r="E111">
        <v>3.81E-3</v>
      </c>
      <c r="F111">
        <f t="shared" si="14"/>
        <v>1116.2194400000001</v>
      </c>
      <c r="G111">
        <f t="shared" si="15"/>
        <v>-0.55387330000000001</v>
      </c>
      <c r="H111">
        <f t="shared" si="16"/>
        <v>-618.2441447569521</v>
      </c>
      <c r="I111">
        <v>1</v>
      </c>
      <c r="J111">
        <f t="shared" si="17"/>
        <v>0.10994747545418525</v>
      </c>
      <c r="K111">
        <f t="shared" si="18"/>
        <v>-0.66785185177521744</v>
      </c>
      <c r="L111">
        <v>1</v>
      </c>
      <c r="M111">
        <f t="shared" si="19"/>
        <v>0.53523349983161927</v>
      </c>
      <c r="N111">
        <f t="shared" si="20"/>
        <v>9.041377464E-2</v>
      </c>
      <c r="O111">
        <f t="shared" si="21"/>
        <v>2.1263980332000002E-2</v>
      </c>
      <c r="P111">
        <f t="shared" si="22"/>
        <v>2.0940596971598165E-2</v>
      </c>
      <c r="V111">
        <v>4.7</v>
      </c>
      <c r="W111">
        <f t="shared" si="24"/>
        <v>-0.75372000000000006</v>
      </c>
    </row>
    <row r="112" spans="1:23" x14ac:dyDescent="0.3">
      <c r="A112" s="5">
        <v>5.6360888999999998</v>
      </c>
      <c r="B112" s="5">
        <v>0.55186855999999995</v>
      </c>
      <c r="C112">
        <f t="shared" si="13"/>
        <v>3.1103802652749835</v>
      </c>
      <c r="D112">
        <v>1.6199999999999999E-2</v>
      </c>
      <c r="E112">
        <v>3.81E-3</v>
      </c>
      <c r="F112">
        <f t="shared" si="14"/>
        <v>1127.2177799999999</v>
      </c>
      <c r="G112">
        <f t="shared" si="15"/>
        <v>-0.55186855999999995</v>
      </c>
      <c r="H112">
        <f t="shared" si="16"/>
        <v>-622.07605305499669</v>
      </c>
      <c r="I112">
        <v>1</v>
      </c>
      <c r="J112">
        <f t="shared" si="17"/>
        <v>0.11975245507622823</v>
      </c>
      <c r="K112">
        <f t="shared" si="18"/>
        <v>-0.6698565917752175</v>
      </c>
      <c r="L112">
        <v>1</v>
      </c>
      <c r="M112">
        <f t="shared" si="19"/>
        <v>0.5357002168616285</v>
      </c>
      <c r="N112">
        <f t="shared" si="20"/>
        <v>9.1304640179999993E-2</v>
      </c>
      <c r="O112">
        <f t="shared" si="21"/>
        <v>2.1473498708999998E-2</v>
      </c>
      <c r="P112">
        <f t="shared" si="22"/>
        <v>2.1378236024589013E-2</v>
      </c>
      <c r="V112">
        <v>4.8</v>
      </c>
      <c r="W112">
        <f t="shared" si="24"/>
        <v>-0.75848000000000004</v>
      </c>
    </row>
    <row r="113" spans="1:23" x14ac:dyDescent="0.3">
      <c r="A113" s="5">
        <v>5.6870073000000003</v>
      </c>
      <c r="B113" s="5">
        <v>0.54963470000000003</v>
      </c>
      <c r="C113">
        <f t="shared" si="13"/>
        <v>3.1257765512333102</v>
      </c>
      <c r="D113">
        <v>1.6199999999999999E-2</v>
      </c>
      <c r="E113">
        <v>3.81E-3</v>
      </c>
      <c r="F113">
        <f t="shared" si="14"/>
        <v>1137.40146</v>
      </c>
      <c r="G113">
        <f t="shared" si="15"/>
        <v>-0.54963470000000003</v>
      </c>
      <c r="H113">
        <f t="shared" si="16"/>
        <v>-625.155310246662</v>
      </c>
      <c r="I113">
        <v>1</v>
      </c>
      <c r="J113">
        <f t="shared" si="17"/>
        <v>0.12874623951906844</v>
      </c>
      <c r="K113">
        <f t="shared" si="18"/>
        <v>-0.67209045177521742</v>
      </c>
      <c r="L113">
        <v>1</v>
      </c>
      <c r="M113">
        <f t="shared" si="19"/>
        <v>0.53612832100110763</v>
      </c>
      <c r="N113">
        <f t="shared" si="20"/>
        <v>9.2129518260000001E-2</v>
      </c>
      <c r="O113">
        <f t="shared" si="21"/>
        <v>2.1667497813000001E-2</v>
      </c>
      <c r="P113">
        <f t="shared" si="22"/>
        <v>2.2165114701109788E-2</v>
      </c>
      <c r="V113">
        <v>4.9000000000000004</v>
      </c>
      <c r="W113">
        <f t="shared" si="24"/>
        <v>-0.76324000000000003</v>
      </c>
    </row>
    <row r="114" spans="1:23" x14ac:dyDescent="0.3">
      <c r="A114" s="5">
        <v>5.7450546999999998</v>
      </c>
      <c r="B114" s="5">
        <v>0.54734355000000001</v>
      </c>
      <c r="C114">
        <f t="shared" si="13"/>
        <v>3.1445186344421852</v>
      </c>
      <c r="D114">
        <v>1.6199999999999999E-2</v>
      </c>
      <c r="E114">
        <v>3.81E-3</v>
      </c>
      <c r="F114">
        <f t="shared" si="14"/>
        <v>1149.0109399999999</v>
      </c>
      <c r="G114">
        <f t="shared" si="15"/>
        <v>-0.54734355000000001</v>
      </c>
      <c r="H114">
        <f t="shared" si="16"/>
        <v>-628.90372688843706</v>
      </c>
      <c r="I114">
        <v>1</v>
      </c>
      <c r="J114">
        <f t="shared" si="17"/>
        <v>0.13890152014418053</v>
      </c>
      <c r="K114">
        <f t="shared" si="18"/>
        <v>-0.67438160177521744</v>
      </c>
      <c r="L114">
        <v>1</v>
      </c>
      <c r="M114">
        <f t="shared" si="19"/>
        <v>0.53661171235886307</v>
      </c>
      <c r="N114">
        <f t="shared" si="20"/>
        <v>9.3069886139999988E-2</v>
      </c>
      <c r="O114">
        <f t="shared" si="21"/>
        <v>2.1888658406999998E-2</v>
      </c>
      <c r="P114">
        <f t="shared" si="22"/>
        <v>2.2811344869354388E-2</v>
      </c>
      <c r="V114">
        <v>5</v>
      </c>
      <c r="W114">
        <f t="shared" si="24"/>
        <v>-0.76800000000000002</v>
      </c>
    </row>
    <row r="115" spans="1:23" x14ac:dyDescent="0.3">
      <c r="A115" s="5">
        <v>5.7985189999999998</v>
      </c>
      <c r="B115" s="5">
        <v>0.54518604000000004</v>
      </c>
      <c r="C115">
        <f t="shared" si="13"/>
        <v>3.1612716114747599</v>
      </c>
      <c r="D115">
        <v>1.6199999999999999E-2</v>
      </c>
      <c r="E115">
        <v>3.81E-3</v>
      </c>
      <c r="F115">
        <f t="shared" si="14"/>
        <v>1159.7038</v>
      </c>
      <c r="G115">
        <f t="shared" si="15"/>
        <v>-0.54518604000000004</v>
      </c>
      <c r="H115">
        <f t="shared" si="16"/>
        <v>-632.25432229495198</v>
      </c>
      <c r="I115">
        <v>1</v>
      </c>
      <c r="J115">
        <f t="shared" si="17"/>
        <v>0.14816462768464589</v>
      </c>
      <c r="K115">
        <f t="shared" si="18"/>
        <v>-0.67653911177521742</v>
      </c>
      <c r="L115">
        <v>1</v>
      </c>
      <c r="M115">
        <f t="shared" si="19"/>
        <v>0.53705263627778921</v>
      </c>
      <c r="N115">
        <f t="shared" si="20"/>
        <v>9.3936007799999985E-2</v>
      </c>
      <c r="O115">
        <f t="shared" si="21"/>
        <v>2.2092357389999998E-2</v>
      </c>
      <c r="P115">
        <f t="shared" si="22"/>
        <v>2.3458110307428226E-2</v>
      </c>
      <c r="V115">
        <v>5.0999999999999996</v>
      </c>
      <c r="W115">
        <f t="shared" si="24"/>
        <v>-0.77276</v>
      </c>
    </row>
    <row r="116" spans="1:23" x14ac:dyDescent="0.3">
      <c r="A116" s="5">
        <v>5.8489282000000005</v>
      </c>
      <c r="B116" s="5">
        <v>0.54312402000000004</v>
      </c>
      <c r="C116">
        <f t="shared" si="13"/>
        <v>3.1766933966753643</v>
      </c>
      <c r="D116">
        <v>1.6199999999999999E-2</v>
      </c>
      <c r="E116">
        <v>3.81E-3</v>
      </c>
      <c r="F116">
        <f t="shared" si="14"/>
        <v>1169.7856400000001</v>
      </c>
      <c r="G116">
        <f t="shared" si="15"/>
        <v>-0.54312402000000004</v>
      </c>
      <c r="H116">
        <f t="shared" si="16"/>
        <v>-635.33867933507281</v>
      </c>
      <c r="I116">
        <v>1</v>
      </c>
      <c r="J116">
        <f t="shared" si="17"/>
        <v>0.15682051834877536</v>
      </c>
      <c r="K116">
        <f t="shared" si="18"/>
        <v>-0.67860113177521741</v>
      </c>
      <c r="L116">
        <v>1</v>
      </c>
      <c r="M116">
        <f t="shared" si="19"/>
        <v>0.53746465667340171</v>
      </c>
      <c r="N116">
        <f t="shared" si="20"/>
        <v>9.4752636840000001E-2</v>
      </c>
      <c r="O116">
        <f t="shared" si="21"/>
        <v>2.2284416442E-2</v>
      </c>
      <c r="P116">
        <f t="shared" si="22"/>
        <v>2.4099421819815704E-2</v>
      </c>
      <c r="V116">
        <v>5.2</v>
      </c>
      <c r="W116">
        <f t="shared" si="24"/>
        <v>-0.77751999999999999</v>
      </c>
    </row>
    <row r="117" spans="1:23" x14ac:dyDescent="0.3">
      <c r="A117" s="5">
        <v>5.9008646999999996</v>
      </c>
      <c r="B117" s="5">
        <v>0.54111927999999998</v>
      </c>
      <c r="C117">
        <f t="shared" si="13"/>
        <v>3.1930716578414158</v>
      </c>
      <c r="D117">
        <v>1.6199999999999999E-2</v>
      </c>
      <c r="E117">
        <v>3.81E-3</v>
      </c>
      <c r="F117">
        <f t="shared" si="14"/>
        <v>1180.1729399999999</v>
      </c>
      <c r="G117">
        <f t="shared" si="15"/>
        <v>-0.54111927999999998</v>
      </c>
      <c r="H117">
        <f t="shared" si="16"/>
        <v>-638.61433156828321</v>
      </c>
      <c r="I117">
        <v>1</v>
      </c>
      <c r="J117">
        <f t="shared" si="17"/>
        <v>0.16566098706083895</v>
      </c>
      <c r="K117">
        <f t="shared" si="18"/>
        <v>-0.68060587177521747</v>
      </c>
      <c r="L117">
        <v>1</v>
      </c>
      <c r="M117">
        <f t="shared" si="19"/>
        <v>0.53788546298409601</v>
      </c>
      <c r="N117">
        <f t="shared" si="20"/>
        <v>9.5594008139999992E-2</v>
      </c>
      <c r="O117">
        <f t="shared" si="21"/>
        <v>2.2482294506999997E-2</v>
      </c>
      <c r="P117">
        <f t="shared" si="22"/>
        <v>2.4644106144121478E-2</v>
      </c>
      <c r="V117">
        <v>5.3</v>
      </c>
      <c r="W117">
        <f t="shared" si="24"/>
        <v>-0.78228000000000009</v>
      </c>
    </row>
    <row r="118" spans="1:23" x14ac:dyDescent="0.3">
      <c r="A118" s="5">
        <v>5.9517831999999995</v>
      </c>
      <c r="B118" s="5">
        <v>0.53907632999999999</v>
      </c>
      <c r="C118">
        <f t="shared" si="13"/>
        <v>3.2084654444116558</v>
      </c>
      <c r="D118">
        <v>1.6199999999999999E-2</v>
      </c>
      <c r="E118">
        <v>3.81E-3</v>
      </c>
      <c r="F118">
        <f t="shared" si="14"/>
        <v>1190.35664</v>
      </c>
      <c r="G118">
        <f t="shared" si="15"/>
        <v>-0.53907632999999999</v>
      </c>
      <c r="H118">
        <f t="shared" si="16"/>
        <v>-641.69308888233115</v>
      </c>
      <c r="I118">
        <v>1</v>
      </c>
      <c r="J118">
        <f t="shared" si="17"/>
        <v>0.17425295970211099</v>
      </c>
      <c r="K118">
        <f t="shared" si="18"/>
        <v>-0.68264882177521746</v>
      </c>
      <c r="L118">
        <v>1</v>
      </c>
      <c r="M118">
        <f t="shared" si="19"/>
        <v>0.53829444088182055</v>
      </c>
      <c r="N118">
        <f t="shared" si="20"/>
        <v>9.6418887839999981E-2</v>
      </c>
      <c r="O118">
        <f t="shared" si="21"/>
        <v>2.2676293992E-2</v>
      </c>
      <c r="P118">
        <f t="shared" si="22"/>
        <v>2.5259199061396936E-2</v>
      </c>
      <c r="V118">
        <v>5.4</v>
      </c>
      <c r="W118">
        <f t="shared" si="24"/>
        <v>-0.78704000000000007</v>
      </c>
    </row>
    <row r="119" spans="1:23" x14ac:dyDescent="0.3">
      <c r="A119" s="5">
        <v>6.0032109</v>
      </c>
      <c r="B119" s="5">
        <v>0.53682339000000001</v>
      </c>
      <c r="C119">
        <f t="shared" si="13"/>
        <v>3.2226640262229509</v>
      </c>
      <c r="D119">
        <v>1.6199999999999999E-2</v>
      </c>
      <c r="E119">
        <v>3.81E-3</v>
      </c>
      <c r="F119">
        <f t="shared" si="14"/>
        <v>1200.6421800000001</v>
      </c>
      <c r="G119">
        <f t="shared" si="15"/>
        <v>-0.53682339000000001</v>
      </c>
      <c r="H119">
        <f t="shared" si="16"/>
        <v>-644.53280524459024</v>
      </c>
      <c r="I119">
        <v>1</v>
      </c>
      <c r="J119">
        <f t="shared" si="17"/>
        <v>0.18285656365225927</v>
      </c>
      <c r="K119">
        <f t="shared" si="18"/>
        <v>-0.68490176177521744</v>
      </c>
      <c r="L119">
        <v>1</v>
      </c>
      <c r="M119">
        <f t="shared" si="19"/>
        <v>0.53870397242984758</v>
      </c>
      <c r="N119">
        <f t="shared" si="20"/>
        <v>9.7252016579999989E-2</v>
      </c>
      <c r="O119">
        <f t="shared" si="21"/>
        <v>2.2872233528999999E-2</v>
      </c>
      <c r="P119">
        <f t="shared" si="22"/>
        <v>2.6073539236369878E-2</v>
      </c>
      <c r="V119">
        <v>5.5</v>
      </c>
      <c r="W119">
        <f t="shared" si="24"/>
        <v>-0.79180000000000006</v>
      </c>
    </row>
    <row r="120" spans="1:23" x14ac:dyDescent="0.3">
      <c r="A120" s="5">
        <v>6.0546376999999998</v>
      </c>
      <c r="B120" s="5">
        <v>0.53470408999999997</v>
      </c>
      <c r="C120">
        <f t="shared" si="13"/>
        <v>3.2374395416581927</v>
      </c>
      <c r="D120">
        <v>1.6199999999999999E-2</v>
      </c>
      <c r="E120">
        <v>3.81E-3</v>
      </c>
      <c r="F120">
        <f t="shared" si="14"/>
        <v>1210.9275399999999</v>
      </c>
      <c r="G120">
        <f t="shared" si="15"/>
        <v>-0.53470408999999997</v>
      </c>
      <c r="H120">
        <f t="shared" si="16"/>
        <v>-647.48790833163855</v>
      </c>
      <c r="I120">
        <v>1</v>
      </c>
      <c r="J120">
        <f t="shared" si="17"/>
        <v>0.19138662793354555</v>
      </c>
      <c r="K120">
        <f t="shared" si="18"/>
        <v>-0.68702106177521749</v>
      </c>
      <c r="L120">
        <v>1</v>
      </c>
      <c r="M120">
        <f t="shared" si="19"/>
        <v>0.53911000348963678</v>
      </c>
      <c r="N120">
        <f t="shared" si="20"/>
        <v>9.8085130739999984E-2</v>
      </c>
      <c r="O120">
        <f t="shared" si="21"/>
        <v>2.3068169637000001E-2</v>
      </c>
      <c r="P120">
        <f t="shared" si="22"/>
        <v>2.6757757908580725E-2</v>
      </c>
      <c r="V120">
        <v>5.6</v>
      </c>
      <c r="W120">
        <f t="shared" si="24"/>
        <v>-0.79656000000000005</v>
      </c>
    </row>
    <row r="121" spans="1:23" x14ac:dyDescent="0.3">
      <c r="A121" s="5">
        <v>6.1096294000000002</v>
      </c>
      <c r="B121" s="5">
        <v>0.53266113999999998</v>
      </c>
      <c r="C121">
        <f t="shared" si="13"/>
        <v>3.2543621611815161</v>
      </c>
      <c r="D121">
        <v>1.6199999999999999E-2</v>
      </c>
      <c r="E121">
        <v>3.81E-3</v>
      </c>
      <c r="F121">
        <f t="shared" si="14"/>
        <v>1221.92588</v>
      </c>
      <c r="G121">
        <f t="shared" si="15"/>
        <v>-0.53266113999999998</v>
      </c>
      <c r="H121">
        <f t="shared" si="16"/>
        <v>-650.87243223630321</v>
      </c>
      <c r="I121">
        <v>1</v>
      </c>
      <c r="J121">
        <f t="shared" si="17"/>
        <v>0.20042820424535052</v>
      </c>
      <c r="K121">
        <f t="shared" si="18"/>
        <v>-0.68906401177521748</v>
      </c>
      <c r="L121">
        <v>1</v>
      </c>
      <c r="M121">
        <f t="shared" si="19"/>
        <v>0.5395403825220787</v>
      </c>
      <c r="N121">
        <f t="shared" si="20"/>
        <v>9.8975996279999992E-2</v>
      </c>
      <c r="O121">
        <f t="shared" si="21"/>
        <v>2.3277688014E-2</v>
      </c>
      <c r="P121">
        <f t="shared" si="22"/>
        <v>2.7269944959138787E-2</v>
      </c>
      <c r="V121">
        <v>5.7</v>
      </c>
      <c r="W121">
        <f t="shared" si="24"/>
        <v>-0.80132000000000003</v>
      </c>
    </row>
    <row r="122" spans="1:23" x14ac:dyDescent="0.3">
      <c r="A122" s="5">
        <v>6.1625845000000004</v>
      </c>
      <c r="B122" s="5">
        <v>0.53029364000000001</v>
      </c>
      <c r="C122">
        <f t="shared" si="13"/>
        <v>3.2679793663125802</v>
      </c>
      <c r="D122">
        <v>1.6199999999999999E-2</v>
      </c>
      <c r="E122">
        <v>3.81E-3</v>
      </c>
      <c r="F122">
        <f t="shared" si="14"/>
        <v>1232.5169000000001</v>
      </c>
      <c r="G122">
        <f t="shared" si="15"/>
        <v>-0.53029364000000001</v>
      </c>
      <c r="H122">
        <f t="shared" si="16"/>
        <v>-653.59587326251608</v>
      </c>
      <c r="I122">
        <v>1</v>
      </c>
      <c r="J122">
        <f t="shared" si="17"/>
        <v>0.20905833880824562</v>
      </c>
      <c r="K122">
        <f t="shared" si="18"/>
        <v>-0.69143151177521744</v>
      </c>
      <c r="L122">
        <v>1</v>
      </c>
      <c r="M122">
        <f t="shared" si="19"/>
        <v>0.53995117692727257</v>
      </c>
      <c r="N122">
        <f t="shared" si="20"/>
        <v>9.9833868899999997E-2</v>
      </c>
      <c r="O122">
        <f t="shared" si="21"/>
        <v>2.3479446945000003E-2</v>
      </c>
      <c r="P122">
        <f t="shared" si="22"/>
        <v>2.8167019002944875E-2</v>
      </c>
      <c r="V122">
        <v>5.8</v>
      </c>
      <c r="W122">
        <f t="shared" si="24"/>
        <v>-0.80608000000000002</v>
      </c>
    </row>
    <row r="123" spans="1:23" x14ac:dyDescent="0.3">
      <c r="A123" s="5">
        <v>6.2135028999999999</v>
      </c>
      <c r="B123" s="5">
        <v>0.52842252999999995</v>
      </c>
      <c r="C123">
        <f t="shared" si="13"/>
        <v>3.2833549225803367</v>
      </c>
      <c r="D123">
        <v>1.6199999999999999E-2</v>
      </c>
      <c r="E123">
        <v>3.81E-3</v>
      </c>
      <c r="F123">
        <f t="shared" si="14"/>
        <v>1242.7005799999999</v>
      </c>
      <c r="G123">
        <f t="shared" si="15"/>
        <v>-0.52842252999999995</v>
      </c>
      <c r="H123">
        <f t="shared" si="16"/>
        <v>-656.67098451606739</v>
      </c>
      <c r="I123">
        <v>1</v>
      </c>
      <c r="J123">
        <f t="shared" si="17"/>
        <v>0.21728689855538086</v>
      </c>
      <c r="K123">
        <f t="shared" si="18"/>
        <v>-0.69330262177521751</v>
      </c>
      <c r="L123">
        <v>1</v>
      </c>
      <c r="M123">
        <f t="shared" si="19"/>
        <v>0.54034285637123614</v>
      </c>
      <c r="N123">
        <f t="shared" si="20"/>
        <v>0.10065874697999999</v>
      </c>
      <c r="O123">
        <f t="shared" si="21"/>
        <v>2.3673446048999999E-2</v>
      </c>
      <c r="P123">
        <f t="shared" si="22"/>
        <v>2.8627572374981383E-2</v>
      </c>
      <c r="V123">
        <v>5.9</v>
      </c>
      <c r="W123">
        <f t="shared" si="24"/>
        <v>-0.81084000000000001</v>
      </c>
    </row>
    <row r="124" spans="1:23" x14ac:dyDescent="0.3">
      <c r="A124" s="5">
        <v>6.2644213999999998</v>
      </c>
      <c r="B124" s="5">
        <v>0.52657056000000002</v>
      </c>
      <c r="C124">
        <f t="shared" si="13"/>
        <v>3.2986598846739841</v>
      </c>
      <c r="D124">
        <v>1.6199999999999999E-2</v>
      </c>
      <c r="E124">
        <v>3.81E-3</v>
      </c>
      <c r="F124">
        <f t="shared" si="14"/>
        <v>1252.88428</v>
      </c>
      <c r="G124">
        <f t="shared" si="15"/>
        <v>-0.52657056000000002</v>
      </c>
      <c r="H124">
        <f t="shared" si="16"/>
        <v>-659.73197693479676</v>
      </c>
      <c r="I124">
        <v>1</v>
      </c>
      <c r="J124">
        <f t="shared" si="17"/>
        <v>0.22544831729944464</v>
      </c>
      <c r="K124">
        <f t="shared" si="18"/>
        <v>-0.69515459177521743</v>
      </c>
      <c r="L124">
        <v>1</v>
      </c>
      <c r="M124">
        <f t="shared" si="19"/>
        <v>0.54073133990345357</v>
      </c>
      <c r="N124">
        <f t="shared" si="20"/>
        <v>0.10148362667999999</v>
      </c>
      <c r="O124">
        <f t="shared" si="21"/>
        <v>2.3867445533999998E-2</v>
      </c>
      <c r="P124">
        <f t="shared" si="22"/>
        <v>2.9072179657763875E-2</v>
      </c>
      <c r="V124">
        <v>6</v>
      </c>
      <c r="W124">
        <f t="shared" si="24"/>
        <v>-0.8156000000000001</v>
      </c>
    </row>
    <row r="125" spans="1:23" x14ac:dyDescent="0.3">
      <c r="A125" s="5">
        <v>6.3189038000000002</v>
      </c>
      <c r="B125" s="5">
        <v>0.52410758000000002</v>
      </c>
      <c r="C125">
        <f t="shared" si="13"/>
        <v>3.311785378870804</v>
      </c>
      <c r="D125">
        <v>1.6199999999999999E-2</v>
      </c>
      <c r="E125">
        <v>3.81E-3</v>
      </c>
      <c r="F125">
        <f t="shared" si="14"/>
        <v>1263.7807600000001</v>
      </c>
      <c r="G125">
        <f t="shared" si="15"/>
        <v>-0.52410758000000002</v>
      </c>
      <c r="H125">
        <f t="shared" si="16"/>
        <v>-662.35707577416076</v>
      </c>
      <c r="I125">
        <v>1</v>
      </c>
      <c r="J125">
        <f t="shared" si="17"/>
        <v>0.23410783131349611</v>
      </c>
      <c r="K125">
        <f t="shared" si="18"/>
        <v>-0.69761757177521744</v>
      </c>
      <c r="L125">
        <v>1</v>
      </c>
      <c r="M125">
        <f t="shared" si="19"/>
        <v>0.54114353277052241</v>
      </c>
      <c r="N125">
        <f t="shared" si="20"/>
        <v>0.10236624156</v>
      </c>
      <c r="O125">
        <f t="shared" si="21"/>
        <v>2.4075023478000002E-2</v>
      </c>
      <c r="P125">
        <f t="shared" si="22"/>
        <v>3.0032773966695028E-2</v>
      </c>
      <c r="V125">
        <v>6.1</v>
      </c>
      <c r="W125">
        <f t="shared" si="24"/>
        <v>-0.82035999999999998</v>
      </c>
    </row>
    <row r="126" spans="1:23" x14ac:dyDescent="0.3">
      <c r="A126" s="5">
        <v>6.3708403000000002</v>
      </c>
      <c r="B126" s="5">
        <v>0.52206463000000003</v>
      </c>
      <c r="C126">
        <f t="shared" si="13"/>
        <v>3.3259903840085894</v>
      </c>
      <c r="D126">
        <v>1.6199999999999999E-2</v>
      </c>
      <c r="E126">
        <v>3.81E-3</v>
      </c>
      <c r="F126">
        <f t="shared" si="14"/>
        <v>1274.16806</v>
      </c>
      <c r="G126">
        <f t="shared" si="15"/>
        <v>-0.52206463000000003</v>
      </c>
      <c r="H126">
        <f t="shared" si="16"/>
        <v>-665.19807680171789</v>
      </c>
      <c r="I126">
        <v>1</v>
      </c>
      <c r="J126">
        <f t="shared" si="17"/>
        <v>0.24229346367755261</v>
      </c>
      <c r="K126">
        <f t="shared" si="18"/>
        <v>-0.69966052177521743</v>
      </c>
      <c r="L126">
        <v>1</v>
      </c>
      <c r="M126">
        <f t="shared" si="19"/>
        <v>0.54153316887105152</v>
      </c>
      <c r="N126">
        <f t="shared" si="20"/>
        <v>0.10320761285999999</v>
      </c>
      <c r="O126">
        <f t="shared" si="21"/>
        <v>2.4272901543000002E-2</v>
      </c>
      <c r="P126">
        <f t="shared" si="22"/>
        <v>3.0646838501165913E-2</v>
      </c>
      <c r="V126">
        <v>6.2</v>
      </c>
      <c r="W126">
        <f t="shared" si="24"/>
        <v>-0.82512000000000008</v>
      </c>
    </row>
    <row r="127" spans="1:23" x14ac:dyDescent="0.3">
      <c r="A127" s="5">
        <v>6.4232866</v>
      </c>
      <c r="B127" s="5">
        <v>0.52034628000000005</v>
      </c>
      <c r="C127">
        <f t="shared" si="13"/>
        <v>3.3423332876838483</v>
      </c>
      <c r="D127">
        <v>1.6199999999999999E-2</v>
      </c>
      <c r="E127">
        <v>3.81E-3</v>
      </c>
      <c r="F127">
        <f t="shared" si="14"/>
        <v>1284.65732</v>
      </c>
      <c r="G127">
        <f t="shared" si="15"/>
        <v>-0.52034628000000005</v>
      </c>
      <c r="H127">
        <f t="shared" si="16"/>
        <v>-668.46665753676962</v>
      </c>
      <c r="I127">
        <v>1</v>
      </c>
      <c r="J127">
        <f t="shared" si="17"/>
        <v>0.25049200573973601</v>
      </c>
      <c r="K127">
        <f t="shared" si="18"/>
        <v>-0.70137887177521741</v>
      </c>
      <c r="L127">
        <v>1</v>
      </c>
      <c r="M127">
        <f t="shared" si="19"/>
        <v>0.54192341947321143</v>
      </c>
      <c r="N127">
        <f t="shared" si="20"/>
        <v>0.10405724291999999</v>
      </c>
      <c r="O127">
        <f t="shared" si="21"/>
        <v>2.4472721946E-2</v>
      </c>
      <c r="P127">
        <f t="shared" si="22"/>
        <v>3.0925487436005986E-2</v>
      </c>
      <c r="V127">
        <v>6.3</v>
      </c>
      <c r="W127">
        <f t="shared" si="24"/>
        <v>-0.82988000000000006</v>
      </c>
    </row>
    <row r="128" spans="1:23" x14ac:dyDescent="0.3">
      <c r="A128" s="5">
        <v>6.4787881</v>
      </c>
      <c r="B128" s="5">
        <v>0.51807420999999998</v>
      </c>
      <c r="C128">
        <f t="shared" si="13"/>
        <v>3.3564930266649009</v>
      </c>
      <c r="D128">
        <v>1.6199999999999999E-2</v>
      </c>
      <c r="E128">
        <v>3.81E-3</v>
      </c>
      <c r="F128">
        <f t="shared" si="14"/>
        <v>1295.7576200000001</v>
      </c>
      <c r="G128">
        <f t="shared" si="15"/>
        <v>-0.51807420999999998</v>
      </c>
      <c r="H128">
        <f t="shared" si="16"/>
        <v>-671.29860533298017</v>
      </c>
      <c r="I128">
        <v>1</v>
      </c>
      <c r="J128">
        <f t="shared" si="17"/>
        <v>0.25909555883442359</v>
      </c>
      <c r="K128">
        <f t="shared" si="18"/>
        <v>-0.70365094177521748</v>
      </c>
      <c r="L128">
        <v>1</v>
      </c>
      <c r="M128">
        <f t="shared" si="19"/>
        <v>0.54233294860051862</v>
      </c>
      <c r="N128">
        <f t="shared" si="20"/>
        <v>0.10495636722</v>
      </c>
      <c r="O128">
        <f t="shared" si="21"/>
        <v>2.4684182661E-2</v>
      </c>
      <c r="P128">
        <f t="shared" si="22"/>
        <v>3.1677443293698856E-2</v>
      </c>
      <c r="V128">
        <v>6.4</v>
      </c>
      <c r="W128">
        <f t="shared" si="24"/>
        <v>-0.83464000000000005</v>
      </c>
    </row>
    <row r="129" spans="1:23" x14ac:dyDescent="0.3">
      <c r="A129" s="5">
        <v>6.5307246000000001</v>
      </c>
      <c r="B129" s="5">
        <v>0.51597398999999999</v>
      </c>
      <c r="C129">
        <f t="shared" si="13"/>
        <v>3.369684029453154</v>
      </c>
      <c r="D129">
        <v>1.6199999999999999E-2</v>
      </c>
      <c r="E129">
        <v>3.81E-3</v>
      </c>
      <c r="F129">
        <f t="shared" si="14"/>
        <v>1306.14492</v>
      </c>
      <c r="G129">
        <f t="shared" si="15"/>
        <v>-0.51597398999999999</v>
      </c>
      <c r="H129">
        <f t="shared" si="16"/>
        <v>-673.93680589063081</v>
      </c>
      <c r="I129">
        <v>1</v>
      </c>
      <c r="J129">
        <f t="shared" si="17"/>
        <v>0.2670799894760516</v>
      </c>
      <c r="K129">
        <f t="shared" si="18"/>
        <v>-0.70575116177521746</v>
      </c>
      <c r="L129">
        <v>1</v>
      </c>
      <c r="M129">
        <f t="shared" si="19"/>
        <v>0.54271300749906004</v>
      </c>
      <c r="N129">
        <f t="shared" si="20"/>
        <v>0.10579773851999999</v>
      </c>
      <c r="O129">
        <f t="shared" si="21"/>
        <v>2.4882060726000001E-2</v>
      </c>
      <c r="P129">
        <f t="shared" si="22"/>
        <v>3.235835503015743E-2</v>
      </c>
      <c r="V129">
        <v>6.5</v>
      </c>
      <c r="W129">
        <f t="shared" si="24"/>
        <v>-0.83940000000000003</v>
      </c>
    </row>
    <row r="130" spans="1:23" x14ac:dyDescent="0.3">
      <c r="A130" s="5">
        <v>6.5811337999999999</v>
      </c>
      <c r="B130" s="5">
        <v>0.51398832000000005</v>
      </c>
      <c r="C130">
        <f t="shared" si="13"/>
        <v>3.3826259055572163</v>
      </c>
      <c r="D130">
        <v>1.6199999999999999E-2</v>
      </c>
      <c r="E130">
        <v>3.81E-3</v>
      </c>
      <c r="F130">
        <f t="shared" si="14"/>
        <v>1316.22676</v>
      </c>
      <c r="G130">
        <f t="shared" si="15"/>
        <v>-0.51398832000000005</v>
      </c>
      <c r="H130">
        <f t="shared" si="16"/>
        <v>-676.52518111144332</v>
      </c>
      <c r="I130">
        <v>1</v>
      </c>
      <c r="J130">
        <f t="shared" si="17"/>
        <v>0.27476912808985238</v>
      </c>
      <c r="K130">
        <f t="shared" si="18"/>
        <v>-0.7077368317752174</v>
      </c>
      <c r="L130">
        <v>1</v>
      </c>
      <c r="M130">
        <f t="shared" si="19"/>
        <v>0.54307901049707696</v>
      </c>
      <c r="N130">
        <f t="shared" si="20"/>
        <v>0.10661436755999999</v>
      </c>
      <c r="O130">
        <f t="shared" si="21"/>
        <v>2.5074119778E-2</v>
      </c>
      <c r="P130">
        <f t="shared" si="22"/>
        <v>3.2969333940140441E-2</v>
      </c>
      <c r="V130">
        <v>6.6</v>
      </c>
      <c r="W130">
        <f t="shared" si="24"/>
        <v>-0.84416000000000002</v>
      </c>
    </row>
    <row r="131" spans="1:23" x14ac:dyDescent="0.3">
      <c r="A131" s="5">
        <v>6.6330703000000009</v>
      </c>
      <c r="B131" s="5">
        <v>0.51200265</v>
      </c>
      <c r="C131">
        <f t="shared" si="13"/>
        <v>3.3961495712362955</v>
      </c>
      <c r="D131">
        <v>1.6199999999999999E-2</v>
      </c>
      <c r="E131">
        <v>3.81E-3</v>
      </c>
      <c r="F131">
        <f t="shared" si="14"/>
        <v>1326.6140600000001</v>
      </c>
      <c r="G131">
        <f t="shared" si="15"/>
        <v>-0.51200265</v>
      </c>
      <c r="H131">
        <f t="shared" si="16"/>
        <v>-679.2299142472591</v>
      </c>
      <c r="I131">
        <v>1</v>
      </c>
      <c r="J131">
        <f t="shared" si="17"/>
        <v>0.28262987657569349</v>
      </c>
      <c r="K131">
        <f t="shared" si="18"/>
        <v>-0.70972250177521745</v>
      </c>
      <c r="L131">
        <v>1</v>
      </c>
      <c r="M131">
        <f t="shared" si="19"/>
        <v>0.54345318212500304</v>
      </c>
      <c r="N131">
        <f t="shared" si="20"/>
        <v>0.10745573886000001</v>
      </c>
      <c r="O131">
        <f t="shared" si="21"/>
        <v>2.5271997843000004E-2</v>
      </c>
      <c r="P131">
        <f t="shared" si="22"/>
        <v>3.3541582947214391E-2</v>
      </c>
      <c r="V131">
        <v>6.7</v>
      </c>
      <c r="W131">
        <f t="shared" si="24"/>
        <v>-0.84892000000000012</v>
      </c>
    </row>
    <row r="132" spans="1:23" x14ac:dyDescent="0.3">
      <c r="A132" s="5">
        <v>6.6834790000000002</v>
      </c>
      <c r="B132" s="5">
        <v>0.50995975999999998</v>
      </c>
      <c r="C132">
        <f t="shared" ref="C132:C195" si="25">A132*B132</f>
        <v>3.4083053468050402</v>
      </c>
      <c r="D132">
        <v>1.6199999999999999E-2</v>
      </c>
      <c r="E132">
        <v>3.81E-3</v>
      </c>
      <c r="F132">
        <f t="shared" ref="F132:F195" si="26">A132*200</f>
        <v>1336.6958</v>
      </c>
      <c r="G132">
        <f t="shared" ref="G132:G195" si="27">-B132</f>
        <v>-0.50995975999999998</v>
      </c>
      <c r="H132">
        <f t="shared" ref="H132:H195" si="28">-C132*200</f>
        <v>-681.661069361008</v>
      </c>
      <c r="I132">
        <v>1</v>
      </c>
      <c r="J132">
        <f t="shared" ref="J132:J195" si="29">LN(F132/1000)</f>
        <v>0.29020074792407136</v>
      </c>
      <c r="K132">
        <f t="shared" ref="K132:K195" si="30">((-G132)-$N$2)</f>
        <v>-0.71176539177521747</v>
      </c>
      <c r="L132">
        <v>1</v>
      </c>
      <c r="M132">
        <f t="shared" ref="M132:M195" si="31">-1*($S$4+($S$5*J132))</f>
        <v>0.54381355560118583</v>
      </c>
      <c r="N132">
        <f t="shared" ref="N132:N195" si="32">D132*A132</f>
        <v>0.1082723598</v>
      </c>
      <c r="O132">
        <f t="shared" ref="O132:O195" si="33">E132*A132</f>
        <v>2.5464054990000002E-2</v>
      </c>
      <c r="P132">
        <f t="shared" ref="P132:P195" si="34">-K132-M132-N132-O132</f>
        <v>3.421542138403165E-2</v>
      </c>
      <c r="V132">
        <v>6.8</v>
      </c>
      <c r="W132">
        <f t="shared" ref="W132:W163" si="35">V132*$S$5+$S$4</f>
        <v>-0.85367999999999999</v>
      </c>
    </row>
    <row r="133" spans="1:23" x14ac:dyDescent="0.3">
      <c r="A133" s="5">
        <v>6.7364345999999999</v>
      </c>
      <c r="B133" s="5">
        <v>0.50795500999999998</v>
      </c>
      <c r="C133">
        <f t="shared" si="25"/>
        <v>3.4218057046073458</v>
      </c>
      <c r="D133">
        <v>1.6199999999999999E-2</v>
      </c>
      <c r="E133">
        <v>3.81E-3</v>
      </c>
      <c r="F133">
        <f t="shared" si="26"/>
        <v>1347.28692</v>
      </c>
      <c r="G133">
        <f t="shared" si="27"/>
        <v>-0.50795500999999998</v>
      </c>
      <c r="H133">
        <f t="shared" si="28"/>
        <v>-684.3611409214692</v>
      </c>
      <c r="I133">
        <v>1</v>
      </c>
      <c r="J133">
        <f t="shared" si="29"/>
        <v>0.29809288142703916</v>
      </c>
      <c r="K133">
        <f t="shared" si="30"/>
        <v>-0.71377014177521747</v>
      </c>
      <c r="L133">
        <v>1</v>
      </c>
      <c r="M133">
        <f t="shared" si="31"/>
        <v>0.54418922115592705</v>
      </c>
      <c r="N133">
        <f t="shared" si="32"/>
        <v>0.10913024051999999</v>
      </c>
      <c r="O133">
        <f t="shared" si="33"/>
        <v>2.5665815825999999E-2</v>
      </c>
      <c r="P133">
        <f t="shared" si="34"/>
        <v>3.4784864273290431E-2</v>
      </c>
      <c r="V133">
        <v>6.9</v>
      </c>
      <c r="W133">
        <f t="shared" si="35"/>
        <v>-0.85844000000000009</v>
      </c>
    </row>
    <row r="134" spans="1:23" x14ac:dyDescent="0.3">
      <c r="A134" s="5">
        <v>6.7873530000000004</v>
      </c>
      <c r="B134" s="5">
        <v>0.50579750999999995</v>
      </c>
      <c r="C134">
        <f t="shared" si="25"/>
        <v>3.4330262468910298</v>
      </c>
      <c r="D134">
        <v>1.6199999999999999E-2</v>
      </c>
      <c r="E134">
        <v>3.81E-3</v>
      </c>
      <c r="F134">
        <f t="shared" si="26"/>
        <v>1357.4706000000001</v>
      </c>
      <c r="G134">
        <f t="shared" si="27"/>
        <v>-0.50579750999999995</v>
      </c>
      <c r="H134">
        <f t="shared" si="28"/>
        <v>-686.60524937820594</v>
      </c>
      <c r="I134">
        <v>1</v>
      </c>
      <c r="J134">
        <f t="shared" si="29"/>
        <v>0.30562311513286383</v>
      </c>
      <c r="K134">
        <f t="shared" si="30"/>
        <v>-0.7159276417752175</v>
      </c>
      <c r="L134">
        <v>1</v>
      </c>
      <c r="M134">
        <f t="shared" si="31"/>
        <v>0.54454766028032431</v>
      </c>
      <c r="N134">
        <f t="shared" si="32"/>
        <v>0.1099551186</v>
      </c>
      <c r="O134">
        <f t="shared" si="33"/>
        <v>2.5859814930000002E-2</v>
      </c>
      <c r="P134">
        <f t="shared" si="34"/>
        <v>3.5565047964893196E-2</v>
      </c>
      <c r="V134">
        <v>7</v>
      </c>
      <c r="W134">
        <f t="shared" si="35"/>
        <v>-0.86320000000000008</v>
      </c>
    </row>
    <row r="135" spans="1:23" x14ac:dyDescent="0.3">
      <c r="A135" s="5">
        <v>6.8387802999999998</v>
      </c>
      <c r="B135" s="5">
        <v>0.50377362999999997</v>
      </c>
      <c r="C135">
        <f t="shared" si="25"/>
        <v>3.4451971765034886</v>
      </c>
      <c r="D135">
        <v>1.6199999999999999E-2</v>
      </c>
      <c r="E135">
        <v>3.81E-3</v>
      </c>
      <c r="F135">
        <f t="shared" si="26"/>
        <v>1367.7560599999999</v>
      </c>
      <c r="G135">
        <f t="shared" si="27"/>
        <v>-0.50377362999999997</v>
      </c>
      <c r="H135">
        <f t="shared" si="28"/>
        <v>-689.03943530069773</v>
      </c>
      <c r="I135">
        <v>1</v>
      </c>
      <c r="J135">
        <f t="shared" si="29"/>
        <v>0.31317148458623623</v>
      </c>
      <c r="K135">
        <f t="shared" si="30"/>
        <v>-0.71795152177521748</v>
      </c>
      <c r="L135">
        <v>1</v>
      </c>
      <c r="M135">
        <f t="shared" si="31"/>
        <v>0.54490696266630489</v>
      </c>
      <c r="N135">
        <f t="shared" si="32"/>
        <v>0.11078824085999998</v>
      </c>
      <c r="O135">
        <f t="shared" si="33"/>
        <v>2.6055752942999999E-2</v>
      </c>
      <c r="P135">
        <f t="shared" si="34"/>
        <v>3.6200565305912605E-2</v>
      </c>
      <c r="V135">
        <v>7.1</v>
      </c>
      <c r="W135">
        <f t="shared" si="35"/>
        <v>-0.86796000000000006</v>
      </c>
    </row>
    <row r="136" spans="1:23" x14ac:dyDescent="0.3">
      <c r="A136" s="5">
        <v>6.8922446000000006</v>
      </c>
      <c r="B136" s="5">
        <v>0.50184530000000005</v>
      </c>
      <c r="C136">
        <f t="shared" si="25"/>
        <v>3.4588405589603806</v>
      </c>
      <c r="D136">
        <v>1.6199999999999999E-2</v>
      </c>
      <c r="E136">
        <v>3.81E-3</v>
      </c>
      <c r="F136">
        <f t="shared" si="26"/>
        <v>1378.44892</v>
      </c>
      <c r="G136">
        <f t="shared" si="27"/>
        <v>-0.50184530000000005</v>
      </c>
      <c r="H136">
        <f t="shared" si="28"/>
        <v>-691.76811179207607</v>
      </c>
      <c r="I136">
        <v>1</v>
      </c>
      <c r="J136">
        <f t="shared" si="29"/>
        <v>0.32095889602549232</v>
      </c>
      <c r="K136">
        <f t="shared" si="30"/>
        <v>-0.71987985177521741</v>
      </c>
      <c r="L136">
        <v>1</v>
      </c>
      <c r="M136">
        <f t="shared" si="31"/>
        <v>0.54527764345081342</v>
      </c>
      <c r="N136">
        <f t="shared" si="32"/>
        <v>0.11165436252000001</v>
      </c>
      <c r="O136">
        <f t="shared" si="33"/>
        <v>2.6259451926000002E-2</v>
      </c>
      <c r="P136">
        <f t="shared" si="34"/>
        <v>3.6688393878403974E-2</v>
      </c>
      <c r="V136">
        <v>7.2</v>
      </c>
      <c r="W136">
        <f t="shared" si="35"/>
        <v>-0.87272000000000005</v>
      </c>
    </row>
    <row r="137" spans="1:23" x14ac:dyDescent="0.3">
      <c r="A137" s="5">
        <v>6.9446903999999998</v>
      </c>
      <c r="B137" s="5">
        <v>0.49980232000000002</v>
      </c>
      <c r="C137">
        <f t="shared" si="25"/>
        <v>3.4709723736017279</v>
      </c>
      <c r="D137">
        <v>1.6199999999999999E-2</v>
      </c>
      <c r="E137">
        <v>3.81E-3</v>
      </c>
      <c r="F137">
        <f t="shared" si="26"/>
        <v>1388.9380799999999</v>
      </c>
      <c r="G137">
        <f t="shared" si="27"/>
        <v>-0.49980232000000002</v>
      </c>
      <c r="H137">
        <f t="shared" si="28"/>
        <v>-694.19447472034562</v>
      </c>
      <c r="I137">
        <v>1</v>
      </c>
      <c r="J137">
        <f t="shared" si="29"/>
        <v>0.32853948394484767</v>
      </c>
      <c r="K137">
        <f t="shared" si="30"/>
        <v>-0.72192283177521743</v>
      </c>
      <c r="L137">
        <v>1</v>
      </c>
      <c r="M137">
        <f t="shared" si="31"/>
        <v>0.54563847943577481</v>
      </c>
      <c r="N137">
        <f t="shared" si="32"/>
        <v>0.11250398447999999</v>
      </c>
      <c r="O137">
        <f t="shared" si="33"/>
        <v>2.6459270423999998E-2</v>
      </c>
      <c r="P137">
        <f t="shared" si="34"/>
        <v>3.7321097435442638E-2</v>
      </c>
      <c r="V137">
        <v>7.3</v>
      </c>
      <c r="W137">
        <f t="shared" si="35"/>
        <v>-0.87748000000000004</v>
      </c>
    </row>
    <row r="138" spans="1:23" x14ac:dyDescent="0.3">
      <c r="A138" s="5">
        <v>6.9956084000000001</v>
      </c>
      <c r="B138" s="5">
        <v>0.49758755999999998</v>
      </c>
      <c r="C138">
        <f t="shared" si="25"/>
        <v>3.4809277144715041</v>
      </c>
      <c r="D138">
        <v>1.6199999999999999E-2</v>
      </c>
      <c r="E138">
        <v>3.81E-3</v>
      </c>
      <c r="F138">
        <f t="shared" si="26"/>
        <v>1399.12168</v>
      </c>
      <c r="G138">
        <f t="shared" si="27"/>
        <v>-0.49758755999999998</v>
      </c>
      <c r="H138">
        <f t="shared" si="28"/>
        <v>-696.18554289430085</v>
      </c>
      <c r="I138">
        <v>1</v>
      </c>
      <c r="J138">
        <f t="shared" si="29"/>
        <v>0.33584466831283794</v>
      </c>
      <c r="K138">
        <f t="shared" si="30"/>
        <v>-0.72413759177521753</v>
      </c>
      <c r="L138">
        <v>1</v>
      </c>
      <c r="M138">
        <f t="shared" si="31"/>
        <v>0.54598620621169114</v>
      </c>
      <c r="N138">
        <f t="shared" si="32"/>
        <v>0.11332885608</v>
      </c>
      <c r="O138">
        <f t="shared" si="33"/>
        <v>2.6653268003999999E-2</v>
      </c>
      <c r="P138">
        <f t="shared" si="34"/>
        <v>3.8169261479526387E-2</v>
      </c>
      <c r="V138">
        <v>7.4</v>
      </c>
      <c r="W138">
        <f t="shared" si="35"/>
        <v>-0.88224000000000014</v>
      </c>
    </row>
    <row r="139" spans="1:23" x14ac:dyDescent="0.3">
      <c r="A139" s="5">
        <v>7.0460171000000003</v>
      </c>
      <c r="B139" s="5">
        <v>0.49575462999999997</v>
      </c>
      <c r="C139">
        <f t="shared" si="25"/>
        <v>3.4930956003841729</v>
      </c>
      <c r="D139">
        <v>1.6199999999999999E-2</v>
      </c>
      <c r="E139">
        <v>3.81E-3</v>
      </c>
      <c r="F139">
        <f t="shared" si="26"/>
        <v>1409.2034200000001</v>
      </c>
      <c r="G139">
        <f t="shared" si="27"/>
        <v>-0.49575462999999997</v>
      </c>
      <c r="H139">
        <f t="shared" si="28"/>
        <v>-698.61912007683463</v>
      </c>
      <c r="I139">
        <v>1</v>
      </c>
      <c r="J139">
        <f t="shared" si="29"/>
        <v>0.34302459439088512</v>
      </c>
      <c r="K139">
        <f t="shared" si="30"/>
        <v>-0.72597052177521748</v>
      </c>
      <c r="L139">
        <v>1</v>
      </c>
      <c r="M139">
        <f t="shared" si="31"/>
        <v>0.5463279706930062</v>
      </c>
      <c r="N139">
        <f t="shared" si="32"/>
        <v>0.11414547702</v>
      </c>
      <c r="O139">
        <f t="shared" si="33"/>
        <v>2.6845325151E-2</v>
      </c>
      <c r="P139">
        <f t="shared" si="34"/>
        <v>3.865174891121128E-2</v>
      </c>
      <c r="V139">
        <v>7.5</v>
      </c>
      <c r="W139">
        <f t="shared" si="35"/>
        <v>-0.88700000000000001</v>
      </c>
    </row>
    <row r="140" spans="1:23" x14ac:dyDescent="0.3">
      <c r="A140" s="5">
        <v>7.0969354999999998</v>
      </c>
      <c r="B140" s="5">
        <v>0.49378805999999997</v>
      </c>
      <c r="C140">
        <f t="shared" si="25"/>
        <v>3.5043820124901299</v>
      </c>
      <c r="D140">
        <v>1.6199999999999999E-2</v>
      </c>
      <c r="E140">
        <v>3.81E-3</v>
      </c>
      <c r="F140">
        <f t="shared" si="26"/>
        <v>1419.3870999999999</v>
      </c>
      <c r="G140">
        <f t="shared" si="27"/>
        <v>-0.49378805999999997</v>
      </c>
      <c r="H140">
        <f t="shared" si="28"/>
        <v>-700.87640249802598</v>
      </c>
      <c r="I140">
        <v>1</v>
      </c>
      <c r="J140">
        <f t="shared" si="29"/>
        <v>0.35022515872025728</v>
      </c>
      <c r="K140">
        <f t="shared" si="30"/>
        <v>-0.72793709177521748</v>
      </c>
      <c r="L140">
        <v>1</v>
      </c>
      <c r="M140">
        <f t="shared" si="31"/>
        <v>0.54667071755508423</v>
      </c>
      <c r="N140">
        <f t="shared" si="32"/>
        <v>0.11497035509999999</v>
      </c>
      <c r="O140">
        <f t="shared" si="33"/>
        <v>2.7039324255E-2</v>
      </c>
      <c r="P140">
        <f t="shared" si="34"/>
        <v>3.9256694865133265E-2</v>
      </c>
    </row>
    <row r="141" spans="1:23" x14ac:dyDescent="0.3">
      <c r="A141" s="5">
        <v>7.1478549999999998</v>
      </c>
      <c r="B141" s="5">
        <v>0.49189788000000001</v>
      </c>
      <c r="C141">
        <f t="shared" si="25"/>
        <v>3.5160147210474002</v>
      </c>
      <c r="D141">
        <v>1.6199999999999999E-2</v>
      </c>
      <c r="E141">
        <v>3.81E-3</v>
      </c>
      <c r="F141">
        <f t="shared" si="26"/>
        <v>1429.5709999999999</v>
      </c>
      <c r="G141">
        <f t="shared" si="27"/>
        <v>-0.49189788000000001</v>
      </c>
      <c r="H141">
        <f t="shared" si="28"/>
        <v>-703.20294420948005</v>
      </c>
      <c r="I141">
        <v>1</v>
      </c>
      <c r="J141">
        <f t="shared" si="29"/>
        <v>0.35737439926281384</v>
      </c>
      <c r="K141">
        <f t="shared" si="30"/>
        <v>-0.72982727177521745</v>
      </c>
      <c r="L141">
        <v>1</v>
      </c>
      <c r="M141">
        <f t="shared" si="31"/>
        <v>0.54701102140490998</v>
      </c>
      <c r="N141">
        <f t="shared" si="32"/>
        <v>0.11579525099999999</v>
      </c>
      <c r="O141">
        <f t="shared" si="33"/>
        <v>2.7233327549999999E-2</v>
      </c>
      <c r="P141">
        <f t="shared" si="34"/>
        <v>3.9787671820307478E-2</v>
      </c>
    </row>
    <row r="142" spans="1:23" x14ac:dyDescent="0.3">
      <c r="A142" s="5">
        <v>7.2013188000000001</v>
      </c>
      <c r="B142" s="5">
        <v>0.48960673999999998</v>
      </c>
      <c r="C142">
        <f t="shared" si="25"/>
        <v>3.5258142213687118</v>
      </c>
      <c r="D142">
        <v>1.6199999999999999E-2</v>
      </c>
      <c r="E142">
        <v>3.81E-3</v>
      </c>
      <c r="F142">
        <f t="shared" si="26"/>
        <v>1440.26376</v>
      </c>
      <c r="G142">
        <f t="shared" si="27"/>
        <v>-0.48960673999999998</v>
      </c>
      <c r="H142">
        <f t="shared" si="28"/>
        <v>-705.16284427374239</v>
      </c>
      <c r="I142">
        <v>1</v>
      </c>
      <c r="J142">
        <f t="shared" si="29"/>
        <v>0.36482626348161024</v>
      </c>
      <c r="K142">
        <f t="shared" si="30"/>
        <v>-0.73211841177521753</v>
      </c>
      <c r="L142">
        <v>1</v>
      </c>
      <c r="M142">
        <f t="shared" si="31"/>
        <v>0.54736573014172463</v>
      </c>
      <c r="N142">
        <f t="shared" si="32"/>
        <v>0.11666136455999999</v>
      </c>
      <c r="O142">
        <f t="shared" si="33"/>
        <v>2.7437024628E-2</v>
      </c>
      <c r="P142">
        <f t="shared" si="34"/>
        <v>4.0654292445492901E-2</v>
      </c>
    </row>
    <row r="143" spans="1:23" x14ac:dyDescent="0.3">
      <c r="A143" s="5">
        <v>7.2532554000000005</v>
      </c>
      <c r="B143" s="5">
        <v>0.48764016999999998</v>
      </c>
      <c r="C143">
        <f t="shared" si="25"/>
        <v>3.5369786963094181</v>
      </c>
      <c r="D143">
        <v>1.6199999999999999E-2</v>
      </c>
      <c r="E143">
        <v>3.81E-3</v>
      </c>
      <c r="F143">
        <f t="shared" si="26"/>
        <v>1450.6510800000001</v>
      </c>
      <c r="G143">
        <f t="shared" si="27"/>
        <v>-0.48764016999999998</v>
      </c>
      <c r="H143">
        <f t="shared" si="28"/>
        <v>-707.39573926188359</v>
      </c>
      <c r="I143">
        <v>1</v>
      </c>
      <c r="J143">
        <f t="shared" si="29"/>
        <v>0.37201247634251539</v>
      </c>
      <c r="K143">
        <f t="shared" si="30"/>
        <v>-0.73408498177521753</v>
      </c>
      <c r="L143">
        <v>1</v>
      </c>
      <c r="M143">
        <f t="shared" si="31"/>
        <v>0.54770779387390378</v>
      </c>
      <c r="N143">
        <f t="shared" si="32"/>
        <v>0.11750273748000001</v>
      </c>
      <c r="O143">
        <f t="shared" si="33"/>
        <v>2.7634903074000003E-2</v>
      </c>
      <c r="P143">
        <f t="shared" si="34"/>
        <v>4.1239547347313735E-2</v>
      </c>
    </row>
    <row r="144" spans="1:23" x14ac:dyDescent="0.3">
      <c r="A144" s="5">
        <v>7.3046831000000001</v>
      </c>
      <c r="B144" s="5">
        <v>0.48573089000000003</v>
      </c>
      <c r="C144">
        <f t="shared" si="25"/>
        <v>3.5481102233309594</v>
      </c>
      <c r="D144">
        <v>1.6199999999999999E-2</v>
      </c>
      <c r="E144">
        <v>3.81E-3</v>
      </c>
      <c r="F144">
        <f t="shared" si="26"/>
        <v>1460.9366199999999</v>
      </c>
      <c r="G144">
        <f t="shared" si="27"/>
        <v>-0.48573089000000003</v>
      </c>
      <c r="H144">
        <f t="shared" si="28"/>
        <v>-709.62204466619187</v>
      </c>
      <c r="I144">
        <v>1</v>
      </c>
      <c r="J144">
        <f t="shared" si="29"/>
        <v>0.3790777505818469</v>
      </c>
      <c r="K144">
        <f t="shared" si="30"/>
        <v>-0.73599426177521743</v>
      </c>
      <c r="L144">
        <v>1</v>
      </c>
      <c r="M144">
        <f t="shared" si="31"/>
        <v>0.54804410092769595</v>
      </c>
      <c r="N144">
        <f t="shared" si="32"/>
        <v>0.11833586621999999</v>
      </c>
      <c r="O144">
        <f t="shared" si="33"/>
        <v>2.7830842611000002E-2</v>
      </c>
      <c r="P144">
        <f t="shared" si="34"/>
        <v>4.1783452016521484E-2</v>
      </c>
    </row>
    <row r="145" spans="1:16" x14ac:dyDescent="0.3">
      <c r="A145" s="5">
        <v>7.3586567000000001</v>
      </c>
      <c r="B145" s="5">
        <v>0.4835161</v>
      </c>
      <c r="C145">
        <f t="shared" si="25"/>
        <v>3.55802898882287</v>
      </c>
      <c r="D145">
        <v>1.6199999999999999E-2</v>
      </c>
      <c r="E145">
        <v>3.81E-3</v>
      </c>
      <c r="F145">
        <f t="shared" si="26"/>
        <v>1471.73134</v>
      </c>
      <c r="G145">
        <f t="shared" si="27"/>
        <v>-0.4835161</v>
      </c>
      <c r="H145">
        <f t="shared" si="28"/>
        <v>-711.60579776457405</v>
      </c>
      <c r="I145">
        <v>1</v>
      </c>
      <c r="J145">
        <f t="shared" si="29"/>
        <v>0.38643949006209644</v>
      </c>
      <c r="K145">
        <f t="shared" si="30"/>
        <v>-0.73820905177521745</v>
      </c>
      <c r="L145">
        <v>1</v>
      </c>
      <c r="M145">
        <f t="shared" si="31"/>
        <v>0.54839451972695585</v>
      </c>
      <c r="N145">
        <f t="shared" si="32"/>
        <v>0.11921023854</v>
      </c>
      <c r="O145">
        <f t="shared" si="33"/>
        <v>2.8036482027000001E-2</v>
      </c>
      <c r="P145">
        <f t="shared" si="34"/>
        <v>4.2567811481261597E-2</v>
      </c>
    </row>
    <row r="146" spans="1:16" x14ac:dyDescent="0.3">
      <c r="A146" s="5">
        <v>7.4121211000000002</v>
      </c>
      <c r="B146" s="5">
        <v>0.48162590999999999</v>
      </c>
      <c r="C146">
        <f t="shared" si="25"/>
        <v>3.5698695698177012</v>
      </c>
      <c r="D146">
        <v>1.6199999999999999E-2</v>
      </c>
      <c r="E146">
        <v>3.81E-3</v>
      </c>
      <c r="F146">
        <f t="shared" si="26"/>
        <v>1482.4242200000001</v>
      </c>
      <c r="G146">
        <f t="shared" si="27"/>
        <v>-0.48162590999999999</v>
      </c>
      <c r="H146">
        <f t="shared" si="28"/>
        <v>-713.97391396354021</v>
      </c>
      <c r="I146">
        <v>1</v>
      </c>
      <c r="J146">
        <f t="shared" si="29"/>
        <v>0.39367873422575383</v>
      </c>
      <c r="K146">
        <f t="shared" si="30"/>
        <v>-0.74009924177521746</v>
      </c>
      <c r="L146">
        <v>1</v>
      </c>
      <c r="M146">
        <f t="shared" si="31"/>
        <v>0.54873910774914592</v>
      </c>
      <c r="N146">
        <f t="shared" si="32"/>
        <v>0.12007636181999999</v>
      </c>
      <c r="O146">
        <f t="shared" si="33"/>
        <v>2.8240181390999999E-2</v>
      </c>
      <c r="P146">
        <f t="shared" si="34"/>
        <v>4.3043590815071558E-2</v>
      </c>
    </row>
    <row r="147" spans="1:16" x14ac:dyDescent="0.3">
      <c r="A147" s="5">
        <v>7.4671127999999998</v>
      </c>
      <c r="B147" s="5">
        <v>0.47941115000000001</v>
      </c>
      <c r="C147">
        <f t="shared" si="25"/>
        <v>3.5798171346277199</v>
      </c>
      <c r="D147">
        <v>1.6199999999999999E-2</v>
      </c>
      <c r="E147">
        <v>3.81E-3</v>
      </c>
      <c r="F147">
        <f t="shared" si="26"/>
        <v>1493.42256</v>
      </c>
      <c r="G147">
        <f t="shared" si="27"/>
        <v>-0.47941115000000001</v>
      </c>
      <c r="H147">
        <f t="shared" si="28"/>
        <v>-715.96342692554401</v>
      </c>
      <c r="I147">
        <v>1</v>
      </c>
      <c r="J147">
        <f t="shared" si="29"/>
        <v>0.40107050597382393</v>
      </c>
      <c r="K147">
        <f t="shared" si="30"/>
        <v>-0.74231400177521745</v>
      </c>
      <c r="L147">
        <v>1</v>
      </c>
      <c r="M147">
        <f t="shared" si="31"/>
        <v>0.5490909560843541</v>
      </c>
      <c r="N147">
        <f t="shared" si="32"/>
        <v>0.12096722735999998</v>
      </c>
      <c r="O147">
        <f t="shared" si="33"/>
        <v>2.8449699767999999E-2</v>
      </c>
      <c r="P147">
        <f t="shared" si="34"/>
        <v>4.3806118562863365E-2</v>
      </c>
    </row>
    <row r="148" spans="1:16" x14ac:dyDescent="0.3">
      <c r="A148" s="5">
        <v>7.5195576000000006</v>
      </c>
      <c r="B148" s="5">
        <v>0.47748277</v>
      </c>
      <c r="C148">
        <f t="shared" si="25"/>
        <v>3.5904591920225521</v>
      </c>
      <c r="D148">
        <v>1.6199999999999999E-2</v>
      </c>
      <c r="E148">
        <v>3.81E-3</v>
      </c>
      <c r="F148">
        <f t="shared" si="26"/>
        <v>1503.9115200000001</v>
      </c>
      <c r="G148">
        <f t="shared" si="27"/>
        <v>-0.47748277</v>
      </c>
      <c r="H148">
        <f t="shared" si="28"/>
        <v>-718.09183840451044</v>
      </c>
      <c r="I148">
        <v>1</v>
      </c>
      <c r="J148">
        <f t="shared" si="29"/>
        <v>0.40806939400987435</v>
      </c>
      <c r="K148">
        <f t="shared" si="30"/>
        <v>-0.74424238177521751</v>
      </c>
      <c r="L148">
        <v>1</v>
      </c>
      <c r="M148">
        <f t="shared" si="31"/>
        <v>0.54942410315487</v>
      </c>
      <c r="N148">
        <f t="shared" si="32"/>
        <v>0.12181683312000001</v>
      </c>
      <c r="O148">
        <f t="shared" si="33"/>
        <v>2.8649514456000003E-2</v>
      </c>
      <c r="P148">
        <f t="shared" si="34"/>
        <v>4.4351931044347495E-2</v>
      </c>
    </row>
    <row r="149" spans="1:16" x14ac:dyDescent="0.3">
      <c r="A149" s="5">
        <v>7.5709857999999999</v>
      </c>
      <c r="B149" s="5">
        <v>0.47503888999999999</v>
      </c>
      <c r="C149">
        <f t="shared" si="25"/>
        <v>3.5965126906377618</v>
      </c>
      <c r="D149">
        <v>1.6199999999999999E-2</v>
      </c>
      <c r="E149">
        <v>3.81E-3</v>
      </c>
      <c r="F149">
        <f t="shared" si="26"/>
        <v>1514.1971599999999</v>
      </c>
      <c r="G149">
        <f t="shared" si="27"/>
        <v>-0.47503888999999999</v>
      </c>
      <c r="H149">
        <f t="shared" si="28"/>
        <v>-719.30253812755234</v>
      </c>
      <c r="I149">
        <v>1</v>
      </c>
      <c r="J149">
        <f t="shared" si="29"/>
        <v>0.41488537110744739</v>
      </c>
      <c r="K149">
        <f t="shared" si="30"/>
        <v>-0.74668626177521746</v>
      </c>
      <c r="L149">
        <v>1</v>
      </c>
      <c r="M149">
        <f t="shared" si="31"/>
        <v>0.54974854366471448</v>
      </c>
      <c r="N149">
        <f t="shared" si="32"/>
        <v>0.12264996995999999</v>
      </c>
      <c r="O149">
        <f t="shared" si="33"/>
        <v>2.8845455898E-2</v>
      </c>
      <c r="P149">
        <f t="shared" si="34"/>
        <v>4.5442292252502986E-2</v>
      </c>
    </row>
    <row r="150" spans="1:16" x14ac:dyDescent="0.3">
      <c r="A150" s="5">
        <v>7.6224131000000002</v>
      </c>
      <c r="B150" s="5">
        <v>0.47316777999999998</v>
      </c>
      <c r="C150">
        <f t="shared" si="25"/>
        <v>3.6066802847699178</v>
      </c>
      <c r="D150">
        <v>1.6199999999999999E-2</v>
      </c>
      <c r="E150">
        <v>3.81E-3</v>
      </c>
      <c r="F150">
        <f t="shared" si="26"/>
        <v>1524.48262</v>
      </c>
      <c r="G150">
        <f t="shared" si="27"/>
        <v>-0.47316777999999998</v>
      </c>
      <c r="H150">
        <f t="shared" si="28"/>
        <v>-721.33605695398353</v>
      </c>
      <c r="I150">
        <v>1</v>
      </c>
      <c r="J150">
        <f t="shared" si="29"/>
        <v>0.4216550869220197</v>
      </c>
      <c r="K150">
        <f t="shared" si="30"/>
        <v>-0.74855737177521742</v>
      </c>
      <c r="L150">
        <v>1</v>
      </c>
      <c r="M150">
        <f t="shared" si="31"/>
        <v>0.55007078213748817</v>
      </c>
      <c r="N150">
        <f t="shared" si="32"/>
        <v>0.12348309221999999</v>
      </c>
      <c r="O150">
        <f t="shared" si="33"/>
        <v>2.9041393911E-2</v>
      </c>
      <c r="P150">
        <f t="shared" si="34"/>
        <v>4.596210350672926E-2</v>
      </c>
    </row>
    <row r="151" spans="1:16" x14ac:dyDescent="0.3">
      <c r="A151" s="5">
        <v>7.6753677000000007</v>
      </c>
      <c r="B151" s="5">
        <v>0.47118210999999999</v>
      </c>
      <c r="C151">
        <f t="shared" si="25"/>
        <v>3.6164959479118473</v>
      </c>
      <c r="D151">
        <v>1.6199999999999999E-2</v>
      </c>
      <c r="E151">
        <v>3.81E-3</v>
      </c>
      <c r="F151">
        <f t="shared" si="26"/>
        <v>1535.0735400000001</v>
      </c>
      <c r="G151">
        <f t="shared" si="27"/>
        <v>-0.47118210999999999</v>
      </c>
      <c r="H151">
        <f t="shared" si="28"/>
        <v>-723.29918958236942</v>
      </c>
      <c r="I151">
        <v>1</v>
      </c>
      <c r="J151">
        <f t="shared" si="29"/>
        <v>0.42857828868635922</v>
      </c>
      <c r="K151">
        <f t="shared" si="30"/>
        <v>-0.75054304177521747</v>
      </c>
      <c r="L151">
        <v>1</v>
      </c>
      <c r="M151">
        <f t="shared" si="31"/>
        <v>0.55040032654147075</v>
      </c>
      <c r="N151">
        <f t="shared" si="32"/>
        <v>0.12434095674000001</v>
      </c>
      <c r="O151">
        <f t="shared" si="33"/>
        <v>2.9243150937000004E-2</v>
      </c>
      <c r="P151">
        <f t="shared" si="34"/>
        <v>4.6558607556746706E-2</v>
      </c>
    </row>
    <row r="152" spans="1:16" x14ac:dyDescent="0.3">
      <c r="A152" s="5">
        <v>7.7273052</v>
      </c>
      <c r="B152" s="5">
        <v>0.46900553</v>
      </c>
      <c r="C152">
        <f t="shared" si="25"/>
        <v>3.6241488707977561</v>
      </c>
      <c r="D152">
        <v>1.6199999999999999E-2</v>
      </c>
      <c r="E152">
        <v>3.81E-3</v>
      </c>
      <c r="F152">
        <f t="shared" si="26"/>
        <v>1545.4610399999999</v>
      </c>
      <c r="G152">
        <f t="shared" si="27"/>
        <v>-0.46900553</v>
      </c>
      <c r="H152">
        <f t="shared" si="28"/>
        <v>-724.82977415955122</v>
      </c>
      <c r="I152">
        <v>1</v>
      </c>
      <c r="J152">
        <f t="shared" si="29"/>
        <v>0.4353222736019568</v>
      </c>
      <c r="K152">
        <f t="shared" si="30"/>
        <v>-0.75271962177521745</v>
      </c>
      <c r="L152">
        <v>1</v>
      </c>
      <c r="M152">
        <f t="shared" si="31"/>
        <v>0.5507213402234532</v>
      </c>
      <c r="N152">
        <f t="shared" si="32"/>
        <v>0.12518234423999999</v>
      </c>
      <c r="O152">
        <f t="shared" si="33"/>
        <v>2.9441032812000001E-2</v>
      </c>
      <c r="P152">
        <f t="shared" si="34"/>
        <v>4.7374904499764253E-2</v>
      </c>
    </row>
    <row r="153" spans="1:16" x14ac:dyDescent="0.3">
      <c r="A153" s="5">
        <v>7.7777139000000002</v>
      </c>
      <c r="B153" s="5">
        <v>0.46698168000000001</v>
      </c>
      <c r="C153">
        <f t="shared" si="25"/>
        <v>3.6320499035813523</v>
      </c>
      <c r="D153">
        <v>1.6199999999999999E-2</v>
      </c>
      <c r="E153">
        <v>3.81E-3</v>
      </c>
      <c r="F153">
        <f t="shared" si="26"/>
        <v>1555.54278</v>
      </c>
      <c r="G153">
        <f t="shared" si="27"/>
        <v>-0.46698168000000001</v>
      </c>
      <c r="H153">
        <f t="shared" si="28"/>
        <v>-726.40998071627041</v>
      </c>
      <c r="I153">
        <v>1</v>
      </c>
      <c r="J153">
        <f t="shared" si="29"/>
        <v>0.44182453938817062</v>
      </c>
      <c r="K153">
        <f t="shared" si="30"/>
        <v>-0.7547434717752175</v>
      </c>
      <c r="L153">
        <v>1</v>
      </c>
      <c r="M153">
        <f t="shared" si="31"/>
        <v>0.5510308480748769</v>
      </c>
      <c r="N153">
        <f t="shared" si="32"/>
        <v>0.12599896518000001</v>
      </c>
      <c r="O153">
        <f t="shared" si="33"/>
        <v>2.9633089959000002E-2</v>
      </c>
      <c r="P153">
        <f t="shared" si="34"/>
        <v>4.8080568561340589E-2</v>
      </c>
    </row>
    <row r="154" spans="1:16" x14ac:dyDescent="0.3">
      <c r="A154" s="5">
        <v>7.8286323000000007</v>
      </c>
      <c r="B154" s="5">
        <v>0.46543518</v>
      </c>
      <c r="C154">
        <f t="shared" si="25"/>
        <v>3.6437208837043142</v>
      </c>
      <c r="D154">
        <v>1.6199999999999999E-2</v>
      </c>
      <c r="E154">
        <v>3.81E-3</v>
      </c>
      <c r="F154">
        <f t="shared" si="26"/>
        <v>1565.7264600000001</v>
      </c>
      <c r="G154">
        <f t="shared" si="27"/>
        <v>-0.46543518</v>
      </c>
      <c r="H154">
        <f t="shared" si="28"/>
        <v>-728.74417674086283</v>
      </c>
      <c r="I154">
        <v>1</v>
      </c>
      <c r="J154">
        <f t="shared" si="29"/>
        <v>0.44834990798177204</v>
      </c>
      <c r="K154">
        <f t="shared" si="30"/>
        <v>-0.7562899717752174</v>
      </c>
      <c r="L154">
        <v>1</v>
      </c>
      <c r="M154">
        <f t="shared" si="31"/>
        <v>0.55134145561993242</v>
      </c>
      <c r="N154">
        <f t="shared" si="32"/>
        <v>0.12682384326000001</v>
      </c>
      <c r="O154">
        <f t="shared" si="33"/>
        <v>2.9827089063000002E-2</v>
      </c>
      <c r="P154">
        <f t="shared" si="34"/>
        <v>4.8297583832284961E-2</v>
      </c>
    </row>
    <row r="155" spans="1:16" x14ac:dyDescent="0.3">
      <c r="A155" s="5">
        <v>7.8810780999999999</v>
      </c>
      <c r="B155" s="5">
        <v>0.46308674999999999</v>
      </c>
      <c r="C155">
        <f t="shared" si="25"/>
        <v>3.649622843825175</v>
      </c>
      <c r="D155">
        <v>1.6199999999999999E-2</v>
      </c>
      <c r="E155">
        <v>3.81E-3</v>
      </c>
      <c r="F155">
        <f t="shared" si="26"/>
        <v>1576.2156199999999</v>
      </c>
      <c r="G155">
        <f t="shared" si="27"/>
        <v>-0.46308674999999999</v>
      </c>
      <c r="H155">
        <f t="shared" si="28"/>
        <v>-729.92456876503502</v>
      </c>
      <c r="I155">
        <v>1</v>
      </c>
      <c r="J155">
        <f t="shared" si="29"/>
        <v>0.45502679679821917</v>
      </c>
      <c r="K155">
        <f t="shared" si="30"/>
        <v>-0.75863840177521746</v>
      </c>
      <c r="L155">
        <v>1</v>
      </c>
      <c r="M155">
        <f t="shared" si="31"/>
        <v>0.55165927552759531</v>
      </c>
      <c r="N155">
        <f t="shared" si="32"/>
        <v>0.12767346522</v>
      </c>
      <c r="O155">
        <f t="shared" si="33"/>
        <v>3.0026907560999998E-2</v>
      </c>
      <c r="P155">
        <f t="shared" si="34"/>
        <v>4.9278753466622152E-2</v>
      </c>
    </row>
    <row r="156" spans="1:16" x14ac:dyDescent="0.3">
      <c r="A156" s="5">
        <v>7.9355609999999999</v>
      </c>
      <c r="B156" s="5">
        <v>0.46079561000000002</v>
      </c>
      <c r="C156">
        <f t="shared" si="25"/>
        <v>3.6566716716872101</v>
      </c>
      <c r="D156">
        <v>1.6199999999999999E-2</v>
      </c>
      <c r="E156">
        <v>3.81E-3</v>
      </c>
      <c r="F156">
        <f t="shared" si="26"/>
        <v>1587.1122</v>
      </c>
      <c r="G156">
        <f t="shared" si="27"/>
        <v>-0.46079561000000002</v>
      </c>
      <c r="H156">
        <f t="shared" si="28"/>
        <v>-731.33433433744199</v>
      </c>
      <c r="I156">
        <v>1</v>
      </c>
      <c r="J156">
        <f t="shared" si="29"/>
        <v>0.46191613847807711</v>
      </c>
      <c r="K156">
        <f t="shared" si="30"/>
        <v>-0.76092954177521743</v>
      </c>
      <c r="L156">
        <v>1</v>
      </c>
      <c r="M156">
        <f t="shared" si="31"/>
        <v>0.55198720819155644</v>
      </c>
      <c r="N156">
        <f t="shared" si="32"/>
        <v>0.1285560882</v>
      </c>
      <c r="O156">
        <f t="shared" si="33"/>
        <v>3.023448741E-2</v>
      </c>
      <c r="P156">
        <f t="shared" si="34"/>
        <v>5.015175797366099E-2</v>
      </c>
    </row>
    <row r="157" spans="1:16" x14ac:dyDescent="0.3">
      <c r="A157" s="5">
        <v>7.9895342000000005</v>
      </c>
      <c r="B157" s="5">
        <v>0.45898178000000001</v>
      </c>
      <c r="C157">
        <f t="shared" si="25"/>
        <v>3.6670506284868765</v>
      </c>
      <c r="D157">
        <v>1.6199999999999999E-2</v>
      </c>
      <c r="E157">
        <v>3.81E-3</v>
      </c>
      <c r="F157">
        <f t="shared" si="26"/>
        <v>1597.9068400000001</v>
      </c>
      <c r="G157">
        <f t="shared" si="27"/>
        <v>-0.45898178000000001</v>
      </c>
      <c r="H157">
        <f t="shared" si="28"/>
        <v>-733.41012569737529</v>
      </c>
      <c r="I157">
        <v>1</v>
      </c>
      <c r="J157">
        <f t="shared" si="29"/>
        <v>0.46869454777235553</v>
      </c>
      <c r="K157">
        <f t="shared" si="30"/>
        <v>-0.76274337177521745</v>
      </c>
      <c r="L157">
        <v>1</v>
      </c>
      <c r="M157">
        <f t="shared" si="31"/>
        <v>0.55230986047396413</v>
      </c>
      <c r="N157">
        <f t="shared" si="32"/>
        <v>0.12943045404</v>
      </c>
      <c r="O157">
        <f t="shared" si="33"/>
        <v>3.0440125302000003E-2</v>
      </c>
      <c r="P157">
        <f t="shared" si="34"/>
        <v>5.0562931959253307E-2</v>
      </c>
    </row>
    <row r="158" spans="1:16" x14ac:dyDescent="0.3">
      <c r="A158" s="5">
        <v>8.0404520999999995</v>
      </c>
      <c r="B158" s="5">
        <v>0.45644245</v>
      </c>
      <c r="C158">
        <f t="shared" si="25"/>
        <v>3.6700036556316449</v>
      </c>
      <c r="D158">
        <v>1.6199999999999999E-2</v>
      </c>
      <c r="E158">
        <v>3.81E-3</v>
      </c>
      <c r="F158">
        <f t="shared" si="26"/>
        <v>1608.09042</v>
      </c>
      <c r="G158">
        <f t="shared" si="27"/>
        <v>-0.45644245</v>
      </c>
      <c r="H158">
        <f t="shared" si="28"/>
        <v>-734.00073112632901</v>
      </c>
      <c r="I158">
        <v>1</v>
      </c>
      <c r="J158">
        <f t="shared" si="29"/>
        <v>0.47504740051913541</v>
      </c>
      <c r="K158">
        <f t="shared" si="30"/>
        <v>-0.76528270177521751</v>
      </c>
      <c r="L158">
        <v>1</v>
      </c>
      <c r="M158">
        <f t="shared" si="31"/>
        <v>0.55261225626471089</v>
      </c>
      <c r="N158">
        <f t="shared" si="32"/>
        <v>0.13025532401999998</v>
      </c>
      <c r="O158">
        <f t="shared" si="33"/>
        <v>3.0634122500999998E-2</v>
      </c>
      <c r="P158">
        <f t="shared" si="34"/>
        <v>5.1780998989506645E-2</v>
      </c>
    </row>
    <row r="159" spans="1:16" x14ac:dyDescent="0.3">
      <c r="A159" s="5">
        <v>8.092898400000001</v>
      </c>
      <c r="B159" s="5">
        <v>0.45497227000000001</v>
      </c>
      <c r="C159">
        <f t="shared" si="25"/>
        <v>3.6820443559273688</v>
      </c>
      <c r="D159">
        <v>1.6199999999999999E-2</v>
      </c>
      <c r="E159">
        <v>3.81E-3</v>
      </c>
      <c r="F159">
        <f t="shared" si="26"/>
        <v>1618.5796800000003</v>
      </c>
      <c r="G159">
        <f t="shared" si="27"/>
        <v>-0.45497227000000001</v>
      </c>
      <c r="H159">
        <f t="shared" si="28"/>
        <v>-736.4088711854738</v>
      </c>
      <c r="I159">
        <v>1</v>
      </c>
      <c r="J159">
        <f t="shared" si="29"/>
        <v>0.48154902394159838</v>
      </c>
      <c r="K159">
        <f t="shared" si="30"/>
        <v>-0.76675288177521739</v>
      </c>
      <c r="L159">
        <v>1</v>
      </c>
      <c r="M159">
        <f t="shared" si="31"/>
        <v>0.55292173353962015</v>
      </c>
      <c r="N159">
        <f t="shared" si="32"/>
        <v>0.13110495408</v>
      </c>
      <c r="O159">
        <f t="shared" si="33"/>
        <v>3.0833942904000003E-2</v>
      </c>
      <c r="P159">
        <f t="shared" si="34"/>
        <v>5.189225125159723E-2</v>
      </c>
    </row>
    <row r="160" spans="1:16" x14ac:dyDescent="0.3">
      <c r="A160" s="5">
        <v>8.1468721000000013</v>
      </c>
      <c r="B160" s="5">
        <v>0.45245203000000001</v>
      </c>
      <c r="C160">
        <f t="shared" si="25"/>
        <v>3.6860688197953637</v>
      </c>
      <c r="D160">
        <v>1.6199999999999999E-2</v>
      </c>
      <c r="E160">
        <v>3.81E-3</v>
      </c>
      <c r="F160">
        <f t="shared" si="26"/>
        <v>1629.3744200000003</v>
      </c>
      <c r="G160">
        <f t="shared" si="27"/>
        <v>-0.45245203000000001</v>
      </c>
      <c r="H160">
        <f t="shared" si="28"/>
        <v>-737.21376395907271</v>
      </c>
      <c r="I160">
        <v>1</v>
      </c>
      <c r="J160">
        <f t="shared" si="29"/>
        <v>0.48819614974085562</v>
      </c>
      <c r="K160">
        <f t="shared" si="30"/>
        <v>-0.76927312177521745</v>
      </c>
      <c r="L160">
        <v>1</v>
      </c>
      <c r="M160">
        <f t="shared" si="31"/>
        <v>0.55323813672766475</v>
      </c>
      <c r="N160">
        <f t="shared" si="32"/>
        <v>0.13197932802000001</v>
      </c>
      <c r="O160">
        <f t="shared" si="33"/>
        <v>3.1039582701000004E-2</v>
      </c>
      <c r="P160">
        <f t="shared" si="34"/>
        <v>5.3016074326552684E-2</v>
      </c>
    </row>
    <row r="161" spans="1:16" x14ac:dyDescent="0.3">
      <c r="A161" s="5">
        <v>8.1982997999999991</v>
      </c>
      <c r="B161" s="5">
        <v>0.45063819999999999</v>
      </c>
      <c r="C161">
        <f t="shared" si="25"/>
        <v>3.6944670649323594</v>
      </c>
      <c r="D161">
        <v>1.6199999999999999E-2</v>
      </c>
      <c r="E161">
        <v>3.81E-3</v>
      </c>
      <c r="F161">
        <f t="shared" si="26"/>
        <v>1639.6599599999997</v>
      </c>
      <c r="G161">
        <f t="shared" si="27"/>
        <v>-0.45063819999999999</v>
      </c>
      <c r="H161">
        <f t="shared" si="28"/>
        <v>-738.89341298647184</v>
      </c>
      <c r="I161">
        <v>1</v>
      </c>
      <c r="J161">
        <f t="shared" si="29"/>
        <v>0.49448887887447929</v>
      </c>
      <c r="K161">
        <f t="shared" si="30"/>
        <v>-0.77108695177521747</v>
      </c>
      <c r="L161">
        <v>1</v>
      </c>
      <c r="M161">
        <f t="shared" si="31"/>
        <v>0.55353767063442527</v>
      </c>
      <c r="N161">
        <f t="shared" si="32"/>
        <v>0.13281245675999998</v>
      </c>
      <c r="O161">
        <f t="shared" si="33"/>
        <v>3.1235522237999996E-2</v>
      </c>
      <c r="P161">
        <f t="shared" si="34"/>
        <v>5.3501302142792223E-2</v>
      </c>
    </row>
    <row r="162" spans="1:16" x14ac:dyDescent="0.3">
      <c r="A162" s="5">
        <v>8.2512548999999993</v>
      </c>
      <c r="B162" s="5">
        <v>0.44842342000000002</v>
      </c>
      <c r="C162">
        <f t="shared" si="25"/>
        <v>3.700055941549758</v>
      </c>
      <c r="D162">
        <v>1.6199999999999999E-2</v>
      </c>
      <c r="E162">
        <v>3.81E-3</v>
      </c>
      <c r="F162">
        <f t="shared" si="26"/>
        <v>1650.2509799999998</v>
      </c>
      <c r="G162">
        <f t="shared" si="27"/>
        <v>-0.44842342000000002</v>
      </c>
      <c r="H162">
        <f t="shared" si="28"/>
        <v>-740.01118830995165</v>
      </c>
      <c r="I162">
        <v>1</v>
      </c>
      <c r="J162">
        <f t="shared" si="29"/>
        <v>0.50092738543598347</v>
      </c>
      <c r="K162">
        <f t="shared" si="30"/>
        <v>-0.77330173177521744</v>
      </c>
      <c r="L162">
        <v>1</v>
      </c>
      <c r="M162">
        <f t="shared" si="31"/>
        <v>0.55384414354675282</v>
      </c>
      <c r="N162">
        <f t="shared" si="32"/>
        <v>0.13367032937999998</v>
      </c>
      <c r="O162">
        <f t="shared" si="33"/>
        <v>3.1437281168999999E-2</v>
      </c>
      <c r="P162">
        <f t="shared" si="34"/>
        <v>5.4349977679464638E-2</v>
      </c>
    </row>
    <row r="163" spans="1:16" x14ac:dyDescent="0.3">
      <c r="A163" s="5">
        <v>8.3016641</v>
      </c>
      <c r="B163" s="5">
        <v>0.44660961999999998</v>
      </c>
      <c r="C163">
        <f t="shared" si="25"/>
        <v>3.7076030490686418</v>
      </c>
      <c r="D163">
        <v>1.6199999999999999E-2</v>
      </c>
      <c r="E163">
        <v>3.81E-3</v>
      </c>
      <c r="F163">
        <f t="shared" si="26"/>
        <v>1660.3328200000001</v>
      </c>
      <c r="G163">
        <f t="shared" si="27"/>
        <v>-0.44660961999999998</v>
      </c>
      <c r="H163">
        <f t="shared" si="28"/>
        <v>-741.52060981372836</v>
      </c>
      <c r="I163">
        <v>1</v>
      </c>
      <c r="J163">
        <f t="shared" si="29"/>
        <v>0.50701807624812434</v>
      </c>
      <c r="K163">
        <f t="shared" si="30"/>
        <v>-0.77511553177521741</v>
      </c>
      <c r="L163">
        <v>1</v>
      </c>
      <c r="M163">
        <f t="shared" si="31"/>
        <v>0.55413406042941071</v>
      </c>
      <c r="N163">
        <f t="shared" si="32"/>
        <v>0.13448695842</v>
      </c>
      <c r="O163">
        <f t="shared" si="33"/>
        <v>3.1629340221000002E-2</v>
      </c>
      <c r="P163">
        <f t="shared" si="34"/>
        <v>5.4865172704806703E-2</v>
      </c>
    </row>
    <row r="164" spans="1:16" x14ac:dyDescent="0.3">
      <c r="A164" s="5">
        <v>8.3561464999999995</v>
      </c>
      <c r="B164" s="5">
        <v>0.44456667</v>
      </c>
      <c r="C164">
        <f t="shared" si="25"/>
        <v>3.714864223537155</v>
      </c>
      <c r="D164">
        <v>1.6199999999999999E-2</v>
      </c>
      <c r="E164">
        <v>3.81E-3</v>
      </c>
      <c r="F164">
        <f t="shared" si="26"/>
        <v>1671.2293</v>
      </c>
      <c r="G164">
        <f t="shared" si="27"/>
        <v>-0.44456667</v>
      </c>
      <c r="H164">
        <f t="shared" si="28"/>
        <v>-742.97284470743102</v>
      </c>
      <c r="I164">
        <v>1</v>
      </c>
      <c r="J164">
        <f t="shared" si="29"/>
        <v>0.51355946341864089</v>
      </c>
      <c r="K164">
        <f t="shared" si="30"/>
        <v>-0.77715848177521751</v>
      </c>
      <c r="L164">
        <v>1</v>
      </c>
      <c r="M164">
        <f t="shared" si="31"/>
        <v>0.5544454304587273</v>
      </c>
      <c r="N164">
        <f t="shared" si="32"/>
        <v>0.13536957329999999</v>
      </c>
      <c r="O164">
        <f t="shared" si="33"/>
        <v>3.1836918164999999E-2</v>
      </c>
      <c r="P164">
        <f t="shared" si="34"/>
        <v>5.5506559851490229E-2</v>
      </c>
    </row>
    <row r="165" spans="1:16" x14ac:dyDescent="0.3">
      <c r="A165" s="5">
        <v>8.4065557000000002</v>
      </c>
      <c r="B165" s="5">
        <v>0.44218006999999998</v>
      </c>
      <c r="C165">
        <f t="shared" si="25"/>
        <v>3.7172113878848991</v>
      </c>
      <c r="D165">
        <v>1.6199999999999999E-2</v>
      </c>
      <c r="E165">
        <v>3.81E-3</v>
      </c>
      <c r="F165">
        <f t="shared" si="26"/>
        <v>1681.31114</v>
      </c>
      <c r="G165">
        <f t="shared" si="27"/>
        <v>-0.44218006999999998</v>
      </c>
      <c r="H165">
        <f t="shared" si="28"/>
        <v>-743.44227757697979</v>
      </c>
      <c r="I165">
        <v>1</v>
      </c>
      <c r="J165">
        <f t="shared" si="29"/>
        <v>0.51957392950604908</v>
      </c>
      <c r="K165">
        <f t="shared" si="30"/>
        <v>-0.77954508177521742</v>
      </c>
      <c r="L165">
        <v>1</v>
      </c>
      <c r="M165">
        <f t="shared" si="31"/>
        <v>0.55473171904448793</v>
      </c>
      <c r="N165">
        <f t="shared" si="32"/>
        <v>0.13618620234000001</v>
      </c>
      <c r="O165">
        <f t="shared" si="33"/>
        <v>3.2028977217000001E-2</v>
      </c>
      <c r="P165">
        <f t="shared" si="34"/>
        <v>5.6598183173729485E-2</v>
      </c>
    </row>
    <row r="166" spans="1:16" x14ac:dyDescent="0.3">
      <c r="A166" s="5">
        <v>8.4590019999999999</v>
      </c>
      <c r="B166" s="5">
        <v>0.44023259999999997</v>
      </c>
      <c r="C166">
        <f t="shared" si="25"/>
        <v>3.7239284438651996</v>
      </c>
      <c r="D166">
        <v>1.6199999999999999E-2</v>
      </c>
      <c r="E166">
        <v>3.81E-3</v>
      </c>
      <c r="F166">
        <f t="shared" si="26"/>
        <v>1691.8004000000001</v>
      </c>
      <c r="G166">
        <f t="shared" si="27"/>
        <v>-0.44023259999999997</v>
      </c>
      <c r="H166">
        <f t="shared" si="28"/>
        <v>-744.78568877303996</v>
      </c>
      <c r="I166">
        <v>1</v>
      </c>
      <c r="J166">
        <f t="shared" si="29"/>
        <v>0.52579328732231589</v>
      </c>
      <c r="K166">
        <f t="shared" si="30"/>
        <v>-0.78149255177521748</v>
      </c>
      <c r="L166">
        <v>1</v>
      </c>
      <c r="M166">
        <f t="shared" si="31"/>
        <v>0.55502776047654223</v>
      </c>
      <c r="N166">
        <f t="shared" si="32"/>
        <v>0.1370358324</v>
      </c>
      <c r="O166">
        <f t="shared" si="33"/>
        <v>3.2228797619999999E-2</v>
      </c>
      <c r="P166">
        <f t="shared" si="34"/>
        <v>5.7200161278675249E-2</v>
      </c>
    </row>
    <row r="167" spans="1:16" x14ac:dyDescent="0.3">
      <c r="A167" s="5">
        <v>8.5104287000000003</v>
      </c>
      <c r="B167" s="5">
        <v>0.43817054999999999</v>
      </c>
      <c r="C167">
        <f t="shared" si="25"/>
        <v>3.729019224214785</v>
      </c>
      <c r="D167">
        <v>1.6199999999999999E-2</v>
      </c>
      <c r="E167">
        <v>3.81E-3</v>
      </c>
      <c r="F167">
        <f t="shared" si="26"/>
        <v>1702.08574</v>
      </c>
      <c r="G167">
        <f t="shared" si="27"/>
        <v>-0.43817054999999999</v>
      </c>
      <c r="H167">
        <f t="shared" si="28"/>
        <v>-745.80384484295701</v>
      </c>
      <c r="I167">
        <v>1</v>
      </c>
      <c r="J167">
        <f t="shared" si="29"/>
        <v>0.53185440491055502</v>
      </c>
      <c r="K167">
        <f t="shared" si="30"/>
        <v>-0.78355460177521752</v>
      </c>
      <c r="L167">
        <v>1</v>
      </c>
      <c r="M167">
        <f t="shared" si="31"/>
        <v>0.55531626967374248</v>
      </c>
      <c r="N167">
        <f t="shared" si="32"/>
        <v>0.13786894493999999</v>
      </c>
      <c r="O167">
        <f t="shared" si="33"/>
        <v>3.2424733347000002E-2</v>
      </c>
      <c r="P167">
        <f t="shared" si="34"/>
        <v>5.7944653814475049E-2</v>
      </c>
    </row>
    <row r="168" spans="1:16" x14ac:dyDescent="0.3">
      <c r="A168" s="5">
        <v>8.5613486000000005</v>
      </c>
      <c r="B168" s="5">
        <v>0.43599397000000001</v>
      </c>
      <c r="C168">
        <f t="shared" si="25"/>
        <v>3.7326963646679423</v>
      </c>
      <c r="D168">
        <v>1.6199999999999999E-2</v>
      </c>
      <c r="E168">
        <v>3.81E-3</v>
      </c>
      <c r="F168">
        <f t="shared" si="26"/>
        <v>1712.26972</v>
      </c>
      <c r="G168">
        <f t="shared" si="27"/>
        <v>-0.43599397000000001</v>
      </c>
      <c r="H168">
        <f t="shared" si="28"/>
        <v>-746.53927293358845</v>
      </c>
      <c r="I168">
        <v>1</v>
      </c>
      <c r="J168">
        <f t="shared" si="29"/>
        <v>0.53781981203933982</v>
      </c>
      <c r="K168">
        <f t="shared" si="30"/>
        <v>-0.7857311817752175</v>
      </c>
      <c r="L168">
        <v>1</v>
      </c>
      <c r="M168">
        <f t="shared" si="31"/>
        <v>0.55560022305307255</v>
      </c>
      <c r="N168">
        <f t="shared" si="32"/>
        <v>0.13869384732000001</v>
      </c>
      <c r="O168">
        <f t="shared" si="33"/>
        <v>3.2618738166E-2</v>
      </c>
      <c r="P168">
        <f t="shared" si="34"/>
        <v>5.8818373236144944E-2</v>
      </c>
    </row>
    <row r="169" spans="1:16" x14ac:dyDescent="0.3">
      <c r="A169" s="5">
        <v>8.6122655999999989</v>
      </c>
      <c r="B169" s="5">
        <v>0.43419923999999999</v>
      </c>
      <c r="C169">
        <f t="shared" si="25"/>
        <v>3.7394391781981433</v>
      </c>
      <c r="D169">
        <v>1.6199999999999999E-2</v>
      </c>
      <c r="E169">
        <v>3.81E-3</v>
      </c>
      <c r="F169">
        <f t="shared" si="26"/>
        <v>1722.4531199999997</v>
      </c>
      <c r="G169">
        <f t="shared" si="27"/>
        <v>-0.43419923999999999</v>
      </c>
      <c r="H169">
        <f t="shared" si="28"/>
        <v>-747.88783563962863</v>
      </c>
      <c r="I169">
        <v>1</v>
      </c>
      <c r="J169">
        <f t="shared" si="29"/>
        <v>0.54374950727986471</v>
      </c>
      <c r="K169">
        <f t="shared" si="30"/>
        <v>-0.78752591177521747</v>
      </c>
      <c r="L169">
        <v>1</v>
      </c>
      <c r="M169">
        <f t="shared" si="31"/>
        <v>0.55588247654652156</v>
      </c>
      <c r="N169">
        <f t="shared" si="32"/>
        <v>0.13951870271999997</v>
      </c>
      <c r="O169">
        <f t="shared" si="33"/>
        <v>3.2812731935999997E-2</v>
      </c>
      <c r="P169">
        <f t="shared" si="34"/>
        <v>5.9312000572695936E-2</v>
      </c>
    </row>
    <row r="170" spans="1:16" x14ac:dyDescent="0.3">
      <c r="A170" s="5">
        <v>8.6626747999999996</v>
      </c>
      <c r="B170" s="5">
        <v>0.43213721999999999</v>
      </c>
      <c r="C170">
        <f t="shared" si="25"/>
        <v>3.7434642058360557</v>
      </c>
      <c r="D170">
        <v>1.6199999999999999E-2</v>
      </c>
      <c r="E170">
        <v>3.81E-3</v>
      </c>
      <c r="F170">
        <f t="shared" si="26"/>
        <v>1732.53496</v>
      </c>
      <c r="G170">
        <f t="shared" si="27"/>
        <v>-0.43213721999999999</v>
      </c>
      <c r="H170">
        <f t="shared" si="28"/>
        <v>-748.6928411672111</v>
      </c>
      <c r="I170">
        <v>1</v>
      </c>
      <c r="J170">
        <f t="shared" si="29"/>
        <v>0.54958563081050826</v>
      </c>
      <c r="K170">
        <f t="shared" si="30"/>
        <v>-0.78958793177521747</v>
      </c>
      <c r="L170">
        <v>1</v>
      </c>
      <c r="M170">
        <f t="shared" si="31"/>
        <v>0.55616027602658025</v>
      </c>
      <c r="N170">
        <f t="shared" si="32"/>
        <v>0.14033533175999999</v>
      </c>
      <c r="O170">
        <f t="shared" si="33"/>
        <v>3.3004790988E-2</v>
      </c>
      <c r="P170">
        <f t="shared" si="34"/>
        <v>6.0087533000637232E-2</v>
      </c>
    </row>
    <row r="171" spans="1:16" x14ac:dyDescent="0.3">
      <c r="A171" s="5">
        <v>8.7130840000000003</v>
      </c>
      <c r="B171" s="5">
        <v>0.43009427</v>
      </c>
      <c r="C171">
        <f t="shared" si="25"/>
        <v>3.7474475024286802</v>
      </c>
      <c r="D171">
        <v>1.6199999999999999E-2</v>
      </c>
      <c r="E171">
        <v>3.81E-3</v>
      </c>
      <c r="F171">
        <f t="shared" si="26"/>
        <v>1742.6168</v>
      </c>
      <c r="G171">
        <f t="shared" si="27"/>
        <v>-0.43009427</v>
      </c>
      <c r="H171">
        <f t="shared" si="28"/>
        <v>-749.48950048573602</v>
      </c>
      <c r="I171">
        <v>1</v>
      </c>
      <c r="J171">
        <f t="shared" si="29"/>
        <v>0.55538789153524792</v>
      </c>
      <c r="K171">
        <f t="shared" si="30"/>
        <v>-0.79163088177521745</v>
      </c>
      <c r="L171">
        <v>1</v>
      </c>
      <c r="M171">
        <f t="shared" si="31"/>
        <v>0.55643646363707788</v>
      </c>
      <c r="N171">
        <f t="shared" si="32"/>
        <v>0.1411519608</v>
      </c>
      <c r="O171">
        <f t="shared" si="33"/>
        <v>3.3196850040000003E-2</v>
      </c>
      <c r="P171">
        <f t="shared" si="34"/>
        <v>6.0845607298139565E-2</v>
      </c>
    </row>
    <row r="172" spans="1:16" x14ac:dyDescent="0.3">
      <c r="A172" s="5">
        <v>8.7680752000000002</v>
      </c>
      <c r="B172" s="5">
        <v>0.42808953</v>
      </c>
      <c r="C172">
        <f t="shared" si="25"/>
        <v>3.7535211913726561</v>
      </c>
      <c r="D172">
        <v>1.6199999999999999E-2</v>
      </c>
      <c r="E172">
        <v>3.81E-3</v>
      </c>
      <c r="F172">
        <f t="shared" si="26"/>
        <v>1753.6150400000001</v>
      </c>
      <c r="G172">
        <f t="shared" si="27"/>
        <v>-0.42808953</v>
      </c>
      <c r="H172">
        <f t="shared" si="28"/>
        <v>-750.70423827453124</v>
      </c>
      <c r="I172">
        <v>1</v>
      </c>
      <c r="J172">
        <f t="shared" si="29"/>
        <v>0.561679394377116</v>
      </c>
      <c r="K172">
        <f t="shared" si="30"/>
        <v>-0.7936356217752174</v>
      </c>
      <c r="L172">
        <v>1</v>
      </c>
      <c r="M172">
        <f t="shared" si="31"/>
        <v>0.55673593917235076</v>
      </c>
      <c r="N172">
        <f t="shared" si="32"/>
        <v>0.14204281824000001</v>
      </c>
      <c r="O172">
        <f t="shared" si="33"/>
        <v>3.3406366511999998E-2</v>
      </c>
      <c r="P172">
        <f t="shared" si="34"/>
        <v>6.1450497850866641E-2</v>
      </c>
    </row>
    <row r="173" spans="1:16" x14ac:dyDescent="0.3">
      <c r="A173" s="5">
        <v>8.8189951000000004</v>
      </c>
      <c r="B173" s="5">
        <v>0.42579839000000003</v>
      </c>
      <c r="C173">
        <f t="shared" si="25"/>
        <v>3.7551139149978896</v>
      </c>
      <c r="D173">
        <v>1.6199999999999999E-2</v>
      </c>
      <c r="E173">
        <v>3.81E-3</v>
      </c>
      <c r="F173">
        <f t="shared" si="26"/>
        <v>1763.7990200000002</v>
      </c>
      <c r="G173">
        <f t="shared" si="27"/>
        <v>-0.42579839000000003</v>
      </c>
      <c r="H173">
        <f t="shared" si="28"/>
        <v>-751.02278299957788</v>
      </c>
      <c r="I173">
        <v>1</v>
      </c>
      <c r="J173">
        <f t="shared" si="29"/>
        <v>0.56747001685323828</v>
      </c>
      <c r="K173">
        <f t="shared" si="30"/>
        <v>-0.79592676177521748</v>
      </c>
      <c r="L173">
        <v>1</v>
      </c>
      <c r="M173">
        <f t="shared" si="31"/>
        <v>0.55701157280221414</v>
      </c>
      <c r="N173">
        <f t="shared" si="32"/>
        <v>0.14286772062</v>
      </c>
      <c r="O173">
        <f t="shared" si="33"/>
        <v>3.3600371331000002E-2</v>
      </c>
      <c r="P173">
        <f t="shared" si="34"/>
        <v>6.2447097022003344E-2</v>
      </c>
    </row>
    <row r="174" spans="1:16" x14ac:dyDescent="0.3">
      <c r="A174" s="5">
        <v>8.8699130999999998</v>
      </c>
      <c r="B174" s="5">
        <v>0.42388910000000002</v>
      </c>
      <c r="C174">
        <f t="shared" si="25"/>
        <v>3.7598594810372101</v>
      </c>
      <c r="D174">
        <v>1.6199999999999999E-2</v>
      </c>
      <c r="E174">
        <v>3.81E-3</v>
      </c>
      <c r="F174">
        <f t="shared" si="26"/>
        <v>1773.98262</v>
      </c>
      <c r="G174">
        <f t="shared" si="27"/>
        <v>-0.42388910000000002</v>
      </c>
      <c r="H174">
        <f t="shared" si="28"/>
        <v>-751.971896207442</v>
      </c>
      <c r="I174">
        <v>1</v>
      </c>
      <c r="J174">
        <f t="shared" si="29"/>
        <v>0.57322708677062495</v>
      </c>
      <c r="K174">
        <f t="shared" si="30"/>
        <v>-0.79783605177521744</v>
      </c>
      <c r="L174">
        <v>1</v>
      </c>
      <c r="M174">
        <f t="shared" si="31"/>
        <v>0.55728560933028182</v>
      </c>
      <c r="N174">
        <f t="shared" si="32"/>
        <v>0.14369259222</v>
      </c>
      <c r="O174">
        <f t="shared" si="33"/>
        <v>3.3794368910999996E-2</v>
      </c>
      <c r="P174">
        <f t="shared" si="34"/>
        <v>6.3063481313935632E-2</v>
      </c>
    </row>
    <row r="175" spans="1:16" x14ac:dyDescent="0.3">
      <c r="A175" s="5">
        <v>8.9213398000000002</v>
      </c>
      <c r="B175" s="5">
        <v>0.42176979999999997</v>
      </c>
      <c r="C175">
        <f t="shared" si="25"/>
        <v>3.76275170317804</v>
      </c>
      <c r="D175">
        <v>1.6199999999999999E-2</v>
      </c>
      <c r="E175">
        <v>3.81E-3</v>
      </c>
      <c r="F175">
        <f t="shared" si="26"/>
        <v>1784.2679600000001</v>
      </c>
      <c r="G175">
        <f t="shared" si="27"/>
        <v>-0.42176979999999997</v>
      </c>
      <c r="H175">
        <f t="shared" si="28"/>
        <v>-752.55034063560799</v>
      </c>
      <c r="I175">
        <v>1</v>
      </c>
      <c r="J175">
        <f t="shared" si="29"/>
        <v>0.57900822467237978</v>
      </c>
      <c r="K175">
        <f t="shared" si="30"/>
        <v>-0.79995535177521748</v>
      </c>
      <c r="L175">
        <v>1</v>
      </c>
      <c r="M175">
        <f t="shared" si="31"/>
        <v>0.55756079149440529</v>
      </c>
      <c r="N175">
        <f t="shared" si="32"/>
        <v>0.14452570475999998</v>
      </c>
      <c r="O175">
        <f t="shared" si="33"/>
        <v>3.3990304637999999E-2</v>
      </c>
      <c r="P175">
        <f t="shared" si="34"/>
        <v>6.3878550882812205E-2</v>
      </c>
    </row>
    <row r="176" spans="1:16" x14ac:dyDescent="0.3">
      <c r="A176" s="5">
        <v>8.9737860999999999</v>
      </c>
      <c r="B176" s="5">
        <v>0.41970777999999997</v>
      </c>
      <c r="C176">
        <f t="shared" si="25"/>
        <v>3.7663678422258577</v>
      </c>
      <c r="D176">
        <v>1.6199999999999999E-2</v>
      </c>
      <c r="E176">
        <v>3.81E-3</v>
      </c>
      <c r="F176">
        <f t="shared" si="26"/>
        <v>1794.75722</v>
      </c>
      <c r="G176">
        <f t="shared" si="27"/>
        <v>-0.41970777999999997</v>
      </c>
      <c r="H176">
        <f t="shared" si="28"/>
        <v>-753.27356844517158</v>
      </c>
      <c r="I176">
        <v>1</v>
      </c>
      <c r="J176">
        <f t="shared" si="29"/>
        <v>0.58486975931077101</v>
      </c>
      <c r="K176">
        <f t="shared" si="30"/>
        <v>-0.80201737177521748</v>
      </c>
      <c r="L176">
        <v>1</v>
      </c>
      <c r="M176">
        <f t="shared" si="31"/>
        <v>0.55783980054319271</v>
      </c>
      <c r="N176">
        <f t="shared" si="32"/>
        <v>0.14537533481999998</v>
      </c>
      <c r="O176">
        <f t="shared" si="33"/>
        <v>3.4190125040999997E-2</v>
      </c>
      <c r="P176">
        <f t="shared" si="34"/>
        <v>6.4612111371024794E-2</v>
      </c>
    </row>
    <row r="177" spans="1:16" x14ac:dyDescent="0.3">
      <c r="A177" s="5">
        <v>9.024704100000001</v>
      </c>
      <c r="B177" s="5">
        <v>0.41743571000000002</v>
      </c>
      <c r="C177">
        <f t="shared" si="25"/>
        <v>3.7672337635234117</v>
      </c>
      <c r="D177">
        <v>1.6199999999999999E-2</v>
      </c>
      <c r="E177">
        <v>3.81E-3</v>
      </c>
      <c r="F177">
        <f t="shared" si="26"/>
        <v>1804.9408200000003</v>
      </c>
      <c r="G177">
        <f t="shared" si="27"/>
        <v>-0.41743571000000002</v>
      </c>
      <c r="H177">
        <f t="shared" si="28"/>
        <v>-753.44675270468235</v>
      </c>
      <c r="I177">
        <v>1</v>
      </c>
      <c r="J177">
        <f t="shared" si="29"/>
        <v>0.59052780454374765</v>
      </c>
      <c r="K177">
        <f t="shared" si="30"/>
        <v>-0.80428944177521744</v>
      </c>
      <c r="L177">
        <v>1</v>
      </c>
      <c r="M177">
        <f t="shared" si="31"/>
        <v>0.55810912349628239</v>
      </c>
      <c r="N177">
        <f t="shared" si="32"/>
        <v>0.14620020642000001</v>
      </c>
      <c r="O177">
        <f t="shared" si="33"/>
        <v>3.4384122621000004E-2</v>
      </c>
      <c r="P177">
        <f t="shared" si="34"/>
        <v>6.559598923793504E-2</v>
      </c>
    </row>
    <row r="178" spans="1:16" x14ac:dyDescent="0.3">
      <c r="A178" s="5">
        <v>9.0751132999999999</v>
      </c>
      <c r="B178" s="5">
        <v>0.41516366999999998</v>
      </c>
      <c r="C178">
        <f t="shared" si="25"/>
        <v>3.767657343293811</v>
      </c>
      <c r="D178">
        <v>1.6199999999999999E-2</v>
      </c>
      <c r="E178">
        <v>3.81E-3</v>
      </c>
      <c r="F178">
        <f t="shared" si="26"/>
        <v>1815.0226600000001</v>
      </c>
      <c r="G178">
        <f t="shared" si="27"/>
        <v>-0.41516366999999998</v>
      </c>
      <c r="H178">
        <f t="shared" si="28"/>
        <v>-753.53146865876215</v>
      </c>
      <c r="I178">
        <v>1</v>
      </c>
      <c r="J178">
        <f t="shared" si="29"/>
        <v>0.59609795248736397</v>
      </c>
      <c r="K178">
        <f t="shared" si="30"/>
        <v>-0.80656148177521747</v>
      </c>
      <c r="L178">
        <v>1</v>
      </c>
      <c r="M178">
        <f t="shared" si="31"/>
        <v>0.5583742625383985</v>
      </c>
      <c r="N178">
        <f t="shared" si="32"/>
        <v>0.14701683545999999</v>
      </c>
      <c r="O178">
        <f t="shared" si="33"/>
        <v>3.4576181673E-2</v>
      </c>
      <c r="P178">
        <f t="shared" si="34"/>
        <v>6.6594202103818972E-2</v>
      </c>
    </row>
    <row r="179" spans="1:16" x14ac:dyDescent="0.3">
      <c r="A179" s="5">
        <v>9.1285770999999993</v>
      </c>
      <c r="B179" s="5">
        <v>0.41333076000000002</v>
      </c>
      <c r="C179">
        <f t="shared" si="25"/>
        <v>3.7731217104615959</v>
      </c>
      <c r="D179">
        <v>1.6199999999999999E-2</v>
      </c>
      <c r="E179">
        <v>3.81E-3</v>
      </c>
      <c r="F179">
        <f t="shared" si="26"/>
        <v>1825.7154199999998</v>
      </c>
      <c r="G179">
        <f t="shared" si="27"/>
        <v>-0.41333076000000002</v>
      </c>
      <c r="H179">
        <f t="shared" si="28"/>
        <v>-754.62434209231924</v>
      </c>
      <c r="I179">
        <v>1</v>
      </c>
      <c r="J179">
        <f t="shared" si="29"/>
        <v>0.60197192117713749</v>
      </c>
      <c r="K179">
        <f t="shared" si="30"/>
        <v>-0.80839439177521744</v>
      </c>
      <c r="L179">
        <v>1</v>
      </c>
      <c r="M179">
        <f t="shared" si="31"/>
        <v>0.55865386344803181</v>
      </c>
      <c r="N179">
        <f t="shared" si="32"/>
        <v>0.14788294901999999</v>
      </c>
      <c r="O179">
        <f t="shared" si="33"/>
        <v>3.4779878750999998E-2</v>
      </c>
      <c r="P179">
        <f t="shared" si="34"/>
        <v>6.7077700556185643E-2</v>
      </c>
    </row>
    <row r="180" spans="1:16" x14ac:dyDescent="0.3">
      <c r="A180" s="5">
        <v>9.1794960999999997</v>
      </c>
      <c r="B180" s="5">
        <v>0.41138327000000002</v>
      </c>
      <c r="C180">
        <f t="shared" si="25"/>
        <v>3.7762911225702469</v>
      </c>
      <c r="D180">
        <v>1.6199999999999999E-2</v>
      </c>
      <c r="E180">
        <v>3.81E-3</v>
      </c>
      <c r="F180">
        <f t="shared" si="26"/>
        <v>1835.89922</v>
      </c>
      <c r="G180">
        <f t="shared" si="27"/>
        <v>-0.41138327000000002</v>
      </c>
      <c r="H180">
        <f t="shared" si="28"/>
        <v>-755.2582245140494</v>
      </c>
      <c r="I180">
        <v>1</v>
      </c>
      <c r="J180">
        <f t="shared" si="29"/>
        <v>0.60753439962419076</v>
      </c>
      <c r="K180">
        <f t="shared" si="30"/>
        <v>-0.81034188177521749</v>
      </c>
      <c r="L180">
        <v>1</v>
      </c>
      <c r="M180">
        <f t="shared" si="31"/>
        <v>0.55891863742211156</v>
      </c>
      <c r="N180">
        <f t="shared" si="32"/>
        <v>0.14870783681999999</v>
      </c>
      <c r="O180">
        <f t="shared" si="33"/>
        <v>3.4973880141000002E-2</v>
      </c>
      <c r="P180">
        <f t="shared" si="34"/>
        <v>6.7741527392105927E-2</v>
      </c>
    </row>
    <row r="181" spans="1:16" x14ac:dyDescent="0.3">
      <c r="A181" s="5">
        <v>9.2309238000000011</v>
      </c>
      <c r="B181" s="5">
        <v>0.40903485000000001</v>
      </c>
      <c r="C181">
        <f t="shared" si="25"/>
        <v>3.7757695318944307</v>
      </c>
      <c r="D181">
        <v>1.6199999999999999E-2</v>
      </c>
      <c r="E181">
        <v>3.81E-3</v>
      </c>
      <c r="F181">
        <f t="shared" si="26"/>
        <v>1846.1847600000003</v>
      </c>
      <c r="G181">
        <f t="shared" si="27"/>
        <v>-0.40903485000000001</v>
      </c>
      <c r="H181">
        <f t="shared" si="28"/>
        <v>-755.15390637888618</v>
      </c>
      <c r="I181">
        <v>1</v>
      </c>
      <c r="J181">
        <f t="shared" si="29"/>
        <v>0.61312121774621309</v>
      </c>
      <c r="K181">
        <f t="shared" si="30"/>
        <v>-0.81269030177521739</v>
      </c>
      <c r="L181">
        <v>1</v>
      </c>
      <c r="M181">
        <f t="shared" si="31"/>
        <v>0.55918456996471977</v>
      </c>
      <c r="N181">
        <f t="shared" si="32"/>
        <v>0.14954096556000002</v>
      </c>
      <c r="O181">
        <f t="shared" si="33"/>
        <v>3.5169819678000001E-2</v>
      </c>
      <c r="P181">
        <f t="shared" si="34"/>
        <v>6.8794946572497601E-2</v>
      </c>
    </row>
    <row r="182" spans="1:16" x14ac:dyDescent="0.3">
      <c r="A182" s="5">
        <v>9.2864247999999989</v>
      </c>
      <c r="B182" s="5">
        <v>0.40703011</v>
      </c>
      <c r="C182">
        <f t="shared" si="25"/>
        <v>3.7798545078507275</v>
      </c>
      <c r="D182">
        <v>1.6199999999999999E-2</v>
      </c>
      <c r="E182">
        <v>3.81E-3</v>
      </c>
      <c r="F182">
        <f t="shared" si="26"/>
        <v>1857.2849599999997</v>
      </c>
      <c r="G182">
        <f t="shared" si="27"/>
        <v>-0.40703011</v>
      </c>
      <c r="H182">
        <f t="shared" si="28"/>
        <v>-755.97090157014554</v>
      </c>
      <c r="I182">
        <v>1</v>
      </c>
      <c r="J182">
        <f t="shared" si="29"/>
        <v>0.61911572240202972</v>
      </c>
      <c r="K182">
        <f t="shared" si="30"/>
        <v>-0.81469504177521745</v>
      </c>
      <c r="L182">
        <v>1</v>
      </c>
      <c r="M182">
        <f t="shared" si="31"/>
        <v>0.55946990838633659</v>
      </c>
      <c r="N182">
        <f t="shared" si="32"/>
        <v>0.15044008175999998</v>
      </c>
      <c r="O182">
        <f t="shared" si="33"/>
        <v>3.5381278487999997E-2</v>
      </c>
      <c r="P182">
        <f t="shared" si="34"/>
        <v>6.9403773140880892E-2</v>
      </c>
    </row>
    <row r="183" spans="1:16" x14ac:dyDescent="0.3">
      <c r="A183" s="5">
        <v>9.3398895999999993</v>
      </c>
      <c r="B183" s="5">
        <v>0.40471985999999999</v>
      </c>
      <c r="C183">
        <f t="shared" si="25"/>
        <v>3.7800388113274557</v>
      </c>
      <c r="D183">
        <v>1.6199999999999999E-2</v>
      </c>
      <c r="E183">
        <v>3.81E-3</v>
      </c>
      <c r="F183">
        <f t="shared" si="26"/>
        <v>1867.9779199999998</v>
      </c>
      <c r="G183">
        <f t="shared" si="27"/>
        <v>-0.40471985999999999</v>
      </c>
      <c r="H183">
        <f t="shared" si="28"/>
        <v>-756.00776226549112</v>
      </c>
      <c r="I183">
        <v>1</v>
      </c>
      <c r="J183">
        <f t="shared" si="29"/>
        <v>0.62485651960831279</v>
      </c>
      <c r="K183">
        <f t="shared" si="30"/>
        <v>-0.81700529177521752</v>
      </c>
      <c r="L183">
        <v>1</v>
      </c>
      <c r="M183">
        <f t="shared" si="31"/>
        <v>0.55974317033335574</v>
      </c>
      <c r="N183">
        <f t="shared" si="32"/>
        <v>0.15130621151999998</v>
      </c>
      <c r="O183">
        <f t="shared" si="33"/>
        <v>3.5584979375999998E-2</v>
      </c>
      <c r="P183">
        <f t="shared" si="34"/>
        <v>7.0370930545861798E-2</v>
      </c>
    </row>
    <row r="184" spans="1:16" x14ac:dyDescent="0.3">
      <c r="A184" s="5">
        <v>9.3908076000000005</v>
      </c>
      <c r="B184" s="5">
        <v>0.40265783999999999</v>
      </c>
      <c r="C184">
        <f t="shared" si="25"/>
        <v>3.7812823040715839</v>
      </c>
      <c r="D184">
        <v>1.6199999999999999E-2</v>
      </c>
      <c r="E184">
        <v>3.81E-3</v>
      </c>
      <c r="F184">
        <f t="shared" si="26"/>
        <v>1878.1615200000001</v>
      </c>
      <c r="G184">
        <f t="shared" si="27"/>
        <v>-0.40265783999999999</v>
      </c>
      <c r="H184">
        <f t="shared" si="28"/>
        <v>-756.25646081431682</v>
      </c>
      <c r="I184">
        <v>1</v>
      </c>
      <c r="J184">
        <f t="shared" si="29"/>
        <v>0.63029338347751007</v>
      </c>
      <c r="K184">
        <f t="shared" si="30"/>
        <v>-0.81906731177521741</v>
      </c>
      <c r="L184">
        <v>1</v>
      </c>
      <c r="M184">
        <f t="shared" si="31"/>
        <v>0.5600019650535295</v>
      </c>
      <c r="N184">
        <f t="shared" si="32"/>
        <v>0.15213108312000001</v>
      </c>
      <c r="O184">
        <f t="shared" si="33"/>
        <v>3.5778976956000005E-2</v>
      </c>
      <c r="P184">
        <f t="shared" si="34"/>
        <v>7.115528664568789E-2</v>
      </c>
    </row>
    <row r="185" spans="1:16" x14ac:dyDescent="0.3">
      <c r="A185" s="5">
        <v>9.4412167999999994</v>
      </c>
      <c r="B185" s="5">
        <v>0.40065308999999999</v>
      </c>
      <c r="C185">
        <f t="shared" si="25"/>
        <v>3.7826526842799115</v>
      </c>
      <c r="D185">
        <v>1.6199999999999999E-2</v>
      </c>
      <c r="E185">
        <v>3.81E-3</v>
      </c>
      <c r="F185">
        <f t="shared" si="26"/>
        <v>1888.2433599999999</v>
      </c>
      <c r="G185">
        <f t="shared" si="27"/>
        <v>-0.40065308999999999</v>
      </c>
      <c r="H185">
        <f t="shared" si="28"/>
        <v>-756.53053685598229</v>
      </c>
      <c r="I185">
        <v>1</v>
      </c>
      <c r="J185">
        <f t="shared" si="29"/>
        <v>0.63564695772172097</v>
      </c>
      <c r="K185">
        <f t="shared" si="30"/>
        <v>-0.82107206177521741</v>
      </c>
      <c r="L185">
        <v>1</v>
      </c>
      <c r="M185">
        <f t="shared" si="31"/>
        <v>0.56025679518755389</v>
      </c>
      <c r="N185">
        <f t="shared" si="32"/>
        <v>0.15294771215999997</v>
      </c>
      <c r="O185">
        <f t="shared" si="33"/>
        <v>3.5971036008000001E-2</v>
      </c>
      <c r="P185">
        <f t="shared" si="34"/>
        <v>7.1896518419663547E-2</v>
      </c>
    </row>
    <row r="186" spans="1:16" x14ac:dyDescent="0.3">
      <c r="A186" s="5">
        <v>9.4931532999999995</v>
      </c>
      <c r="B186" s="5">
        <v>0.39845741000000001</v>
      </c>
      <c r="C186">
        <f t="shared" si="25"/>
        <v>3.7826172766509529</v>
      </c>
      <c r="D186">
        <v>1.6199999999999999E-2</v>
      </c>
      <c r="E186">
        <v>3.81E-3</v>
      </c>
      <c r="F186">
        <f t="shared" si="26"/>
        <v>1898.6306599999998</v>
      </c>
      <c r="G186">
        <f t="shared" si="27"/>
        <v>-0.39845741000000001</v>
      </c>
      <c r="H186">
        <f t="shared" si="28"/>
        <v>-756.52345533019059</v>
      </c>
      <c r="I186">
        <v>1</v>
      </c>
      <c r="J186">
        <f t="shared" si="29"/>
        <v>0.64113292107634912</v>
      </c>
      <c r="K186">
        <f t="shared" si="30"/>
        <v>-0.82326774177521744</v>
      </c>
      <c r="L186">
        <v>1</v>
      </c>
      <c r="M186">
        <f t="shared" si="31"/>
        <v>0.56051792704323422</v>
      </c>
      <c r="N186">
        <f t="shared" si="32"/>
        <v>0.15378908345999998</v>
      </c>
      <c r="O186">
        <f t="shared" si="33"/>
        <v>3.6168914072999998E-2</v>
      </c>
      <c r="P186">
        <f t="shared" si="34"/>
        <v>7.2791817198983255E-2</v>
      </c>
    </row>
    <row r="187" spans="1:16" x14ac:dyDescent="0.3">
      <c r="A187" s="5">
        <v>9.5435625000000002</v>
      </c>
      <c r="B187" s="5">
        <v>0.39612808999999999</v>
      </c>
      <c r="C187">
        <f t="shared" si="25"/>
        <v>3.7804731849206248</v>
      </c>
      <c r="D187">
        <v>1.6199999999999999E-2</v>
      </c>
      <c r="E187">
        <v>3.81E-3</v>
      </c>
      <c r="F187">
        <f t="shared" si="26"/>
        <v>1908.7125000000001</v>
      </c>
      <c r="G187">
        <f t="shared" si="27"/>
        <v>-0.39612808999999999</v>
      </c>
      <c r="H187">
        <f t="shared" si="28"/>
        <v>-756.09463698412492</v>
      </c>
      <c r="I187">
        <v>1</v>
      </c>
      <c r="J187">
        <f t="shared" si="29"/>
        <v>0.64642893099229037</v>
      </c>
      <c r="K187">
        <f t="shared" si="30"/>
        <v>-0.82559706177521752</v>
      </c>
      <c r="L187">
        <v>1</v>
      </c>
      <c r="M187">
        <f t="shared" si="31"/>
        <v>0.560770017115233</v>
      </c>
      <c r="N187">
        <f t="shared" si="32"/>
        <v>0.15460571249999999</v>
      </c>
      <c r="O187">
        <f t="shared" si="33"/>
        <v>3.6360973125000001E-2</v>
      </c>
      <c r="P187">
        <f t="shared" si="34"/>
        <v>7.386035903498453E-2</v>
      </c>
    </row>
    <row r="188" spans="1:16" x14ac:dyDescent="0.3">
      <c r="A188" s="5">
        <v>9.5939716999999991</v>
      </c>
      <c r="B188" s="5">
        <v>0.39398968000000001</v>
      </c>
      <c r="C188">
        <f t="shared" si="25"/>
        <v>3.7799258400120559</v>
      </c>
      <c r="D188">
        <v>1.6199999999999999E-2</v>
      </c>
      <c r="E188">
        <v>3.81E-3</v>
      </c>
      <c r="F188">
        <f t="shared" si="26"/>
        <v>1918.7943399999999</v>
      </c>
      <c r="G188">
        <f t="shared" si="27"/>
        <v>-0.39398968000000001</v>
      </c>
      <c r="H188">
        <f t="shared" si="28"/>
        <v>-755.98516800241123</v>
      </c>
      <c r="I188">
        <v>1</v>
      </c>
      <c r="J188">
        <f t="shared" si="29"/>
        <v>0.65169704088115432</v>
      </c>
      <c r="K188">
        <f t="shared" si="30"/>
        <v>-0.82773547177521745</v>
      </c>
      <c r="L188">
        <v>1</v>
      </c>
      <c r="M188">
        <f t="shared" si="31"/>
        <v>0.56102077914594295</v>
      </c>
      <c r="N188">
        <f t="shared" si="32"/>
        <v>0.15542234153999998</v>
      </c>
      <c r="O188">
        <f t="shared" si="33"/>
        <v>3.6553032176999997E-2</v>
      </c>
      <c r="P188">
        <f t="shared" si="34"/>
        <v>7.4739318912274519E-2</v>
      </c>
    </row>
    <row r="189" spans="1:16" x14ac:dyDescent="0.3">
      <c r="A189" s="5">
        <v>9.6459082000000009</v>
      </c>
      <c r="B189" s="5">
        <v>0.39202312</v>
      </c>
      <c r="C189">
        <f t="shared" si="25"/>
        <v>3.7814190277975843</v>
      </c>
      <c r="D189">
        <v>1.6199999999999999E-2</v>
      </c>
      <c r="E189">
        <v>3.81E-3</v>
      </c>
      <c r="F189">
        <f t="shared" si="26"/>
        <v>1929.1816400000002</v>
      </c>
      <c r="G189">
        <f t="shared" si="27"/>
        <v>-0.39202312</v>
      </c>
      <c r="H189">
        <f t="shared" si="28"/>
        <v>-756.28380555951685</v>
      </c>
      <c r="I189">
        <v>1</v>
      </c>
      <c r="J189">
        <f t="shared" si="29"/>
        <v>0.65709589226919773</v>
      </c>
      <c r="K189">
        <f t="shared" si="30"/>
        <v>-0.82970203177521751</v>
      </c>
      <c r="L189">
        <v>1</v>
      </c>
      <c r="M189">
        <f t="shared" si="31"/>
        <v>0.56127776447201383</v>
      </c>
      <c r="N189">
        <f t="shared" si="32"/>
        <v>0.15626371284000001</v>
      </c>
      <c r="O189">
        <f t="shared" si="33"/>
        <v>3.6750910242000001E-2</v>
      </c>
      <c r="P189">
        <f t="shared" si="34"/>
        <v>7.5409644221203664E-2</v>
      </c>
    </row>
    <row r="190" spans="1:16" x14ac:dyDescent="0.3">
      <c r="A190" s="5">
        <v>9.697844700000001</v>
      </c>
      <c r="B190" s="5">
        <v>0.38992289000000002</v>
      </c>
      <c r="C190">
        <f t="shared" si="25"/>
        <v>3.7814116321951836</v>
      </c>
      <c r="D190">
        <v>1.6199999999999999E-2</v>
      </c>
      <c r="E190">
        <v>3.81E-3</v>
      </c>
      <c r="F190">
        <f t="shared" si="26"/>
        <v>1939.5689400000001</v>
      </c>
      <c r="G190">
        <f t="shared" si="27"/>
        <v>-0.38992289000000002</v>
      </c>
      <c r="H190">
        <f t="shared" si="28"/>
        <v>-756.28232643903675</v>
      </c>
      <c r="I190">
        <v>1</v>
      </c>
      <c r="J190">
        <f t="shared" si="29"/>
        <v>0.66246575250978712</v>
      </c>
      <c r="K190">
        <f t="shared" si="30"/>
        <v>-0.83180226177521743</v>
      </c>
      <c r="L190">
        <v>1</v>
      </c>
      <c r="M190">
        <f t="shared" si="31"/>
        <v>0.56153336981946589</v>
      </c>
      <c r="N190">
        <f t="shared" si="32"/>
        <v>0.15710508414000002</v>
      </c>
      <c r="O190">
        <f t="shared" si="33"/>
        <v>3.6948788307000005E-2</v>
      </c>
      <c r="P190">
        <f t="shared" si="34"/>
        <v>7.6215019508751522E-2</v>
      </c>
    </row>
    <row r="191" spans="1:16" x14ac:dyDescent="0.3">
      <c r="A191" s="5">
        <v>9.7502899999999997</v>
      </c>
      <c r="B191" s="5">
        <v>0.38747901000000001</v>
      </c>
      <c r="C191">
        <f t="shared" si="25"/>
        <v>3.7780327164129002</v>
      </c>
      <c r="D191">
        <v>1.6199999999999999E-2</v>
      </c>
      <c r="E191">
        <v>3.81E-3</v>
      </c>
      <c r="F191">
        <f t="shared" si="26"/>
        <v>1950.058</v>
      </c>
      <c r="G191">
        <f t="shared" si="27"/>
        <v>-0.38747901000000001</v>
      </c>
      <c r="H191">
        <f t="shared" si="28"/>
        <v>-755.60654328257999</v>
      </c>
      <c r="I191">
        <v>1</v>
      </c>
      <c r="J191">
        <f t="shared" si="29"/>
        <v>0.66785911572306722</v>
      </c>
      <c r="K191">
        <f t="shared" si="30"/>
        <v>-0.83424614177521739</v>
      </c>
      <c r="L191">
        <v>1</v>
      </c>
      <c r="M191">
        <f t="shared" si="31"/>
        <v>0.56179009390841805</v>
      </c>
      <c r="N191">
        <f t="shared" si="32"/>
        <v>0.15795469799999998</v>
      </c>
      <c r="O191">
        <f t="shared" si="33"/>
        <v>3.71486049E-2</v>
      </c>
      <c r="P191">
        <f t="shared" si="34"/>
        <v>7.7352744966799364E-2</v>
      </c>
    </row>
    <row r="192" spans="1:16" x14ac:dyDescent="0.3">
      <c r="A192" s="5">
        <v>9.8012090000000001</v>
      </c>
      <c r="B192" s="5">
        <v>0.38553154000000001</v>
      </c>
      <c r="C192">
        <f t="shared" si="25"/>
        <v>3.7786751996318602</v>
      </c>
      <c r="D192">
        <v>1.6199999999999999E-2</v>
      </c>
      <c r="E192">
        <v>3.81E-3</v>
      </c>
      <c r="F192">
        <f t="shared" si="26"/>
        <v>1960.2418</v>
      </c>
      <c r="G192">
        <f t="shared" si="27"/>
        <v>-0.38553154000000001</v>
      </c>
      <c r="H192">
        <f t="shared" si="28"/>
        <v>-755.735039926372</v>
      </c>
      <c r="I192">
        <v>1</v>
      </c>
      <c r="J192">
        <f t="shared" si="29"/>
        <v>0.67306783298023931</v>
      </c>
      <c r="K192">
        <f t="shared" si="30"/>
        <v>-0.83619361177521745</v>
      </c>
      <c r="L192">
        <v>1</v>
      </c>
      <c r="M192">
        <f t="shared" si="31"/>
        <v>0.56203802884985943</v>
      </c>
      <c r="N192">
        <f t="shared" si="32"/>
        <v>0.15877958579999998</v>
      </c>
      <c r="O192">
        <f t="shared" si="33"/>
        <v>3.7342606290000004E-2</v>
      </c>
      <c r="P192">
        <f t="shared" si="34"/>
        <v>7.8033390835358041E-2</v>
      </c>
    </row>
    <row r="193" spans="1:16" x14ac:dyDescent="0.3">
      <c r="A193" s="5">
        <v>9.8526366999999997</v>
      </c>
      <c r="B193" s="5">
        <v>0.38366043999999999</v>
      </c>
      <c r="C193">
        <f t="shared" si="25"/>
        <v>3.780066931482148</v>
      </c>
      <c r="D193">
        <v>1.6199999999999999E-2</v>
      </c>
      <c r="E193">
        <v>3.81E-3</v>
      </c>
      <c r="F193">
        <f t="shared" si="26"/>
        <v>1970.5273399999999</v>
      </c>
      <c r="G193">
        <f t="shared" si="27"/>
        <v>-0.38366043999999999</v>
      </c>
      <c r="H193">
        <f t="shared" si="28"/>
        <v>-756.01338629642964</v>
      </c>
      <c r="I193">
        <v>1</v>
      </c>
      <c r="J193">
        <f t="shared" si="29"/>
        <v>0.67830119220777296</v>
      </c>
      <c r="K193">
        <f t="shared" si="30"/>
        <v>-0.83806471177521746</v>
      </c>
      <c r="L193">
        <v>1</v>
      </c>
      <c r="M193">
        <f t="shared" si="31"/>
        <v>0.56228713674909003</v>
      </c>
      <c r="N193">
        <f t="shared" si="32"/>
        <v>0.15961271453999998</v>
      </c>
      <c r="O193">
        <f t="shared" si="33"/>
        <v>3.7538545826999996E-2</v>
      </c>
      <c r="P193">
        <f t="shared" si="34"/>
        <v>7.862631465912745E-2</v>
      </c>
    </row>
    <row r="194" spans="1:16" x14ac:dyDescent="0.3">
      <c r="A194" s="5">
        <v>9.9045731999999997</v>
      </c>
      <c r="B194" s="5">
        <v>0.38135022000000002</v>
      </c>
      <c r="C194">
        <f t="shared" si="25"/>
        <v>3.7771111688261039</v>
      </c>
      <c r="D194">
        <v>1.6199999999999999E-2</v>
      </c>
      <c r="E194">
        <v>3.81E-3</v>
      </c>
      <c r="F194">
        <f t="shared" si="26"/>
        <v>1980.91464</v>
      </c>
      <c r="G194">
        <f t="shared" si="27"/>
        <v>-0.38135022000000002</v>
      </c>
      <c r="H194">
        <f t="shared" si="28"/>
        <v>-755.42223376522077</v>
      </c>
      <c r="I194">
        <v>1</v>
      </c>
      <c r="J194">
        <f t="shared" si="29"/>
        <v>0.68355867743922749</v>
      </c>
      <c r="K194">
        <f t="shared" si="30"/>
        <v>-0.84037493177521738</v>
      </c>
      <c r="L194">
        <v>1</v>
      </c>
      <c r="M194">
        <f t="shared" si="31"/>
        <v>0.56253739304610728</v>
      </c>
      <c r="N194">
        <f t="shared" si="32"/>
        <v>0.16045408583999998</v>
      </c>
      <c r="O194">
        <f t="shared" si="33"/>
        <v>3.7736423892E-2</v>
      </c>
      <c r="P194">
        <f t="shared" si="34"/>
        <v>7.9647028997110125E-2</v>
      </c>
    </row>
    <row r="195" spans="1:16" x14ac:dyDescent="0.3">
      <c r="A195" s="5">
        <v>9.9565097999999992</v>
      </c>
      <c r="B195" s="5">
        <v>0.37930726999999997</v>
      </c>
      <c r="C195">
        <f t="shared" si="25"/>
        <v>3.7765765509662454</v>
      </c>
      <c r="D195">
        <v>1.6199999999999999E-2</v>
      </c>
      <c r="E195">
        <v>3.81E-3</v>
      </c>
      <c r="F195">
        <f t="shared" si="26"/>
        <v>1991.3019599999998</v>
      </c>
      <c r="G195">
        <f t="shared" si="27"/>
        <v>-0.37930726999999997</v>
      </c>
      <c r="H195">
        <f t="shared" si="28"/>
        <v>-755.31531019324905</v>
      </c>
      <c r="I195">
        <v>1</v>
      </c>
      <c r="J195">
        <f t="shared" si="29"/>
        <v>0.68878867606363292</v>
      </c>
      <c r="K195">
        <f t="shared" si="30"/>
        <v>-0.84241788177521748</v>
      </c>
      <c r="L195">
        <v>1</v>
      </c>
      <c r="M195">
        <f t="shared" si="31"/>
        <v>0.56278634098062896</v>
      </c>
      <c r="N195">
        <f t="shared" si="32"/>
        <v>0.16129545875999998</v>
      </c>
      <c r="O195">
        <f t="shared" si="33"/>
        <v>3.7934302337999999E-2</v>
      </c>
      <c r="P195">
        <f t="shared" si="34"/>
        <v>8.0401779696588543E-2</v>
      </c>
    </row>
    <row r="196" spans="1:16" x14ac:dyDescent="0.3">
      <c r="A196" s="5">
        <v>10.007938000000001</v>
      </c>
      <c r="B196" s="5">
        <v>0.37703523</v>
      </c>
      <c r="C196">
        <f t="shared" ref="C196:C259" si="36">A196*B196</f>
        <v>3.7733452056557404</v>
      </c>
      <c r="D196">
        <v>1.6199999999999999E-2</v>
      </c>
      <c r="E196">
        <v>3.81E-3</v>
      </c>
      <c r="F196">
        <f t="shared" ref="F196:F259" si="37">A196*200</f>
        <v>2001.5876000000003</v>
      </c>
      <c r="G196">
        <f t="shared" ref="G196:G259" si="38">-B196</f>
        <v>-0.37703523</v>
      </c>
      <c r="H196">
        <f t="shared" ref="H196:H259" si="39">-C196*200</f>
        <v>-754.66904113114811</v>
      </c>
      <c r="I196">
        <v>1</v>
      </c>
      <c r="J196">
        <f t="shared" ref="J196:J259" si="40">LN(F196/1000)</f>
        <v>0.69394066566735546</v>
      </c>
      <c r="K196">
        <f t="shared" ref="K196:K259" si="41">((-G196)-$N$2)</f>
        <v>-0.84468992177521751</v>
      </c>
      <c r="L196">
        <v>1</v>
      </c>
      <c r="M196">
        <f t="shared" ref="M196:M259" si="42">-1*($S$4+($S$5*J196))</f>
        <v>0.56303157568576612</v>
      </c>
      <c r="N196">
        <f t="shared" ref="N196:N259" si="43">D196*A196</f>
        <v>0.16212859560000001</v>
      </c>
      <c r="O196">
        <f t="shared" ref="O196:O259" si="44">E196*A196</f>
        <v>3.8130243780000003E-2</v>
      </c>
      <c r="P196">
        <f t="shared" ref="P196:P259" si="45">-K196-M196-N196-O196</f>
        <v>8.1399506709451383E-2</v>
      </c>
    </row>
    <row r="197" spans="1:16" x14ac:dyDescent="0.3">
      <c r="A197" s="5">
        <v>10.060383</v>
      </c>
      <c r="B197" s="5">
        <v>0.37472497999999999</v>
      </c>
      <c r="C197">
        <f t="shared" si="36"/>
        <v>3.7698768184673397</v>
      </c>
      <c r="D197">
        <v>1.6199999999999999E-2</v>
      </c>
      <c r="E197">
        <v>3.81E-3</v>
      </c>
      <c r="F197">
        <f t="shared" si="37"/>
        <v>2012.0765999999999</v>
      </c>
      <c r="G197">
        <f t="shared" si="38"/>
        <v>-0.37472497999999999</v>
      </c>
      <c r="H197">
        <f t="shared" si="39"/>
        <v>-753.9753636934679</v>
      </c>
      <c r="I197">
        <v>1</v>
      </c>
      <c r="J197">
        <f t="shared" si="40"/>
        <v>0.69916732308336538</v>
      </c>
      <c r="K197">
        <f t="shared" si="41"/>
        <v>-0.84700017177521747</v>
      </c>
      <c r="L197">
        <v>1</v>
      </c>
      <c r="M197">
        <f t="shared" si="42"/>
        <v>0.56328036457876818</v>
      </c>
      <c r="N197">
        <f t="shared" si="43"/>
        <v>0.16297820459999998</v>
      </c>
      <c r="O197">
        <f t="shared" si="44"/>
        <v>3.8330059229999998E-2</v>
      </c>
      <c r="P197">
        <f t="shared" si="45"/>
        <v>8.2411543366449319E-2</v>
      </c>
    </row>
    <row r="198" spans="1:16" x14ac:dyDescent="0.3">
      <c r="A198" s="5">
        <v>10.113339</v>
      </c>
      <c r="B198" s="5">
        <v>0.37260567999999999</v>
      </c>
      <c r="C198">
        <f t="shared" si="36"/>
        <v>3.7682875551655197</v>
      </c>
      <c r="D198">
        <v>1.6199999999999999E-2</v>
      </c>
      <c r="E198">
        <v>3.81E-3</v>
      </c>
      <c r="F198">
        <f t="shared" si="37"/>
        <v>2022.6677999999999</v>
      </c>
      <c r="G198">
        <f t="shared" si="38"/>
        <v>-0.37260567999999999</v>
      </c>
      <c r="H198">
        <f t="shared" si="39"/>
        <v>-753.6575110331039</v>
      </c>
      <c r="I198">
        <v>1</v>
      </c>
      <c r="J198">
        <f t="shared" si="40"/>
        <v>0.704417333134433</v>
      </c>
      <c r="K198">
        <f t="shared" si="41"/>
        <v>-0.84911947177521752</v>
      </c>
      <c r="L198">
        <v>1</v>
      </c>
      <c r="M198">
        <f t="shared" si="42"/>
        <v>0.56353026505719905</v>
      </c>
      <c r="N198">
        <f t="shared" si="43"/>
        <v>0.1638360918</v>
      </c>
      <c r="O198">
        <f t="shared" si="44"/>
        <v>3.8531821590000001E-2</v>
      </c>
      <c r="P198">
        <f t="shared" si="45"/>
        <v>8.3221293328018461E-2</v>
      </c>
    </row>
    <row r="199" spans="1:16" x14ac:dyDescent="0.3">
      <c r="A199" s="5">
        <v>10.164256999999999</v>
      </c>
      <c r="B199" s="5">
        <v>0.37039088999999997</v>
      </c>
      <c r="C199">
        <f t="shared" si="36"/>
        <v>3.7647481964187293</v>
      </c>
      <c r="D199">
        <v>1.6199999999999999E-2</v>
      </c>
      <c r="E199">
        <v>3.81E-3</v>
      </c>
      <c r="F199">
        <f t="shared" si="37"/>
        <v>2032.8513999999998</v>
      </c>
      <c r="G199">
        <f t="shared" si="38"/>
        <v>-0.37039088999999997</v>
      </c>
      <c r="H199">
        <f t="shared" si="39"/>
        <v>-752.94963928374591</v>
      </c>
      <c r="I199">
        <v>1</v>
      </c>
      <c r="J199">
        <f t="shared" si="40"/>
        <v>0.70943943802488874</v>
      </c>
      <c r="K199">
        <f t="shared" si="41"/>
        <v>-0.85133426177521754</v>
      </c>
      <c r="L199">
        <v>1</v>
      </c>
      <c r="M199">
        <f t="shared" si="42"/>
        <v>0.56376931724998469</v>
      </c>
      <c r="N199">
        <f t="shared" si="43"/>
        <v>0.16466096339999997</v>
      </c>
      <c r="O199">
        <f t="shared" si="44"/>
        <v>3.8725819169999995E-2</v>
      </c>
      <c r="P199">
        <f t="shared" si="45"/>
        <v>8.417816195523288E-2</v>
      </c>
    </row>
    <row r="200" spans="1:16" x14ac:dyDescent="0.3">
      <c r="A200" s="5">
        <v>10.214665</v>
      </c>
      <c r="B200" s="5">
        <v>0.36823340999999998</v>
      </c>
      <c r="C200">
        <f t="shared" si="36"/>
        <v>3.76138092495765</v>
      </c>
      <c r="D200">
        <v>1.6199999999999999E-2</v>
      </c>
      <c r="E200">
        <v>3.81E-3</v>
      </c>
      <c r="F200">
        <f t="shared" si="37"/>
        <v>2042.933</v>
      </c>
      <c r="G200">
        <f t="shared" si="38"/>
        <v>-0.36823340999999998</v>
      </c>
      <c r="H200">
        <f t="shared" si="39"/>
        <v>-752.27618499153004</v>
      </c>
      <c r="I200">
        <v>1</v>
      </c>
      <c r="J200">
        <f t="shared" si="40"/>
        <v>0.71438652038827333</v>
      </c>
      <c r="K200">
        <f t="shared" si="41"/>
        <v>-0.85349174177521747</v>
      </c>
      <c r="L200">
        <v>1</v>
      </c>
      <c r="M200">
        <f t="shared" si="42"/>
        <v>0.5640047983704819</v>
      </c>
      <c r="N200">
        <f t="shared" si="43"/>
        <v>0.16547757299999999</v>
      </c>
      <c r="O200">
        <f t="shared" si="44"/>
        <v>3.8917873650000004E-2</v>
      </c>
      <c r="P200">
        <f t="shared" si="45"/>
        <v>8.5091496754735582E-2</v>
      </c>
    </row>
    <row r="201" spans="1:16" x14ac:dyDescent="0.3">
      <c r="A201" s="5">
        <v>10.270676000000002</v>
      </c>
      <c r="B201" s="5">
        <v>0.36590409000000002</v>
      </c>
      <c r="C201">
        <f t="shared" si="36"/>
        <v>3.7580823554648406</v>
      </c>
      <c r="D201">
        <v>1.6199999999999999E-2</v>
      </c>
      <c r="E201">
        <v>3.81E-3</v>
      </c>
      <c r="F201">
        <f t="shared" si="37"/>
        <v>2054.1352000000002</v>
      </c>
      <c r="G201">
        <f t="shared" si="38"/>
        <v>-0.36590409000000002</v>
      </c>
      <c r="H201">
        <f t="shared" si="39"/>
        <v>-751.61647109296814</v>
      </c>
      <c r="I201">
        <v>1</v>
      </c>
      <c r="J201">
        <f t="shared" si="40"/>
        <v>0.71985493212495222</v>
      </c>
      <c r="K201">
        <f t="shared" si="41"/>
        <v>-0.85582106177521744</v>
      </c>
      <c r="L201">
        <v>1</v>
      </c>
      <c r="M201">
        <f t="shared" si="42"/>
        <v>0.56426509476914777</v>
      </c>
      <c r="N201">
        <f t="shared" si="43"/>
        <v>0.16638495120000002</v>
      </c>
      <c r="O201">
        <f t="shared" si="44"/>
        <v>3.9131275560000005E-2</v>
      </c>
      <c r="P201">
        <f t="shared" si="45"/>
        <v>8.603974024606964E-2</v>
      </c>
    </row>
    <row r="202" spans="1:16" x14ac:dyDescent="0.3">
      <c r="A202" s="5">
        <v>10.325668</v>
      </c>
      <c r="B202" s="5">
        <v>0.3636702</v>
      </c>
      <c r="C202">
        <f t="shared" si="36"/>
        <v>3.7551377466936002</v>
      </c>
      <c r="D202">
        <v>1.6199999999999999E-2</v>
      </c>
      <c r="E202">
        <v>3.81E-3</v>
      </c>
      <c r="F202">
        <f t="shared" si="37"/>
        <v>2065.1336000000001</v>
      </c>
      <c r="G202">
        <f t="shared" si="38"/>
        <v>-0.3636702</v>
      </c>
      <c r="H202">
        <f t="shared" si="39"/>
        <v>-751.02754933872006</v>
      </c>
      <c r="I202">
        <v>1</v>
      </c>
      <c r="J202">
        <f t="shared" si="40"/>
        <v>0.72519492165677557</v>
      </c>
      <c r="K202">
        <f t="shared" si="41"/>
        <v>-0.8580549517752174</v>
      </c>
      <c r="L202">
        <v>1</v>
      </c>
      <c r="M202">
        <f t="shared" si="42"/>
        <v>0.56451927827086257</v>
      </c>
      <c r="N202">
        <f t="shared" si="43"/>
        <v>0.16727582159999999</v>
      </c>
      <c r="O202">
        <f t="shared" si="44"/>
        <v>3.9340795080000004E-2</v>
      </c>
      <c r="P202">
        <f t="shared" si="45"/>
        <v>8.6919056824354843E-2</v>
      </c>
    </row>
    <row r="203" spans="1:16" x14ac:dyDescent="0.3">
      <c r="A203" s="5">
        <v>10.382186999999998</v>
      </c>
      <c r="B203" s="5">
        <v>0.36126452999999997</v>
      </c>
      <c r="C203">
        <f t="shared" si="36"/>
        <v>3.750715906927109</v>
      </c>
      <c r="D203">
        <v>1.6199999999999999E-2</v>
      </c>
      <c r="E203">
        <v>3.81E-3</v>
      </c>
      <c r="F203">
        <f t="shared" si="37"/>
        <v>2076.4373999999998</v>
      </c>
      <c r="G203">
        <f t="shared" si="38"/>
        <v>-0.36126452999999997</v>
      </c>
      <c r="H203">
        <f t="shared" si="39"/>
        <v>-750.14318138542183</v>
      </c>
      <c r="I203">
        <v>1</v>
      </c>
      <c r="J203">
        <f t="shared" si="40"/>
        <v>0.73065363675247241</v>
      </c>
      <c r="K203">
        <f t="shared" si="41"/>
        <v>-0.86046062177521754</v>
      </c>
      <c r="L203">
        <v>1</v>
      </c>
      <c r="M203">
        <f t="shared" si="42"/>
        <v>0.56477911310941775</v>
      </c>
      <c r="N203">
        <f t="shared" si="43"/>
        <v>0.16819142939999995</v>
      </c>
      <c r="O203">
        <f t="shared" si="44"/>
        <v>3.9556132469999991E-2</v>
      </c>
      <c r="P203">
        <f t="shared" si="45"/>
        <v>8.7933946795799842E-2</v>
      </c>
    </row>
    <row r="204" spans="1:16" x14ac:dyDescent="0.3">
      <c r="A204" s="5">
        <v>10.435650000000001</v>
      </c>
      <c r="B204" s="5">
        <v>0.35866787999999999</v>
      </c>
      <c r="C204">
        <f t="shared" si="36"/>
        <v>3.7429324619220004</v>
      </c>
      <c r="D204">
        <v>1.6199999999999999E-2</v>
      </c>
      <c r="E204">
        <v>3.81E-3</v>
      </c>
      <c r="F204">
        <f t="shared" si="37"/>
        <v>2087.13</v>
      </c>
      <c r="G204">
        <f t="shared" si="38"/>
        <v>-0.35866787999999999</v>
      </c>
      <c r="H204">
        <f t="shared" si="39"/>
        <v>-748.58649238440012</v>
      </c>
      <c r="I204">
        <v>1</v>
      </c>
      <c r="J204">
        <f t="shared" si="40"/>
        <v>0.7357899165240499</v>
      </c>
      <c r="K204">
        <f t="shared" si="41"/>
        <v>-0.86305727177521741</v>
      </c>
      <c r="L204">
        <v>1</v>
      </c>
      <c r="M204">
        <f t="shared" si="42"/>
        <v>0.56502360002654484</v>
      </c>
      <c r="N204">
        <f t="shared" si="43"/>
        <v>0.16905753000000001</v>
      </c>
      <c r="O204">
        <f t="shared" si="44"/>
        <v>3.9759826500000005E-2</v>
      </c>
      <c r="P204">
        <f t="shared" si="45"/>
        <v>8.9216315248672545E-2</v>
      </c>
    </row>
    <row r="205" spans="1:16" x14ac:dyDescent="0.3">
      <c r="A205" s="5">
        <v>10.486060999999999</v>
      </c>
      <c r="B205" s="5">
        <v>0.35675858999999999</v>
      </c>
      <c r="C205">
        <f t="shared" si="36"/>
        <v>3.7409923370139895</v>
      </c>
      <c r="D205">
        <v>1.6199999999999999E-2</v>
      </c>
      <c r="E205">
        <v>3.81E-3</v>
      </c>
      <c r="F205">
        <f t="shared" si="37"/>
        <v>2097.2121999999999</v>
      </c>
      <c r="G205">
        <f t="shared" si="38"/>
        <v>-0.35675858999999999</v>
      </c>
      <c r="H205">
        <f t="shared" si="39"/>
        <v>-748.19846740279786</v>
      </c>
      <c r="I205">
        <v>1</v>
      </c>
      <c r="J205">
        <f t="shared" si="40"/>
        <v>0.74060893897950342</v>
      </c>
      <c r="K205">
        <f t="shared" si="41"/>
        <v>-0.86496656177521747</v>
      </c>
      <c r="L205">
        <v>1</v>
      </c>
      <c r="M205">
        <f t="shared" si="42"/>
        <v>0.56525298549542435</v>
      </c>
      <c r="N205">
        <f t="shared" si="43"/>
        <v>0.16987418819999997</v>
      </c>
      <c r="O205">
        <f t="shared" si="44"/>
        <v>3.9951892409999995E-2</v>
      </c>
      <c r="P205">
        <f t="shared" si="45"/>
        <v>8.9887495669793149E-2</v>
      </c>
    </row>
    <row r="206" spans="1:16" x14ac:dyDescent="0.3">
      <c r="A206" s="5">
        <v>10.53647</v>
      </c>
      <c r="B206" s="5">
        <v>0.35435288999999998</v>
      </c>
      <c r="C206">
        <f t="shared" si="36"/>
        <v>3.7336285948982995</v>
      </c>
      <c r="D206">
        <v>1.6199999999999999E-2</v>
      </c>
      <c r="E206">
        <v>3.81E-3</v>
      </c>
      <c r="F206">
        <f t="shared" si="37"/>
        <v>2107.2939999999999</v>
      </c>
      <c r="G206">
        <f t="shared" si="38"/>
        <v>-0.35435288999999998</v>
      </c>
      <c r="H206">
        <f t="shared" si="39"/>
        <v>-746.72571897965986</v>
      </c>
      <c r="I206">
        <v>1</v>
      </c>
      <c r="J206">
        <f t="shared" si="40"/>
        <v>0.74540465997168648</v>
      </c>
      <c r="K206">
        <f t="shared" si="41"/>
        <v>-0.86737226177521753</v>
      </c>
      <c r="L206">
        <v>1</v>
      </c>
      <c r="M206">
        <f t="shared" si="42"/>
        <v>0.5654812618146523</v>
      </c>
      <c r="N206">
        <f t="shared" si="43"/>
        <v>0.170690814</v>
      </c>
      <c r="O206">
        <f t="shared" si="44"/>
        <v>4.01439507E-2</v>
      </c>
      <c r="P206">
        <f t="shared" si="45"/>
        <v>9.1056235260565235E-2</v>
      </c>
    </row>
    <row r="207" spans="1:16" x14ac:dyDescent="0.3">
      <c r="A207" s="5">
        <v>10.586879</v>
      </c>
      <c r="B207" s="5">
        <v>0.35206175000000001</v>
      </c>
      <c r="C207">
        <f t="shared" si="36"/>
        <v>3.7272351477782499</v>
      </c>
      <c r="D207">
        <v>1.6199999999999999E-2</v>
      </c>
      <c r="E207">
        <v>3.81E-3</v>
      </c>
      <c r="F207">
        <f t="shared" si="37"/>
        <v>2117.3757999999998</v>
      </c>
      <c r="G207">
        <f t="shared" si="38"/>
        <v>-0.35206175000000001</v>
      </c>
      <c r="H207">
        <f t="shared" si="39"/>
        <v>-745.44702955565003</v>
      </c>
      <c r="I207">
        <v>1</v>
      </c>
      <c r="J207">
        <f t="shared" si="40"/>
        <v>0.75017749175065529</v>
      </c>
      <c r="K207">
        <f t="shared" si="41"/>
        <v>-0.86966340177521739</v>
      </c>
      <c r="L207">
        <v>1</v>
      </c>
      <c r="M207">
        <f t="shared" si="42"/>
        <v>0.56570844860733127</v>
      </c>
      <c r="N207">
        <f t="shared" si="43"/>
        <v>0.17150743979999999</v>
      </c>
      <c r="O207">
        <f t="shared" si="44"/>
        <v>4.0336008989999998E-2</v>
      </c>
      <c r="P207">
        <f t="shared" si="45"/>
        <v>9.2111504377886122E-2</v>
      </c>
    </row>
    <row r="208" spans="1:16" x14ac:dyDescent="0.3">
      <c r="A208" s="5">
        <v>10.637797000000001</v>
      </c>
      <c r="B208" s="5">
        <v>0.35005701</v>
      </c>
      <c r="C208">
        <f t="shared" si="36"/>
        <v>3.7238354108069704</v>
      </c>
      <c r="D208">
        <v>1.6199999999999999E-2</v>
      </c>
      <c r="E208">
        <v>3.81E-3</v>
      </c>
      <c r="F208">
        <f t="shared" si="37"/>
        <v>2127.5594000000001</v>
      </c>
      <c r="G208">
        <f t="shared" si="38"/>
        <v>-0.35005701</v>
      </c>
      <c r="H208">
        <f t="shared" si="39"/>
        <v>-744.76708216139411</v>
      </c>
      <c r="I208">
        <v>1</v>
      </c>
      <c r="J208">
        <f t="shared" si="40"/>
        <v>0.75497550116964063</v>
      </c>
      <c r="K208">
        <f t="shared" si="41"/>
        <v>-0.87166814177521745</v>
      </c>
      <c r="L208">
        <v>1</v>
      </c>
      <c r="M208">
        <f t="shared" si="42"/>
        <v>0.56593683385567495</v>
      </c>
      <c r="N208">
        <f t="shared" si="43"/>
        <v>0.17233231139999999</v>
      </c>
      <c r="O208">
        <f t="shared" si="44"/>
        <v>4.0530006570000006E-2</v>
      </c>
      <c r="P208">
        <f t="shared" si="45"/>
        <v>9.2868989949542513E-2</v>
      </c>
    </row>
    <row r="209" spans="1:16" x14ac:dyDescent="0.3">
      <c r="A209" s="5">
        <v>10.689224999999999</v>
      </c>
      <c r="B209" s="5">
        <v>0.34774675999999999</v>
      </c>
      <c r="C209">
        <f t="shared" si="36"/>
        <v>3.7171433606609994</v>
      </c>
      <c r="D209">
        <v>1.6199999999999999E-2</v>
      </c>
      <c r="E209">
        <v>3.81E-3</v>
      </c>
      <c r="F209">
        <f t="shared" si="37"/>
        <v>2137.8449999999998</v>
      </c>
      <c r="G209">
        <f t="shared" si="38"/>
        <v>-0.34774675999999999</v>
      </c>
      <c r="H209">
        <f t="shared" si="39"/>
        <v>-743.42867213219984</v>
      </c>
      <c r="I209">
        <v>1</v>
      </c>
      <c r="J209">
        <f t="shared" si="40"/>
        <v>0.75979831231340522</v>
      </c>
      <c r="K209">
        <f t="shared" si="41"/>
        <v>-0.87397839177521752</v>
      </c>
      <c r="L209">
        <v>1</v>
      </c>
      <c r="M209">
        <f t="shared" si="42"/>
        <v>0.56616639966611815</v>
      </c>
      <c r="N209">
        <f t="shared" si="43"/>
        <v>0.17316544499999997</v>
      </c>
      <c r="O209">
        <f t="shared" si="44"/>
        <v>4.0725947249999998E-2</v>
      </c>
      <c r="P209">
        <f t="shared" si="45"/>
        <v>9.3920599859099396E-2</v>
      </c>
    </row>
    <row r="210" spans="1:16" x14ac:dyDescent="0.3">
      <c r="A210" s="5">
        <v>10.741161</v>
      </c>
      <c r="B210" s="5">
        <v>0.34549382000000001</v>
      </c>
      <c r="C210">
        <f t="shared" si="36"/>
        <v>3.7110047451250199</v>
      </c>
      <c r="D210">
        <v>1.6199999999999999E-2</v>
      </c>
      <c r="E210">
        <v>3.81E-3</v>
      </c>
      <c r="F210">
        <f t="shared" si="37"/>
        <v>2148.2321999999999</v>
      </c>
      <c r="G210">
        <f t="shared" si="38"/>
        <v>-0.34549382000000001</v>
      </c>
      <c r="H210">
        <f t="shared" si="39"/>
        <v>-742.20094902500398</v>
      </c>
      <c r="I210">
        <v>1</v>
      </c>
      <c r="J210">
        <f t="shared" si="40"/>
        <v>0.764645271362833</v>
      </c>
      <c r="K210">
        <f t="shared" si="41"/>
        <v>-0.8762313317752175</v>
      </c>
      <c r="L210">
        <v>1</v>
      </c>
      <c r="M210">
        <f t="shared" si="42"/>
        <v>0.56639711491687084</v>
      </c>
      <c r="N210">
        <f t="shared" si="43"/>
        <v>0.1740068082</v>
      </c>
      <c r="O210">
        <f t="shared" si="44"/>
        <v>4.0923823409999997E-2</v>
      </c>
      <c r="P210">
        <f t="shared" si="45"/>
        <v>9.4903585248346661E-2</v>
      </c>
    </row>
    <row r="211" spans="1:16" x14ac:dyDescent="0.3">
      <c r="A211" s="5">
        <v>10.792589</v>
      </c>
      <c r="B211" s="5">
        <v>0.34320267999999998</v>
      </c>
      <c r="C211">
        <f t="shared" si="36"/>
        <v>3.7040454689385198</v>
      </c>
      <c r="D211">
        <v>1.6199999999999999E-2</v>
      </c>
      <c r="E211">
        <v>3.81E-3</v>
      </c>
      <c r="F211">
        <f t="shared" si="37"/>
        <v>2158.5178000000001</v>
      </c>
      <c r="G211">
        <f t="shared" si="38"/>
        <v>-0.34320267999999998</v>
      </c>
      <c r="H211">
        <f t="shared" si="39"/>
        <v>-740.809093787704</v>
      </c>
      <c r="I211">
        <v>1</v>
      </c>
      <c r="J211">
        <f t="shared" si="40"/>
        <v>0.76942178244684756</v>
      </c>
      <c r="K211">
        <f t="shared" si="41"/>
        <v>-0.87852247177521747</v>
      </c>
      <c r="L211">
        <v>1</v>
      </c>
      <c r="M211">
        <f t="shared" si="42"/>
        <v>0.56662447684446993</v>
      </c>
      <c r="N211">
        <f t="shared" si="43"/>
        <v>0.17483994179999998</v>
      </c>
      <c r="O211">
        <f t="shared" si="44"/>
        <v>4.1119764089999997E-2</v>
      </c>
      <c r="P211">
        <f t="shared" si="45"/>
        <v>9.5938289040747568E-2</v>
      </c>
    </row>
    <row r="212" spans="1:16" x14ac:dyDescent="0.3">
      <c r="A212" s="5">
        <v>10.844525000000001</v>
      </c>
      <c r="B212" s="5">
        <v>0.34089243000000002</v>
      </c>
      <c r="C212">
        <f t="shared" si="36"/>
        <v>3.6968164794457508</v>
      </c>
      <c r="D212">
        <v>1.6199999999999999E-2</v>
      </c>
      <c r="E212">
        <v>3.81E-3</v>
      </c>
      <c r="F212">
        <f t="shared" si="37"/>
        <v>2168.9050000000002</v>
      </c>
      <c r="G212">
        <f t="shared" si="38"/>
        <v>-0.34089243000000002</v>
      </c>
      <c r="H212">
        <f t="shared" si="39"/>
        <v>-739.36329588915009</v>
      </c>
      <c r="I212">
        <v>1</v>
      </c>
      <c r="J212">
        <f t="shared" si="40"/>
        <v>0.77422243189982609</v>
      </c>
      <c r="K212">
        <f t="shared" si="41"/>
        <v>-0.88083272177521743</v>
      </c>
      <c r="L212">
        <v>1</v>
      </c>
      <c r="M212">
        <f t="shared" si="42"/>
        <v>0.56685298775843174</v>
      </c>
      <c r="N212">
        <f t="shared" si="43"/>
        <v>0.17568130500000001</v>
      </c>
      <c r="O212">
        <f t="shared" si="44"/>
        <v>4.1317640250000003E-2</v>
      </c>
      <c r="P212">
        <f t="shared" si="45"/>
        <v>9.6980788766785675E-2</v>
      </c>
    </row>
    <row r="213" spans="1:16" x14ac:dyDescent="0.3">
      <c r="A213" s="5">
        <v>10.894935</v>
      </c>
      <c r="B213" s="5">
        <v>0.33856311</v>
      </c>
      <c r="C213">
        <f t="shared" si="36"/>
        <v>3.6886230768478501</v>
      </c>
      <c r="D213">
        <v>1.6199999999999999E-2</v>
      </c>
      <c r="E213">
        <v>3.81E-3</v>
      </c>
      <c r="F213">
        <f t="shared" si="37"/>
        <v>2178.9870000000001</v>
      </c>
      <c r="G213">
        <f t="shared" si="38"/>
        <v>-0.33856311</v>
      </c>
      <c r="H213">
        <f t="shared" si="39"/>
        <v>-737.72461536956996</v>
      </c>
      <c r="I213">
        <v>1</v>
      </c>
      <c r="J213">
        <f t="shared" si="40"/>
        <v>0.77886008990521838</v>
      </c>
      <c r="K213">
        <f t="shared" si="41"/>
        <v>-0.88316204177521751</v>
      </c>
      <c r="L213">
        <v>1</v>
      </c>
      <c r="M213">
        <f t="shared" si="42"/>
        <v>0.56707374027948843</v>
      </c>
      <c r="N213">
        <f t="shared" si="43"/>
        <v>0.17649794699999999</v>
      </c>
      <c r="O213">
        <f t="shared" si="44"/>
        <v>4.1509702350000004E-2</v>
      </c>
      <c r="P213">
        <f t="shared" si="45"/>
        <v>9.8080652145729086E-2</v>
      </c>
    </row>
    <row r="214" spans="1:16" x14ac:dyDescent="0.3">
      <c r="A214" s="5">
        <v>10.945344</v>
      </c>
      <c r="B214" s="5">
        <v>0.33638649999999998</v>
      </c>
      <c r="C214">
        <f t="shared" si="36"/>
        <v>3.6818659594559997</v>
      </c>
      <c r="D214">
        <v>1.6199999999999999E-2</v>
      </c>
      <c r="E214">
        <v>3.81E-3</v>
      </c>
      <c r="F214">
        <f t="shared" si="37"/>
        <v>2189.0688</v>
      </c>
      <c r="G214">
        <f t="shared" si="38"/>
        <v>-0.33638649999999998</v>
      </c>
      <c r="H214">
        <f t="shared" si="39"/>
        <v>-736.37319189119989</v>
      </c>
      <c r="I214">
        <v>1</v>
      </c>
      <c r="J214">
        <f t="shared" si="40"/>
        <v>0.78347624792347359</v>
      </c>
      <c r="K214">
        <f t="shared" si="41"/>
        <v>-0.88533865177521753</v>
      </c>
      <c r="L214">
        <v>1</v>
      </c>
      <c r="M214">
        <f t="shared" si="42"/>
        <v>0.56729346940115732</v>
      </c>
      <c r="N214">
        <f t="shared" si="43"/>
        <v>0.17731457279999999</v>
      </c>
      <c r="O214">
        <f t="shared" si="44"/>
        <v>4.1701760640000002E-2</v>
      </c>
      <c r="P214">
        <f t="shared" si="45"/>
        <v>9.9028848934060221E-2</v>
      </c>
    </row>
    <row r="215" spans="1:16" x14ac:dyDescent="0.3">
      <c r="A215" s="5">
        <v>10.996262999999999</v>
      </c>
      <c r="B215" s="5">
        <v>0.33390445000000002</v>
      </c>
      <c r="C215">
        <f t="shared" si="36"/>
        <v>3.6717011490703499</v>
      </c>
      <c r="D215">
        <v>1.6199999999999999E-2</v>
      </c>
      <c r="E215">
        <v>3.81E-3</v>
      </c>
      <c r="F215">
        <f t="shared" si="37"/>
        <v>2199.2525999999998</v>
      </c>
      <c r="G215">
        <f t="shared" si="38"/>
        <v>-0.33390445000000002</v>
      </c>
      <c r="H215">
        <f t="shared" si="39"/>
        <v>-734.34022981406997</v>
      </c>
      <c r="I215">
        <v>1</v>
      </c>
      <c r="J215">
        <f t="shared" si="40"/>
        <v>0.78811757537115978</v>
      </c>
      <c r="K215">
        <f t="shared" si="41"/>
        <v>-0.88782070177521744</v>
      </c>
      <c r="L215">
        <v>1</v>
      </c>
      <c r="M215">
        <f t="shared" si="42"/>
        <v>0.56751439658766722</v>
      </c>
      <c r="N215">
        <f t="shared" si="43"/>
        <v>0.17813946059999997</v>
      </c>
      <c r="O215">
        <f t="shared" si="44"/>
        <v>4.1895762029999999E-2</v>
      </c>
      <c r="P215">
        <f t="shared" si="45"/>
        <v>0.10027108255755024</v>
      </c>
    </row>
    <row r="216" spans="1:16" x14ac:dyDescent="0.3">
      <c r="A216" s="5">
        <v>11.049218000000002</v>
      </c>
      <c r="B216" s="5">
        <v>0.33157513</v>
      </c>
      <c r="C216">
        <f t="shared" si="36"/>
        <v>3.6636458947483406</v>
      </c>
      <c r="D216">
        <v>1.6199999999999999E-2</v>
      </c>
      <c r="E216">
        <v>3.81E-3</v>
      </c>
      <c r="F216">
        <f t="shared" si="37"/>
        <v>2209.8436000000002</v>
      </c>
      <c r="G216">
        <f t="shared" si="38"/>
        <v>-0.33157513</v>
      </c>
      <c r="H216">
        <f t="shared" si="39"/>
        <v>-732.72917894966815</v>
      </c>
      <c r="I216">
        <v>1</v>
      </c>
      <c r="J216">
        <f t="shared" si="40"/>
        <v>0.79292174379463209</v>
      </c>
      <c r="K216">
        <f t="shared" si="41"/>
        <v>-0.8901500217752174</v>
      </c>
      <c r="L216">
        <v>1</v>
      </c>
      <c r="M216">
        <f t="shared" si="42"/>
        <v>0.56774307500462451</v>
      </c>
      <c r="N216">
        <f t="shared" si="43"/>
        <v>0.1789973316</v>
      </c>
      <c r="O216">
        <f t="shared" si="44"/>
        <v>4.2097520580000006E-2</v>
      </c>
      <c r="P216">
        <f t="shared" si="45"/>
        <v>0.10131209459059289</v>
      </c>
    </row>
    <row r="217" spans="1:16" x14ac:dyDescent="0.3">
      <c r="A217" s="5">
        <v>11.103698999999999</v>
      </c>
      <c r="B217" s="5">
        <v>0.32909304</v>
      </c>
      <c r="C217">
        <f t="shared" si="36"/>
        <v>3.6541500591549596</v>
      </c>
      <c r="D217">
        <v>1.6199999999999999E-2</v>
      </c>
      <c r="E217">
        <v>3.81E-3</v>
      </c>
      <c r="F217">
        <f t="shared" si="37"/>
        <v>2220.7397999999998</v>
      </c>
      <c r="G217">
        <f t="shared" si="38"/>
        <v>-0.32909304</v>
      </c>
      <c r="H217">
        <f t="shared" si="39"/>
        <v>-730.83001183099191</v>
      </c>
      <c r="I217">
        <v>1</v>
      </c>
      <c r="J217">
        <f t="shared" si="40"/>
        <v>0.79784038361423437</v>
      </c>
      <c r="K217">
        <f t="shared" si="41"/>
        <v>-0.8926321117752174</v>
      </c>
      <c r="L217">
        <v>1</v>
      </c>
      <c r="M217">
        <f t="shared" si="42"/>
        <v>0.56797720226003756</v>
      </c>
      <c r="N217">
        <f t="shared" si="43"/>
        <v>0.17987992379999998</v>
      </c>
      <c r="O217">
        <f t="shared" si="44"/>
        <v>4.2305093189999997E-2</v>
      </c>
      <c r="P217">
        <f t="shared" si="45"/>
        <v>0.10246989252517985</v>
      </c>
    </row>
    <row r="218" spans="1:16" x14ac:dyDescent="0.3">
      <c r="A218" s="5">
        <v>11.154617</v>
      </c>
      <c r="B218" s="5">
        <v>0.32661098</v>
      </c>
      <c r="C218">
        <f t="shared" si="36"/>
        <v>3.64322038989466</v>
      </c>
      <c r="D218">
        <v>1.6199999999999999E-2</v>
      </c>
      <c r="E218">
        <v>3.81E-3</v>
      </c>
      <c r="F218">
        <f t="shared" si="37"/>
        <v>2230.9234000000001</v>
      </c>
      <c r="G218">
        <f t="shared" si="38"/>
        <v>-0.32661098</v>
      </c>
      <c r="H218">
        <f t="shared" si="39"/>
        <v>-728.64407797893205</v>
      </c>
      <c r="I218">
        <v>1</v>
      </c>
      <c r="J218">
        <f t="shared" si="40"/>
        <v>0.80241558048175499</v>
      </c>
      <c r="K218">
        <f t="shared" si="41"/>
        <v>-0.89511417177521746</v>
      </c>
      <c r="L218">
        <v>1</v>
      </c>
      <c r="M218">
        <f t="shared" si="42"/>
        <v>0.56819498163093152</v>
      </c>
      <c r="N218">
        <f t="shared" si="43"/>
        <v>0.18070479539999998</v>
      </c>
      <c r="O218">
        <f t="shared" si="44"/>
        <v>4.2499090769999998E-2</v>
      </c>
      <c r="P218">
        <f t="shared" si="45"/>
        <v>0.10371530397428597</v>
      </c>
    </row>
    <row r="219" spans="1:16" x14ac:dyDescent="0.3">
      <c r="A219" s="5">
        <v>11.207063</v>
      </c>
      <c r="B219" s="5">
        <v>0.32428162999999999</v>
      </c>
      <c r="C219">
        <f t="shared" si="36"/>
        <v>3.6342446571526899</v>
      </c>
      <c r="D219">
        <v>1.6199999999999999E-2</v>
      </c>
      <c r="E219">
        <v>3.81E-3</v>
      </c>
      <c r="F219">
        <f t="shared" si="37"/>
        <v>2241.4126000000001</v>
      </c>
      <c r="G219">
        <f t="shared" si="38"/>
        <v>-0.32428162999999999</v>
      </c>
      <c r="H219">
        <f t="shared" si="39"/>
        <v>-726.84893143053796</v>
      </c>
      <c r="I219">
        <v>1</v>
      </c>
      <c r="J219">
        <f t="shared" si="40"/>
        <v>0.80710629210656115</v>
      </c>
      <c r="K219">
        <f t="shared" si="41"/>
        <v>-0.89744352177521747</v>
      </c>
      <c r="L219">
        <v>1</v>
      </c>
      <c r="M219">
        <f t="shared" si="42"/>
        <v>0.56841825950427238</v>
      </c>
      <c r="N219">
        <f t="shared" si="43"/>
        <v>0.18155442059999999</v>
      </c>
      <c r="O219">
        <f t="shared" si="44"/>
        <v>4.2698910030000002E-2</v>
      </c>
      <c r="P219">
        <f t="shared" si="45"/>
        <v>0.10477193164094509</v>
      </c>
    </row>
    <row r="220" spans="1:16" x14ac:dyDescent="0.3">
      <c r="A220" s="5">
        <v>11.257980999999999</v>
      </c>
      <c r="B220" s="5">
        <v>0.32191414000000002</v>
      </c>
      <c r="C220">
        <f t="shared" si="36"/>
        <v>3.6241032717513399</v>
      </c>
      <c r="D220">
        <v>1.6199999999999999E-2</v>
      </c>
      <c r="E220">
        <v>3.81E-3</v>
      </c>
      <c r="F220">
        <f t="shared" si="37"/>
        <v>2251.5962</v>
      </c>
      <c r="G220">
        <f t="shared" si="38"/>
        <v>-0.32191414000000002</v>
      </c>
      <c r="H220">
        <f t="shared" si="39"/>
        <v>-724.820654350268</v>
      </c>
      <c r="I220">
        <v>1</v>
      </c>
      <c r="J220">
        <f t="shared" si="40"/>
        <v>0.81163938691755555</v>
      </c>
      <c r="K220">
        <f t="shared" si="41"/>
        <v>-0.89981101177521738</v>
      </c>
      <c r="L220">
        <v>1</v>
      </c>
      <c r="M220">
        <f t="shared" si="42"/>
        <v>0.5686340348172757</v>
      </c>
      <c r="N220">
        <f t="shared" si="43"/>
        <v>0.18237929219999999</v>
      </c>
      <c r="O220">
        <f t="shared" si="44"/>
        <v>4.2892907609999996E-2</v>
      </c>
      <c r="P220">
        <f t="shared" si="45"/>
        <v>0.10590477714794169</v>
      </c>
    </row>
    <row r="221" spans="1:16" x14ac:dyDescent="0.3">
      <c r="A221" s="5">
        <v>11.309919000000001</v>
      </c>
      <c r="B221" s="5">
        <v>0.31956571</v>
      </c>
      <c r="C221">
        <f t="shared" si="36"/>
        <v>3.6142622952774901</v>
      </c>
      <c r="D221">
        <v>1.6199999999999999E-2</v>
      </c>
      <c r="E221">
        <v>3.81E-3</v>
      </c>
      <c r="F221">
        <f t="shared" si="37"/>
        <v>2261.9838</v>
      </c>
      <c r="G221">
        <f t="shared" si="38"/>
        <v>-0.31956571</v>
      </c>
      <c r="H221">
        <f t="shared" si="39"/>
        <v>-722.852459055498</v>
      </c>
      <c r="I221">
        <v>1</v>
      </c>
      <c r="J221">
        <f t="shared" si="40"/>
        <v>0.81624221586456924</v>
      </c>
      <c r="K221">
        <f t="shared" si="41"/>
        <v>-0.90215944177521745</v>
      </c>
      <c r="L221">
        <v>1</v>
      </c>
      <c r="M221">
        <f t="shared" si="42"/>
        <v>0.56885312947515354</v>
      </c>
      <c r="N221">
        <f t="shared" si="43"/>
        <v>0.1832206878</v>
      </c>
      <c r="O221">
        <f t="shared" si="44"/>
        <v>4.3090791390000001E-2</v>
      </c>
      <c r="P221">
        <f t="shared" si="45"/>
        <v>0.10699483311006391</v>
      </c>
    </row>
    <row r="222" spans="1:16" x14ac:dyDescent="0.3">
      <c r="A222" s="5">
        <v>11.36491</v>
      </c>
      <c r="B222" s="5">
        <v>0.31689271000000002</v>
      </c>
      <c r="C222">
        <f t="shared" si="36"/>
        <v>3.6014571288061004</v>
      </c>
      <c r="D222">
        <v>1.6199999999999999E-2</v>
      </c>
      <c r="E222">
        <v>3.81E-3</v>
      </c>
      <c r="F222">
        <f t="shared" si="37"/>
        <v>2272.982</v>
      </c>
      <c r="G222">
        <f t="shared" si="38"/>
        <v>-0.31689271000000002</v>
      </c>
      <c r="H222">
        <f t="shared" si="39"/>
        <v>-720.29142576122013</v>
      </c>
      <c r="I222">
        <v>1</v>
      </c>
      <c r="J222">
        <f t="shared" si="40"/>
        <v>0.82109262578933617</v>
      </c>
      <c r="K222">
        <f t="shared" si="41"/>
        <v>-0.90483244177521738</v>
      </c>
      <c r="L222">
        <v>1</v>
      </c>
      <c r="M222">
        <f t="shared" si="42"/>
        <v>0.56908400898757239</v>
      </c>
      <c r="N222">
        <f t="shared" si="43"/>
        <v>0.18411154199999999</v>
      </c>
      <c r="O222">
        <f t="shared" si="44"/>
        <v>4.3300307099999998E-2</v>
      </c>
      <c r="P222">
        <f t="shared" si="45"/>
        <v>0.10833658368764501</v>
      </c>
    </row>
    <row r="223" spans="1:16" x14ac:dyDescent="0.3">
      <c r="A223" s="5">
        <v>11.415319999999999</v>
      </c>
      <c r="B223" s="5">
        <v>0.31444879999999997</v>
      </c>
      <c r="C223">
        <f t="shared" si="36"/>
        <v>3.5895336756159995</v>
      </c>
      <c r="D223">
        <v>1.6199999999999999E-2</v>
      </c>
      <c r="E223">
        <v>3.81E-3</v>
      </c>
      <c r="F223">
        <f t="shared" si="37"/>
        <v>2283.0639999999999</v>
      </c>
      <c r="G223">
        <f t="shared" si="38"/>
        <v>-0.31444879999999997</v>
      </c>
      <c r="H223">
        <f t="shared" si="39"/>
        <v>-717.90673512319984</v>
      </c>
      <c r="I223">
        <v>1</v>
      </c>
      <c r="J223">
        <f t="shared" si="40"/>
        <v>0.8255184004442645</v>
      </c>
      <c r="K223">
        <f t="shared" si="41"/>
        <v>-0.90727635177521748</v>
      </c>
      <c r="L223">
        <v>1</v>
      </c>
      <c r="M223">
        <f t="shared" si="42"/>
        <v>0.56929467586114701</v>
      </c>
      <c r="N223">
        <f t="shared" si="43"/>
        <v>0.18492818399999997</v>
      </c>
      <c r="O223">
        <f t="shared" si="44"/>
        <v>4.3492369199999999E-2</v>
      </c>
      <c r="P223">
        <f t="shared" si="45"/>
        <v>0.10956112271407051</v>
      </c>
    </row>
    <row r="224" spans="1:16" x14ac:dyDescent="0.3">
      <c r="A224" s="5">
        <v>11.467765999999999</v>
      </c>
      <c r="B224" s="5">
        <v>0.31190947000000002</v>
      </c>
      <c r="C224">
        <f t="shared" si="36"/>
        <v>3.5769048151440201</v>
      </c>
      <c r="D224">
        <v>1.6199999999999999E-2</v>
      </c>
      <c r="E224">
        <v>3.81E-3</v>
      </c>
      <c r="F224">
        <f t="shared" si="37"/>
        <v>2293.5531999999998</v>
      </c>
      <c r="G224">
        <f t="shared" si="38"/>
        <v>-0.31190947000000002</v>
      </c>
      <c r="H224">
        <f t="shared" si="39"/>
        <v>-715.38096302880399</v>
      </c>
      <c r="I224">
        <v>1</v>
      </c>
      <c r="J224">
        <f t="shared" si="40"/>
        <v>0.83010223077473044</v>
      </c>
      <c r="K224">
        <f t="shared" si="41"/>
        <v>-0.90981568177521743</v>
      </c>
      <c r="L224">
        <v>1</v>
      </c>
      <c r="M224">
        <f t="shared" si="42"/>
        <v>0.56951286618487718</v>
      </c>
      <c r="N224">
        <f t="shared" si="43"/>
        <v>0.18577780919999998</v>
      </c>
      <c r="O224">
        <f t="shared" si="44"/>
        <v>4.3692188459999996E-2</v>
      </c>
      <c r="P224">
        <f t="shared" si="45"/>
        <v>0.11083281793034028</v>
      </c>
    </row>
    <row r="225" spans="1:18" x14ac:dyDescent="0.3">
      <c r="A225" s="5">
        <v>11.518175000000001</v>
      </c>
      <c r="B225" s="5">
        <v>0.30937009999999998</v>
      </c>
      <c r="C225">
        <f t="shared" si="36"/>
        <v>3.5633789515675001</v>
      </c>
      <c r="D225">
        <v>1.6199999999999999E-2</v>
      </c>
      <c r="E225">
        <v>3.81E-3</v>
      </c>
      <c r="F225">
        <f t="shared" si="37"/>
        <v>2303.6350000000002</v>
      </c>
      <c r="G225">
        <f t="shared" si="38"/>
        <v>-0.30937009999999998</v>
      </c>
      <c r="H225">
        <f t="shared" si="39"/>
        <v>-712.67579031349999</v>
      </c>
      <c r="I225">
        <v>1</v>
      </c>
      <c r="J225">
        <f t="shared" si="40"/>
        <v>0.83448831014496039</v>
      </c>
      <c r="K225">
        <f t="shared" si="41"/>
        <v>-0.91235505177521747</v>
      </c>
      <c r="L225">
        <v>1</v>
      </c>
      <c r="M225">
        <f t="shared" si="42"/>
        <v>0.56972164356290012</v>
      </c>
      <c r="N225">
        <f t="shared" si="43"/>
        <v>0.186594435</v>
      </c>
      <c r="O225">
        <f t="shared" si="44"/>
        <v>4.3884246750000001E-2</v>
      </c>
      <c r="P225">
        <f t="shared" si="45"/>
        <v>0.11215472646231736</v>
      </c>
      <c r="R225">
        <f>O225+N225+M225</f>
        <v>0.80020032531290008</v>
      </c>
    </row>
    <row r="226" spans="1:18" x14ac:dyDescent="0.3">
      <c r="A226" s="5">
        <v>11.573166000000001</v>
      </c>
      <c r="B226" s="5">
        <v>0.30681165999999999</v>
      </c>
      <c r="C226">
        <f t="shared" si="36"/>
        <v>3.5507822719155602</v>
      </c>
      <c r="D226">
        <v>1.6199999999999999E-2</v>
      </c>
      <c r="E226">
        <v>3.81E-3</v>
      </c>
      <c r="F226">
        <f t="shared" si="37"/>
        <v>2314.6332000000002</v>
      </c>
      <c r="G226">
        <f t="shared" si="38"/>
        <v>-0.30681165999999999</v>
      </c>
      <c r="H226">
        <f t="shared" si="39"/>
        <v>-710.15645438311208</v>
      </c>
      <c r="I226">
        <v>1</v>
      </c>
      <c r="J226">
        <f t="shared" si="40"/>
        <v>0.83925123006006841</v>
      </c>
      <c r="K226">
        <f t="shared" si="41"/>
        <v>-0.91491349177521752</v>
      </c>
      <c r="L226">
        <v>1</v>
      </c>
      <c r="M226">
        <f t="shared" si="42"/>
        <v>0.56994835855085924</v>
      </c>
      <c r="N226">
        <f t="shared" si="43"/>
        <v>0.18748528919999999</v>
      </c>
      <c r="O226">
        <f t="shared" si="44"/>
        <v>4.4093762460000005E-2</v>
      </c>
      <c r="P226">
        <f t="shared" si="45"/>
        <v>0.1133860815643583</v>
      </c>
    </row>
    <row r="227" spans="1:18" x14ac:dyDescent="0.3">
      <c r="A227" s="5">
        <v>11.624594</v>
      </c>
      <c r="B227" s="5">
        <v>0.30436777999999998</v>
      </c>
      <c r="C227">
        <f t="shared" si="36"/>
        <v>3.5381518691813199</v>
      </c>
      <c r="D227">
        <v>1.6199999999999999E-2</v>
      </c>
      <c r="E227">
        <v>3.81E-3</v>
      </c>
      <c r="F227">
        <f t="shared" si="37"/>
        <v>2324.9187999999999</v>
      </c>
      <c r="G227">
        <f t="shared" si="38"/>
        <v>-0.30436777999999998</v>
      </c>
      <c r="H227">
        <f t="shared" si="39"/>
        <v>-707.63037383626397</v>
      </c>
      <c r="I227">
        <v>1</v>
      </c>
      <c r="J227">
        <f t="shared" si="40"/>
        <v>0.84368511369825416</v>
      </c>
      <c r="K227">
        <f t="shared" si="41"/>
        <v>-0.91735737177521748</v>
      </c>
      <c r="L227">
        <v>1</v>
      </c>
      <c r="M227">
        <f t="shared" si="42"/>
        <v>0.57015941141203696</v>
      </c>
      <c r="N227">
        <f t="shared" si="43"/>
        <v>0.1883184228</v>
      </c>
      <c r="O227">
        <f t="shared" si="44"/>
        <v>4.4289703139999997E-2</v>
      </c>
      <c r="P227">
        <f t="shared" si="45"/>
        <v>0.11458983442318052</v>
      </c>
    </row>
    <row r="228" spans="1:18" x14ac:dyDescent="0.3">
      <c r="A228" s="5">
        <v>11.677550000000002</v>
      </c>
      <c r="B228" s="5">
        <v>0.30156115</v>
      </c>
      <c r="C228">
        <f t="shared" si="36"/>
        <v>3.5214954071825004</v>
      </c>
      <c r="D228">
        <v>1.6199999999999999E-2</v>
      </c>
      <c r="E228">
        <v>3.81E-3</v>
      </c>
      <c r="F228">
        <f t="shared" si="37"/>
        <v>2335.5100000000002</v>
      </c>
      <c r="G228">
        <f t="shared" si="38"/>
        <v>-0.30156115</v>
      </c>
      <c r="H228">
        <f t="shared" si="39"/>
        <v>-704.29908143650005</v>
      </c>
      <c r="I228">
        <v>1</v>
      </c>
      <c r="J228">
        <f t="shared" si="40"/>
        <v>0.84823028268924494</v>
      </c>
      <c r="K228">
        <f t="shared" si="41"/>
        <v>-0.92016400177521751</v>
      </c>
      <c r="L228">
        <v>1</v>
      </c>
      <c r="M228">
        <f t="shared" si="42"/>
        <v>0.5703757614560081</v>
      </c>
      <c r="N228">
        <f t="shared" si="43"/>
        <v>0.18917631000000001</v>
      </c>
      <c r="O228">
        <f t="shared" si="44"/>
        <v>4.4491465500000008E-2</v>
      </c>
      <c r="P228">
        <f t="shared" si="45"/>
        <v>0.11612046481920939</v>
      </c>
    </row>
    <row r="229" spans="1:18" x14ac:dyDescent="0.3">
      <c r="A229" s="5">
        <v>11.729486</v>
      </c>
      <c r="B229" s="5">
        <v>0.29904088000000001</v>
      </c>
      <c r="C229">
        <f t="shared" si="36"/>
        <v>3.5075958153876798</v>
      </c>
      <c r="D229">
        <v>1.6199999999999999E-2</v>
      </c>
      <c r="E229">
        <v>3.81E-3</v>
      </c>
      <c r="F229">
        <f t="shared" si="37"/>
        <v>2345.8971999999999</v>
      </c>
      <c r="G229">
        <f t="shared" si="38"/>
        <v>-0.29904088000000001</v>
      </c>
      <c r="H229">
        <f t="shared" si="39"/>
        <v>-701.51916307753595</v>
      </c>
      <c r="I229">
        <v>1</v>
      </c>
      <c r="J229">
        <f t="shared" si="40"/>
        <v>0.85266793000435448</v>
      </c>
      <c r="K229">
        <f t="shared" si="41"/>
        <v>-0.9226842717752175</v>
      </c>
      <c r="L229">
        <v>1</v>
      </c>
      <c r="M229">
        <f t="shared" si="42"/>
        <v>0.57058699346820729</v>
      </c>
      <c r="N229">
        <f t="shared" si="43"/>
        <v>0.19001767319999999</v>
      </c>
      <c r="O229">
        <f t="shared" si="44"/>
        <v>4.468934166E-2</v>
      </c>
      <c r="P229">
        <f t="shared" si="45"/>
        <v>0.11739026344701023</v>
      </c>
    </row>
    <row r="230" spans="1:18" x14ac:dyDescent="0.3">
      <c r="A230" s="5">
        <v>11.779896000000001</v>
      </c>
      <c r="B230" s="5">
        <v>0.29665425000000001</v>
      </c>
      <c r="C230">
        <f t="shared" si="36"/>
        <v>3.4945562129580003</v>
      </c>
      <c r="D230">
        <v>1.6199999999999999E-2</v>
      </c>
      <c r="E230">
        <v>3.81E-3</v>
      </c>
      <c r="F230">
        <f t="shared" si="37"/>
        <v>2355.9792000000002</v>
      </c>
      <c r="G230">
        <f t="shared" si="38"/>
        <v>-0.29665425000000001</v>
      </c>
      <c r="H230">
        <f t="shared" si="39"/>
        <v>-698.91124259160006</v>
      </c>
      <c r="I230">
        <v>1</v>
      </c>
      <c r="J230">
        <f t="shared" si="40"/>
        <v>0.85695643722744852</v>
      </c>
      <c r="K230">
        <f t="shared" si="41"/>
        <v>-0.92507090177521745</v>
      </c>
      <c r="L230">
        <v>1</v>
      </c>
      <c r="M230">
        <f t="shared" si="42"/>
        <v>0.57079112641202656</v>
      </c>
      <c r="N230">
        <f t="shared" si="43"/>
        <v>0.19083431519999999</v>
      </c>
      <c r="O230">
        <f t="shared" si="44"/>
        <v>4.4881403760000001E-2</v>
      </c>
      <c r="P230">
        <f t="shared" si="45"/>
        <v>0.1185640564031909</v>
      </c>
    </row>
    <row r="231" spans="1:18" x14ac:dyDescent="0.3">
      <c r="A231" s="5">
        <v>11.831322</v>
      </c>
      <c r="B231" s="5">
        <v>0.29382851999999998</v>
      </c>
      <c r="C231">
        <f t="shared" si="36"/>
        <v>3.4763798329034397</v>
      </c>
      <c r="D231">
        <v>1.6199999999999999E-2</v>
      </c>
      <c r="E231">
        <v>3.81E-3</v>
      </c>
      <c r="F231">
        <f t="shared" si="37"/>
        <v>2366.2644</v>
      </c>
      <c r="G231">
        <f t="shared" si="38"/>
        <v>-0.29382851999999998</v>
      </c>
      <c r="H231">
        <f t="shared" si="39"/>
        <v>-695.27596658068796</v>
      </c>
      <c r="I231">
        <v>1</v>
      </c>
      <c r="J231">
        <f t="shared" si="40"/>
        <v>0.8613125091013254</v>
      </c>
      <c r="K231">
        <f t="shared" si="41"/>
        <v>-0.92789663177521753</v>
      </c>
      <c r="L231">
        <v>1</v>
      </c>
      <c r="M231">
        <f t="shared" si="42"/>
        <v>0.57099847543322313</v>
      </c>
      <c r="N231">
        <f t="shared" si="43"/>
        <v>0.19166741639999998</v>
      </c>
      <c r="O231">
        <f t="shared" si="44"/>
        <v>4.5077336820000001E-2</v>
      </c>
      <c r="P231">
        <f t="shared" si="45"/>
        <v>0.12015340312199441</v>
      </c>
    </row>
    <row r="232" spans="1:18" x14ac:dyDescent="0.3">
      <c r="A232" s="5">
        <v>11.881732</v>
      </c>
      <c r="B232" s="5">
        <v>0.29117462</v>
      </c>
      <c r="C232">
        <f t="shared" si="36"/>
        <v>3.45965880004184</v>
      </c>
      <c r="D232">
        <v>1.6199999999999999E-2</v>
      </c>
      <c r="E232">
        <v>3.81E-3</v>
      </c>
      <c r="F232">
        <f t="shared" si="37"/>
        <v>2376.3463999999999</v>
      </c>
      <c r="G232">
        <f t="shared" si="38"/>
        <v>-0.29117462</v>
      </c>
      <c r="H232">
        <f t="shared" si="39"/>
        <v>-691.93176000836797</v>
      </c>
      <c r="I232">
        <v>1</v>
      </c>
      <c r="J232">
        <f t="shared" si="40"/>
        <v>0.86556418211967889</v>
      </c>
      <c r="K232">
        <f t="shared" si="41"/>
        <v>-0.9305505317752174</v>
      </c>
      <c r="L232">
        <v>1</v>
      </c>
      <c r="M232">
        <f t="shared" si="42"/>
        <v>0.57120085506889673</v>
      </c>
      <c r="N232">
        <f t="shared" si="43"/>
        <v>0.19248405839999999</v>
      </c>
      <c r="O232">
        <f t="shared" si="44"/>
        <v>4.5269398919999995E-2</v>
      </c>
      <c r="P232">
        <f t="shared" si="45"/>
        <v>0.12159621938632069</v>
      </c>
    </row>
    <row r="233" spans="1:18" x14ac:dyDescent="0.3">
      <c r="A233" s="5">
        <v>11.932141</v>
      </c>
      <c r="B233" s="5">
        <v>0.28869253</v>
      </c>
      <c r="C233">
        <f t="shared" si="36"/>
        <v>3.44471997360673</v>
      </c>
      <c r="D233">
        <v>1.6199999999999999E-2</v>
      </c>
      <c r="E233">
        <v>3.81E-3</v>
      </c>
      <c r="F233">
        <f t="shared" si="37"/>
        <v>2386.4281999999998</v>
      </c>
      <c r="G233">
        <f t="shared" si="38"/>
        <v>-0.28869253</v>
      </c>
      <c r="H233">
        <f t="shared" si="39"/>
        <v>-688.94399472134603</v>
      </c>
      <c r="I233">
        <v>1</v>
      </c>
      <c r="J233">
        <f t="shared" si="40"/>
        <v>0.86979777111137091</v>
      </c>
      <c r="K233">
        <f t="shared" si="41"/>
        <v>-0.9330326217752174</v>
      </c>
      <c r="L233">
        <v>1</v>
      </c>
      <c r="M233">
        <f t="shared" si="42"/>
        <v>0.57140237390490123</v>
      </c>
      <c r="N233">
        <f t="shared" si="43"/>
        <v>0.19330068419999999</v>
      </c>
      <c r="O233">
        <f t="shared" si="44"/>
        <v>4.546145721E-2</v>
      </c>
      <c r="P233">
        <f t="shared" si="45"/>
        <v>0.12286810646031618</v>
      </c>
    </row>
    <row r="234" spans="1:18" x14ac:dyDescent="0.3">
      <c r="A234" s="5">
        <v>11.984586999999999</v>
      </c>
      <c r="B234" s="5">
        <v>0.28601953000000002</v>
      </c>
      <c r="C234">
        <f t="shared" si="36"/>
        <v>3.4278259409841101</v>
      </c>
      <c r="D234">
        <v>1.6199999999999999E-2</v>
      </c>
      <c r="E234">
        <v>3.81E-3</v>
      </c>
      <c r="F234">
        <f t="shared" si="37"/>
        <v>2396.9173999999998</v>
      </c>
      <c r="G234">
        <f t="shared" si="38"/>
        <v>-0.28601953000000002</v>
      </c>
      <c r="H234">
        <f t="shared" si="39"/>
        <v>-685.56518819682196</v>
      </c>
      <c r="I234">
        <v>1</v>
      </c>
      <c r="J234">
        <f t="shared" si="40"/>
        <v>0.87418349511715343</v>
      </c>
      <c r="K234">
        <f t="shared" si="41"/>
        <v>-0.93570562177521743</v>
      </c>
      <c r="L234">
        <v>1</v>
      </c>
      <c r="M234">
        <f t="shared" si="42"/>
        <v>0.57161113436757649</v>
      </c>
      <c r="N234">
        <f t="shared" si="43"/>
        <v>0.19415030939999997</v>
      </c>
      <c r="O234">
        <f t="shared" si="44"/>
        <v>4.5661276469999998E-2</v>
      </c>
      <c r="P234">
        <f t="shared" si="45"/>
        <v>0.12428290153764097</v>
      </c>
    </row>
    <row r="235" spans="1:18" x14ac:dyDescent="0.3">
      <c r="A235" s="5">
        <v>12.038052</v>
      </c>
      <c r="B235" s="5">
        <v>0.28325107999999999</v>
      </c>
      <c r="C235">
        <f t="shared" si="36"/>
        <v>3.4097912300961601</v>
      </c>
      <c r="D235">
        <v>1.6199999999999999E-2</v>
      </c>
      <c r="E235">
        <v>3.81E-3</v>
      </c>
      <c r="F235">
        <f t="shared" si="37"/>
        <v>2407.6104</v>
      </c>
      <c r="G235">
        <f t="shared" si="38"/>
        <v>-0.28325107999999999</v>
      </c>
      <c r="H235">
        <f t="shared" si="39"/>
        <v>-681.95824601923198</v>
      </c>
      <c r="I235">
        <v>1</v>
      </c>
      <c r="J235">
        <f t="shared" si="40"/>
        <v>0.87863472033657664</v>
      </c>
      <c r="K235">
        <f t="shared" si="41"/>
        <v>-0.93847407177521747</v>
      </c>
      <c r="L235">
        <v>1</v>
      </c>
      <c r="M235">
        <f t="shared" si="42"/>
        <v>0.57182301268802105</v>
      </c>
      <c r="N235">
        <f t="shared" si="43"/>
        <v>0.19501644239999999</v>
      </c>
      <c r="O235">
        <f t="shared" si="44"/>
        <v>4.5864978120000004E-2</v>
      </c>
      <c r="P235">
        <f t="shared" si="45"/>
        <v>0.12576963856719642</v>
      </c>
    </row>
    <row r="236" spans="1:18" x14ac:dyDescent="0.3">
      <c r="A236" s="5">
        <v>12.090496</v>
      </c>
      <c r="B236" s="5">
        <v>0.28040623999999997</v>
      </c>
      <c r="C236">
        <f t="shared" si="36"/>
        <v>3.3902505230950397</v>
      </c>
      <c r="D236">
        <v>1.6199999999999999E-2</v>
      </c>
      <c r="E236">
        <v>3.81E-3</v>
      </c>
      <c r="F236">
        <f t="shared" si="37"/>
        <v>2418.0992000000001</v>
      </c>
      <c r="G236">
        <f t="shared" si="38"/>
        <v>-0.28040623999999997</v>
      </c>
      <c r="H236">
        <f t="shared" si="39"/>
        <v>-678.05010461900793</v>
      </c>
      <c r="I236">
        <v>1</v>
      </c>
      <c r="J236">
        <f t="shared" si="40"/>
        <v>0.8829817769920979</v>
      </c>
      <c r="K236">
        <f t="shared" si="41"/>
        <v>-0.94131891177521743</v>
      </c>
      <c r="L236">
        <v>1</v>
      </c>
      <c r="M236">
        <f t="shared" si="42"/>
        <v>0.57202993258482393</v>
      </c>
      <c r="N236">
        <f t="shared" si="43"/>
        <v>0.19586603519999998</v>
      </c>
      <c r="O236">
        <f t="shared" si="44"/>
        <v>4.6064789760000002E-2</v>
      </c>
      <c r="P236">
        <f t="shared" si="45"/>
        <v>0.12735815423039351</v>
      </c>
    </row>
    <row r="237" spans="1:18" x14ac:dyDescent="0.3">
      <c r="A237" s="5">
        <v>12.140905</v>
      </c>
      <c r="B237" s="5">
        <v>0.27782868999999999</v>
      </c>
      <c r="C237">
        <f t="shared" si="36"/>
        <v>3.37309173156445</v>
      </c>
      <c r="D237">
        <v>1.6199999999999999E-2</v>
      </c>
      <c r="E237">
        <v>3.81E-3</v>
      </c>
      <c r="F237">
        <f t="shared" si="37"/>
        <v>2428.181</v>
      </c>
      <c r="G237">
        <f t="shared" si="38"/>
        <v>-0.27782868999999999</v>
      </c>
      <c r="H237">
        <f t="shared" si="39"/>
        <v>-674.61834631289003</v>
      </c>
      <c r="I237">
        <v>1</v>
      </c>
      <c r="J237">
        <f t="shared" si="40"/>
        <v>0.88714241737098987</v>
      </c>
      <c r="K237">
        <f t="shared" si="41"/>
        <v>-0.94389646177521747</v>
      </c>
      <c r="L237">
        <v>1</v>
      </c>
      <c r="M237">
        <f t="shared" si="42"/>
        <v>0.57222797906685918</v>
      </c>
      <c r="N237">
        <f t="shared" si="43"/>
        <v>0.19668266099999998</v>
      </c>
      <c r="O237">
        <f t="shared" si="44"/>
        <v>4.625684805E-2</v>
      </c>
      <c r="P237">
        <f t="shared" si="45"/>
        <v>0.12872897365835831</v>
      </c>
    </row>
    <row r="238" spans="1:18" x14ac:dyDescent="0.3">
      <c r="A238" s="5">
        <v>12.191314999999999</v>
      </c>
      <c r="B238" s="5">
        <v>0.27486931999999997</v>
      </c>
      <c r="C238">
        <f t="shared" si="36"/>
        <v>3.3510184639557994</v>
      </c>
      <c r="D238">
        <v>1.6199999999999999E-2</v>
      </c>
      <c r="E238">
        <v>3.81E-3</v>
      </c>
      <c r="F238">
        <f t="shared" si="37"/>
        <v>2438.2629999999999</v>
      </c>
      <c r="G238">
        <f t="shared" si="38"/>
        <v>-0.27486931999999997</v>
      </c>
      <c r="H238">
        <f t="shared" si="39"/>
        <v>-670.20369279115982</v>
      </c>
      <c r="I238">
        <v>1</v>
      </c>
      <c r="J238">
        <f t="shared" si="40"/>
        <v>0.89128590054858647</v>
      </c>
      <c r="K238">
        <f t="shared" si="41"/>
        <v>-0.94685583177521748</v>
      </c>
      <c r="L238">
        <v>1</v>
      </c>
      <c r="M238">
        <f t="shared" si="42"/>
        <v>0.5724252088661127</v>
      </c>
      <c r="N238">
        <f t="shared" si="43"/>
        <v>0.19749930299999999</v>
      </c>
      <c r="O238">
        <f t="shared" si="44"/>
        <v>4.6448910150000002E-2</v>
      </c>
      <c r="P238">
        <f t="shared" si="45"/>
        <v>0.1304824097591048</v>
      </c>
    </row>
    <row r="239" spans="1:18" x14ac:dyDescent="0.3">
      <c r="A239" s="5">
        <v>12.241724</v>
      </c>
      <c r="B239" s="5">
        <v>0.27231087999999998</v>
      </c>
      <c r="C239">
        <f t="shared" si="36"/>
        <v>3.3335546351571197</v>
      </c>
      <c r="D239">
        <v>1.6199999999999999E-2</v>
      </c>
      <c r="E239">
        <v>3.81E-3</v>
      </c>
      <c r="F239">
        <f t="shared" si="37"/>
        <v>2448.3447999999999</v>
      </c>
      <c r="G239">
        <f t="shared" si="38"/>
        <v>-0.27231087999999998</v>
      </c>
      <c r="H239">
        <f t="shared" si="39"/>
        <v>-666.71092703142392</v>
      </c>
      <c r="I239">
        <v>1</v>
      </c>
      <c r="J239">
        <f t="shared" si="40"/>
        <v>0.89541220440489822</v>
      </c>
      <c r="K239">
        <f t="shared" si="41"/>
        <v>-0.94941427177521742</v>
      </c>
      <c r="L239">
        <v>1</v>
      </c>
      <c r="M239">
        <f t="shared" si="42"/>
        <v>0.57262162092967317</v>
      </c>
      <c r="N239">
        <f t="shared" si="43"/>
        <v>0.19831592879999999</v>
      </c>
      <c r="O239">
        <f t="shared" si="44"/>
        <v>4.664096844E-2</v>
      </c>
      <c r="P239">
        <f t="shared" si="45"/>
        <v>0.13183575360554428</v>
      </c>
    </row>
    <row r="240" spans="1:18" x14ac:dyDescent="0.3">
      <c r="A240" s="5">
        <v>12.296206999999999</v>
      </c>
      <c r="B240" s="5">
        <v>0.26910326000000001</v>
      </c>
      <c r="C240">
        <f t="shared" si="36"/>
        <v>3.3089493893348201</v>
      </c>
      <c r="D240">
        <v>1.6199999999999999E-2</v>
      </c>
      <c r="E240">
        <v>3.81E-3</v>
      </c>
      <c r="F240">
        <f t="shared" si="37"/>
        <v>2459.2413999999999</v>
      </c>
      <c r="G240">
        <f t="shared" si="38"/>
        <v>-0.26910326000000001</v>
      </c>
      <c r="H240">
        <f t="shared" si="39"/>
        <v>-661.78987786696405</v>
      </c>
      <c r="I240">
        <v>1</v>
      </c>
      <c r="J240">
        <f t="shared" si="40"/>
        <v>0.8998529284034974</v>
      </c>
      <c r="K240">
        <f t="shared" si="41"/>
        <v>-0.95262189177521739</v>
      </c>
      <c r="L240">
        <v>1</v>
      </c>
      <c r="M240">
        <f t="shared" si="42"/>
        <v>0.57283299939200649</v>
      </c>
      <c r="N240">
        <f t="shared" si="43"/>
        <v>0.19919855339999998</v>
      </c>
      <c r="O240">
        <f t="shared" si="44"/>
        <v>4.6848548669999997E-2</v>
      </c>
      <c r="P240">
        <f t="shared" si="45"/>
        <v>0.13374179031321093</v>
      </c>
    </row>
    <row r="241" spans="1:16" x14ac:dyDescent="0.3">
      <c r="A241" s="5">
        <v>12.347125</v>
      </c>
      <c r="B241" s="5">
        <v>0.26612478000000001</v>
      </c>
      <c r="C241">
        <f t="shared" si="36"/>
        <v>3.2858759242575002</v>
      </c>
      <c r="D241">
        <v>1.6199999999999999E-2</v>
      </c>
      <c r="E241">
        <v>3.81E-3</v>
      </c>
      <c r="F241">
        <f t="shared" si="37"/>
        <v>2469.4250000000002</v>
      </c>
      <c r="G241">
        <f t="shared" si="38"/>
        <v>-0.26612478000000001</v>
      </c>
      <c r="H241">
        <f t="shared" si="39"/>
        <v>-657.17518485150003</v>
      </c>
      <c r="I241">
        <v>1</v>
      </c>
      <c r="J241">
        <f t="shared" si="40"/>
        <v>0.90398533001700077</v>
      </c>
      <c r="K241">
        <f t="shared" si="41"/>
        <v>-0.95560037177521751</v>
      </c>
      <c r="L241">
        <v>1</v>
      </c>
      <c r="M241">
        <f t="shared" si="42"/>
        <v>0.57302970170880929</v>
      </c>
      <c r="N241">
        <f t="shared" si="43"/>
        <v>0.200023425</v>
      </c>
      <c r="O241">
        <f t="shared" si="44"/>
        <v>4.7042546249999997E-2</v>
      </c>
      <c r="P241">
        <f t="shared" si="45"/>
        <v>0.1355046988164082</v>
      </c>
    </row>
    <row r="242" spans="1:16" x14ac:dyDescent="0.3">
      <c r="A242" s="5">
        <v>12.397534</v>
      </c>
      <c r="B242" s="5">
        <v>0.26358542000000001</v>
      </c>
      <c r="C242">
        <f t="shared" si="36"/>
        <v>3.2678092063542801</v>
      </c>
      <c r="D242">
        <v>1.6199999999999999E-2</v>
      </c>
      <c r="E242">
        <v>3.81E-3</v>
      </c>
      <c r="F242">
        <f t="shared" si="37"/>
        <v>2479.5068000000001</v>
      </c>
      <c r="G242">
        <f t="shared" si="38"/>
        <v>-0.26358542000000001</v>
      </c>
      <c r="H242">
        <f t="shared" si="39"/>
        <v>-653.56184127085601</v>
      </c>
      <c r="I242">
        <v>1</v>
      </c>
      <c r="J242">
        <f t="shared" si="40"/>
        <v>0.90805966943169591</v>
      </c>
      <c r="K242">
        <f t="shared" si="41"/>
        <v>-0.95813973177521738</v>
      </c>
      <c r="L242">
        <v>1</v>
      </c>
      <c r="M242">
        <f t="shared" si="42"/>
        <v>0.57322364026494876</v>
      </c>
      <c r="N242">
        <f t="shared" si="43"/>
        <v>0.2008400508</v>
      </c>
      <c r="O242">
        <f t="shared" si="44"/>
        <v>4.7234604540000003E-2</v>
      </c>
      <c r="P242">
        <f t="shared" si="45"/>
        <v>0.13684143617026862</v>
      </c>
    </row>
    <row r="243" spans="1:16" x14ac:dyDescent="0.3">
      <c r="A243" s="5">
        <v>12.448452999999999</v>
      </c>
      <c r="B243" s="5">
        <v>0.26058784000000002</v>
      </c>
      <c r="C243">
        <f t="shared" si="36"/>
        <v>3.2439154786115201</v>
      </c>
      <c r="D243">
        <v>1.6199999999999999E-2</v>
      </c>
      <c r="E243">
        <v>3.81E-3</v>
      </c>
      <c r="F243">
        <f t="shared" si="37"/>
        <v>2489.6905999999999</v>
      </c>
      <c r="G243">
        <f t="shared" si="38"/>
        <v>-0.26058784000000002</v>
      </c>
      <c r="H243">
        <f t="shared" si="39"/>
        <v>-648.78309572230398</v>
      </c>
      <c r="I243">
        <v>1</v>
      </c>
      <c r="J243">
        <f t="shared" si="40"/>
        <v>0.91215844572795968</v>
      </c>
      <c r="K243">
        <f t="shared" si="41"/>
        <v>-0.96113731177521744</v>
      </c>
      <c r="L243">
        <v>1</v>
      </c>
      <c r="M243">
        <f t="shared" si="42"/>
        <v>0.57341874201665088</v>
      </c>
      <c r="N243">
        <f t="shared" si="43"/>
        <v>0.20166493859999998</v>
      </c>
      <c r="O243">
        <f t="shared" si="44"/>
        <v>4.7428605929999999E-2</v>
      </c>
      <c r="P243">
        <f t="shared" si="45"/>
        <v>0.13862502522856657</v>
      </c>
    </row>
    <row r="244" spans="1:16" x14ac:dyDescent="0.3">
      <c r="A244" s="5">
        <v>12.499880000000001</v>
      </c>
      <c r="B244" s="5">
        <v>0.25759026000000002</v>
      </c>
      <c r="C244">
        <f t="shared" si="36"/>
        <v>3.2198473391688003</v>
      </c>
      <c r="D244">
        <v>1.6199999999999999E-2</v>
      </c>
      <c r="E244">
        <v>3.81E-3</v>
      </c>
      <c r="F244">
        <f t="shared" si="37"/>
        <v>2499.9760000000001</v>
      </c>
      <c r="G244">
        <f t="shared" si="38"/>
        <v>-0.25759026000000002</v>
      </c>
      <c r="H244">
        <f t="shared" si="39"/>
        <v>-643.96946783376006</v>
      </c>
      <c r="I244">
        <v>1</v>
      </c>
      <c r="J244">
        <f t="shared" si="40"/>
        <v>0.9162811318280748</v>
      </c>
      <c r="K244">
        <f t="shared" si="41"/>
        <v>-0.9641348917752175</v>
      </c>
      <c r="L244">
        <v>1</v>
      </c>
      <c r="M244">
        <f t="shared" si="42"/>
        <v>0.57361498187501636</v>
      </c>
      <c r="N244">
        <f t="shared" si="43"/>
        <v>0.20249805600000001</v>
      </c>
      <c r="O244">
        <f t="shared" si="44"/>
        <v>4.7624542800000003E-2</v>
      </c>
      <c r="P244">
        <f t="shared" si="45"/>
        <v>0.14039731110020112</v>
      </c>
    </row>
    <row r="245" spans="1:16" x14ac:dyDescent="0.3">
      <c r="A245" s="5">
        <v>12.551307</v>
      </c>
      <c r="B245" s="5">
        <v>0.25457361000000001</v>
      </c>
      <c r="C245">
        <f t="shared" si="36"/>
        <v>3.1952315332082701</v>
      </c>
      <c r="D245">
        <v>1.6199999999999999E-2</v>
      </c>
      <c r="E245">
        <v>3.81E-3</v>
      </c>
      <c r="F245">
        <f t="shared" si="37"/>
        <v>2510.2613999999999</v>
      </c>
      <c r="G245">
        <f t="shared" si="38"/>
        <v>-0.25457361000000001</v>
      </c>
      <c r="H245">
        <f t="shared" si="39"/>
        <v>-639.04630664165404</v>
      </c>
      <c r="I245">
        <v>1</v>
      </c>
      <c r="J245">
        <f t="shared" si="40"/>
        <v>0.92038689114743721</v>
      </c>
      <c r="K245">
        <f t="shared" si="41"/>
        <v>-0.96715154177521745</v>
      </c>
      <c r="L245">
        <v>1</v>
      </c>
      <c r="M245">
        <f t="shared" si="42"/>
        <v>0.57381041601861804</v>
      </c>
      <c r="N245">
        <f t="shared" si="43"/>
        <v>0.20333117339999998</v>
      </c>
      <c r="O245">
        <f t="shared" si="44"/>
        <v>4.7820479669999999E-2</v>
      </c>
      <c r="P245">
        <f t="shared" si="45"/>
        <v>0.14218947268659943</v>
      </c>
    </row>
    <row r="246" spans="1:16" x14ac:dyDescent="0.3">
      <c r="A246" s="5">
        <v>12.604264000000001</v>
      </c>
      <c r="B246" s="5">
        <v>0.25140420000000002</v>
      </c>
      <c r="C246">
        <f t="shared" si="36"/>
        <v>3.1687649075088005</v>
      </c>
      <c r="D246">
        <v>1.6199999999999999E-2</v>
      </c>
      <c r="E246">
        <v>3.81E-3</v>
      </c>
      <c r="F246">
        <f t="shared" si="37"/>
        <v>2520.8528000000001</v>
      </c>
      <c r="G246">
        <f t="shared" si="38"/>
        <v>-0.25140420000000002</v>
      </c>
      <c r="H246">
        <f t="shared" si="39"/>
        <v>-633.75298150176013</v>
      </c>
      <c r="I246">
        <v>1</v>
      </c>
      <c r="J246">
        <f t="shared" si="40"/>
        <v>0.92459725697308293</v>
      </c>
      <c r="K246">
        <f t="shared" si="41"/>
        <v>-0.97032095177521738</v>
      </c>
      <c r="L246">
        <v>1</v>
      </c>
      <c r="M246">
        <f t="shared" si="42"/>
        <v>0.57401082943191883</v>
      </c>
      <c r="N246">
        <f t="shared" si="43"/>
        <v>0.20418907680000001</v>
      </c>
      <c r="O246">
        <f t="shared" si="44"/>
        <v>4.8022245840000005E-2</v>
      </c>
      <c r="P246">
        <f t="shared" si="45"/>
        <v>0.14409879970329853</v>
      </c>
    </row>
    <row r="247" spans="1:16" x14ac:dyDescent="0.3">
      <c r="A247" s="5">
        <v>12.597134</v>
      </c>
      <c r="B247" s="5">
        <v>0.25148055000000002</v>
      </c>
      <c r="C247">
        <f t="shared" si="36"/>
        <v>3.1679341867437003</v>
      </c>
      <c r="D247">
        <v>1.6199999999999999E-2</v>
      </c>
      <c r="E247">
        <v>3.81E-3</v>
      </c>
      <c r="F247">
        <f t="shared" si="37"/>
        <v>2519.4268000000002</v>
      </c>
      <c r="G247">
        <f t="shared" si="38"/>
        <v>-0.25148055000000002</v>
      </c>
      <c r="H247">
        <f t="shared" si="39"/>
        <v>-633.58683734874012</v>
      </c>
      <c r="I247">
        <v>1</v>
      </c>
      <c r="J247">
        <f t="shared" si="40"/>
        <v>0.92403141533285027</v>
      </c>
      <c r="K247">
        <f t="shared" si="41"/>
        <v>-0.97024460177521743</v>
      </c>
      <c r="L247">
        <v>1</v>
      </c>
      <c r="M247">
        <f t="shared" si="42"/>
        <v>0.57398389536984373</v>
      </c>
      <c r="N247">
        <f t="shared" si="43"/>
        <v>0.20407357079999999</v>
      </c>
      <c r="O247">
        <f t="shared" si="44"/>
        <v>4.7995080540000006E-2</v>
      </c>
      <c r="P247">
        <f t="shared" si="45"/>
        <v>0.14419205506537369</v>
      </c>
    </row>
    <row r="248" spans="1:16" x14ac:dyDescent="0.3">
      <c r="C248">
        <f t="shared" si="36"/>
        <v>0</v>
      </c>
      <c r="D248">
        <v>1.6199999999999999E-2</v>
      </c>
      <c r="E248">
        <v>3.81E-3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1:16" x14ac:dyDescent="0.3">
      <c r="C249">
        <f t="shared" si="36"/>
        <v>0</v>
      </c>
      <c r="D249">
        <v>1.6199999999999999E-2</v>
      </c>
      <c r="E249">
        <v>3.81E-3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1:16" x14ac:dyDescent="0.3">
      <c r="C250">
        <f t="shared" si="36"/>
        <v>0</v>
      </c>
      <c r="D250">
        <v>1.6199999999999999E-2</v>
      </c>
      <c r="E250">
        <v>3.81E-3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1:16" x14ac:dyDescent="0.3">
      <c r="C251">
        <f t="shared" si="36"/>
        <v>0</v>
      </c>
      <c r="D251">
        <v>1.6199999999999999E-2</v>
      </c>
      <c r="E251">
        <v>3.81E-3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1:16" x14ac:dyDescent="0.3">
      <c r="C252">
        <f t="shared" si="36"/>
        <v>0</v>
      </c>
      <c r="D252">
        <v>1.6199999999999999E-2</v>
      </c>
      <c r="E252">
        <v>3.81E-3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1:16" x14ac:dyDescent="0.3">
      <c r="C253">
        <f t="shared" si="36"/>
        <v>0</v>
      </c>
      <c r="D253">
        <v>1.6199999999999999E-2</v>
      </c>
      <c r="E253">
        <v>3.81E-3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1:16" x14ac:dyDescent="0.3">
      <c r="C254">
        <f t="shared" si="36"/>
        <v>0</v>
      </c>
      <c r="D254">
        <v>1.6199999999999999E-2</v>
      </c>
      <c r="E254">
        <v>3.81E-3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1:16" x14ac:dyDescent="0.3">
      <c r="C255">
        <f t="shared" si="36"/>
        <v>0</v>
      </c>
      <c r="D255">
        <v>1.6199999999999999E-2</v>
      </c>
      <c r="E255">
        <v>3.81E-3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1:16" x14ac:dyDescent="0.3">
      <c r="C256">
        <f t="shared" si="36"/>
        <v>0</v>
      </c>
      <c r="D256">
        <v>1.6199999999999999E-2</v>
      </c>
      <c r="E256">
        <v>3.81E-3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1.6199999999999999E-2</v>
      </c>
      <c r="E257">
        <v>3.81E-3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1.6199999999999999E-2</v>
      </c>
      <c r="E258">
        <v>3.81E-3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1.6199999999999999E-2</v>
      </c>
      <c r="E259">
        <v>3.81E-3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1.6199999999999999E-2</v>
      </c>
      <c r="E260">
        <v>3.81E-3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1.6199999999999999E-2</v>
      </c>
      <c r="E261">
        <v>3.81E-3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1.6199999999999999E-2</v>
      </c>
      <c r="E262">
        <v>3.81E-3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1.6199999999999999E-2</v>
      </c>
      <c r="E263">
        <v>3.81E-3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1.6199999999999999E-2</v>
      </c>
      <c r="E264">
        <v>3.81E-3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1.6199999999999999E-2</v>
      </c>
      <c r="E265">
        <v>3.81E-3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1.6199999999999999E-2</v>
      </c>
      <c r="E266">
        <v>3.81E-3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1.6199999999999999E-2</v>
      </c>
      <c r="E267">
        <v>3.81E-3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1.6199999999999999E-2</v>
      </c>
      <c r="E268">
        <v>3.81E-3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1.6199999999999999E-2</v>
      </c>
      <c r="E269">
        <v>3.81E-3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1.6199999999999999E-2</v>
      </c>
      <c r="E270">
        <v>3.81E-3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1.6199999999999999E-2</v>
      </c>
      <c r="E271">
        <v>3.81E-3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1.6199999999999999E-2</v>
      </c>
      <c r="E272">
        <v>3.81E-3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1.6199999999999999E-2</v>
      </c>
      <c r="E273">
        <v>3.81E-3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1.6199999999999999E-2</v>
      </c>
      <c r="E274">
        <v>3.81E-3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1.6199999999999999E-2</v>
      </c>
      <c r="E275">
        <v>3.81E-3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1.6199999999999999E-2</v>
      </c>
      <c r="E276">
        <v>3.81E-3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1.6199999999999999E-2</v>
      </c>
      <c r="E277">
        <v>3.81E-3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1.6199999999999999E-2</v>
      </c>
      <c r="E278">
        <v>3.81E-3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1.6199999999999999E-2</v>
      </c>
      <c r="E279">
        <v>3.81E-3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1.6199999999999999E-2</v>
      </c>
      <c r="E280">
        <v>3.81E-3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1.6199999999999999E-2</v>
      </c>
      <c r="E281">
        <v>3.81E-3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1.6199999999999999E-2</v>
      </c>
      <c r="E282">
        <v>3.81E-3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1.6199999999999999E-2</v>
      </c>
      <c r="E283">
        <v>3.81E-3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1.6199999999999999E-2</v>
      </c>
      <c r="E284">
        <v>3.81E-3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1.6199999999999999E-2</v>
      </c>
      <c r="E285">
        <v>3.81E-3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1.6199999999999999E-2</v>
      </c>
      <c r="E286">
        <v>3.81E-3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3.8158201924077539E-3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3.8158201924077539E-3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3.8158201924077539E-3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3.8158201924077539E-3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3.8158201924077539E-3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3.8158201924077539E-3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3.8158201924077539E-3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3.8158201924077539E-3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3.8158201924077539E-3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3.8158201924077539E-3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3.8158201924077539E-3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3.8158201924077539E-3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3.8158201924077539E-3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3.8158201924077539E-3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3.8158201924077539E-3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3.8158201924077539E-3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3.8158201924077539E-3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2026-06-18T03:51:10Z</dcterms:modified>
</cp:coreProperties>
</file>